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Draft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2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Week 7" sheetId="14" r:id="rId18"/>
    <sheet state="visible" name="Captains Poll" sheetId="15" r:id="rId19"/>
  </sheets>
  <definedNames>
    <definedName hidden="1" localSheetId="4" name="_xlnm._FilterDatabase">'Player Season Stats'!$A$1:$M$73</definedName>
  </definedNames>
  <calcPr/>
</workbook>
</file>

<file path=xl/sharedStrings.xml><?xml version="1.0" encoding="utf-8"?>
<sst xmlns="http://schemas.openxmlformats.org/spreadsheetml/2006/main" count="1860" uniqueCount="206">
  <si>
    <t>Example Schedule</t>
  </si>
  <si>
    <t>Date</t>
  </si>
  <si>
    <t>Bylaws</t>
  </si>
  <si>
    <t>Draft</t>
  </si>
  <si>
    <t>Members</t>
  </si>
  <si>
    <t>Game 1</t>
  </si>
  <si>
    <t>August 30th/31st</t>
  </si>
  <si>
    <t>Game 2</t>
  </si>
  <si>
    <t>September 6th/7th</t>
  </si>
  <si>
    <t xml:space="preserve">Captain </t>
  </si>
  <si>
    <t>Combine</t>
  </si>
  <si>
    <t>Keeper</t>
  </si>
  <si>
    <t>Game 3</t>
  </si>
  <si>
    <t>September 13th/14th</t>
  </si>
  <si>
    <t>Pick 1</t>
  </si>
  <si>
    <t>Pledge Draft</t>
  </si>
  <si>
    <t>Pick 2</t>
  </si>
  <si>
    <t>Game 4</t>
  </si>
  <si>
    <t>September 20th/21st</t>
  </si>
  <si>
    <t>Pick 3</t>
  </si>
  <si>
    <t>Game 5</t>
  </si>
  <si>
    <t>September 27th/28th</t>
  </si>
  <si>
    <t>Pick 4</t>
  </si>
  <si>
    <t>Game 6</t>
  </si>
  <si>
    <t>October 4th/5th</t>
  </si>
  <si>
    <t xml:space="preserve"> </t>
  </si>
  <si>
    <t>Pick 5</t>
  </si>
  <si>
    <t>Bye Week</t>
  </si>
  <si>
    <t>October 11th</t>
  </si>
  <si>
    <t>Pick 6</t>
  </si>
  <si>
    <t>Sam</t>
  </si>
  <si>
    <t>Sebastian</t>
  </si>
  <si>
    <t>Kento</t>
  </si>
  <si>
    <t>October 18th</t>
  </si>
  <si>
    <t>Pick 7</t>
  </si>
  <si>
    <t>Charlie</t>
  </si>
  <si>
    <t>Erik</t>
  </si>
  <si>
    <t>Jacob</t>
  </si>
  <si>
    <t>Lubke</t>
  </si>
  <si>
    <t>Parker</t>
  </si>
  <si>
    <t>Byun</t>
  </si>
  <si>
    <t>Game 7</t>
  </si>
  <si>
    <t>October 25th/26th</t>
  </si>
  <si>
    <t>Pick 8</t>
  </si>
  <si>
    <t>Daniel</t>
  </si>
  <si>
    <t>Jack</t>
  </si>
  <si>
    <t>David (pledge)</t>
  </si>
  <si>
    <t>Henry</t>
  </si>
  <si>
    <t>Ted</t>
  </si>
  <si>
    <t>Semifinals (1)</t>
  </si>
  <si>
    <t>November 1st/2nd</t>
  </si>
  <si>
    <t>Pick 9</t>
  </si>
  <si>
    <t>Will</t>
  </si>
  <si>
    <t>Ayush</t>
  </si>
  <si>
    <t>Gio</t>
  </si>
  <si>
    <t>Semifinals (2/3)</t>
  </si>
  <si>
    <t>November 8th/9th</t>
  </si>
  <si>
    <t>Pledge 1</t>
  </si>
  <si>
    <t>Finals</t>
  </si>
  <si>
    <t>November 15th/16th</t>
  </si>
  <si>
    <t>Pledge 2</t>
  </si>
  <si>
    <t>Pledge 3</t>
  </si>
  <si>
    <t>Pledge 4</t>
  </si>
  <si>
    <t>Draft Sheet</t>
  </si>
  <si>
    <t>Bank</t>
  </si>
  <si>
    <t>Captain</t>
  </si>
  <si>
    <t>Tyler</t>
  </si>
  <si>
    <t>Du</t>
  </si>
  <si>
    <t>John</t>
  </si>
  <si>
    <t>Guel</t>
  </si>
  <si>
    <t>Arnav</t>
  </si>
  <si>
    <t>Jay</t>
  </si>
  <si>
    <t>Current Trades</t>
  </si>
  <si>
    <t>Lucas</t>
  </si>
  <si>
    <t>Neo</t>
  </si>
  <si>
    <t>Cole</t>
  </si>
  <si>
    <t>Pasha</t>
  </si>
  <si>
    <t>Brendan</t>
  </si>
  <si>
    <t>Schmid</t>
  </si>
  <si>
    <t>1st Round</t>
  </si>
  <si>
    <t>Porco</t>
  </si>
  <si>
    <t>Fritz</t>
  </si>
  <si>
    <t>Dannegger</t>
  </si>
  <si>
    <t>Yost</t>
  </si>
  <si>
    <t>Kumbatovic</t>
  </si>
  <si>
    <t>DC</t>
  </si>
  <si>
    <t>2nd Round</t>
  </si>
  <si>
    <t>Andy Yu</t>
  </si>
  <si>
    <t>Dli</t>
  </si>
  <si>
    <t>KZ</t>
  </si>
  <si>
    <t>Sean</t>
  </si>
  <si>
    <t>Paul</t>
  </si>
  <si>
    <t>Steven</t>
  </si>
  <si>
    <t>3rd Round</t>
  </si>
  <si>
    <t>Somil</t>
  </si>
  <si>
    <t>Eric</t>
  </si>
  <si>
    <t>Vishal</t>
  </si>
  <si>
    <t>Samos</t>
  </si>
  <si>
    <t>Raymond</t>
  </si>
  <si>
    <t>Dave</t>
  </si>
  <si>
    <t>4th Round</t>
  </si>
  <si>
    <t>ilt</t>
  </si>
  <si>
    <t>Matvey</t>
  </si>
  <si>
    <t>Adi</t>
  </si>
  <si>
    <t>Soho</t>
  </si>
  <si>
    <t>TC</t>
  </si>
  <si>
    <t>Lulu</t>
  </si>
  <si>
    <t>5th Round</t>
  </si>
  <si>
    <t>Gavin</t>
  </si>
  <si>
    <t>James</t>
  </si>
  <si>
    <t>David</t>
  </si>
  <si>
    <t>Haldar</t>
  </si>
  <si>
    <t>Kyi</t>
  </si>
  <si>
    <t>Future Trades:</t>
  </si>
  <si>
    <t>6th Round</t>
  </si>
  <si>
    <t>Dji</t>
  </si>
  <si>
    <t>Jwu</t>
  </si>
  <si>
    <t>Hershey</t>
  </si>
  <si>
    <t>7th Round</t>
  </si>
  <si>
    <t>8th Round</t>
  </si>
  <si>
    <t>Teams</t>
  </si>
  <si>
    <t>Gargantuan</t>
  </si>
  <si>
    <t>Team C</t>
  </si>
  <si>
    <t>Candice?</t>
  </si>
  <si>
    <t>Team E</t>
  </si>
  <si>
    <t>Migos</t>
  </si>
  <si>
    <t>Team F</t>
  </si>
  <si>
    <t>Ilt</t>
  </si>
  <si>
    <t>VIshal</t>
  </si>
  <si>
    <t xml:space="preserve">Pick 9 </t>
  </si>
  <si>
    <t>Blark</t>
  </si>
  <si>
    <t>Kumba</t>
  </si>
  <si>
    <t>DPJ</t>
  </si>
  <si>
    <t>Will Blankenship</t>
  </si>
  <si>
    <t>Sam Ram</t>
  </si>
  <si>
    <t>Sebastian F</t>
  </si>
  <si>
    <t>Chubbs</t>
  </si>
  <si>
    <t>Luebke</t>
  </si>
  <si>
    <t>Daniel Mas</t>
  </si>
  <si>
    <t>Jack Flori</t>
  </si>
  <si>
    <t>David Cerrato</t>
  </si>
  <si>
    <t>Will He</t>
  </si>
  <si>
    <t>**edit this column</t>
  </si>
  <si>
    <t>Opponent</t>
  </si>
  <si>
    <t>Home/Away</t>
  </si>
  <si>
    <t>Result</t>
  </si>
  <si>
    <t>Margin</t>
  </si>
  <si>
    <t>West</t>
  </si>
  <si>
    <t>Record</t>
  </si>
  <si>
    <t>Win %</t>
  </si>
  <si>
    <t>Split</t>
  </si>
  <si>
    <t>East</t>
  </si>
  <si>
    <t>Total</t>
  </si>
  <si>
    <t>Home</t>
  </si>
  <si>
    <t>Away</t>
  </si>
  <si>
    <t>Week 1</t>
  </si>
  <si>
    <t>Week 2</t>
  </si>
  <si>
    <t>Week 3</t>
  </si>
  <si>
    <t>Week 4</t>
  </si>
  <si>
    <t>Week 5</t>
  </si>
  <si>
    <t>Week 6</t>
  </si>
  <si>
    <t>Week 7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</si>
  <si>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</si>
  <si>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</si>
  <si>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</si>
  <si>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</si>
  <si>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</si>
  <si>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</si>
  <si>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</si>
  <si>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</si>
  <si>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</si>
  <si>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</si>
  <si>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</si>
  <si>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</si>
  <si>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</si>
  <si>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</si>
  <si>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</si>
  <si>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</si>
  <si>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</si>
  <si>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</si>
  <si>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</si>
  <si>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Game 8</t>
  </si>
  <si>
    <t>Game 9</t>
  </si>
  <si>
    <t>average</t>
  </si>
  <si>
    <t>vs</t>
  </si>
  <si>
    <t>W/L?</t>
  </si>
  <si>
    <t>Shot Order</t>
  </si>
  <si>
    <t>Total Cups</t>
  </si>
  <si>
    <t>Tops</t>
  </si>
  <si>
    <t>Top Isos</t>
  </si>
  <si>
    <t>Bottoms</t>
  </si>
  <si>
    <t>Bottom Isos</t>
  </si>
  <si>
    <t>Pulled Cups</t>
  </si>
  <si>
    <t>After draft</t>
  </si>
  <si>
    <t>C</t>
  </si>
  <si>
    <t>F</t>
  </si>
  <si>
    <t>E</t>
  </si>
  <si>
    <t>Average</t>
  </si>
  <si>
    <t>Rank</t>
  </si>
  <si>
    <t>C / F</t>
  </si>
  <si>
    <t>after week 4 (pre week 5)</t>
  </si>
  <si>
    <t>Migos and Candice</t>
  </si>
  <si>
    <t>F and E</t>
  </si>
  <si>
    <t>Garg</t>
  </si>
  <si>
    <t>Tied 1</t>
  </si>
  <si>
    <t>Tied 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</si>
</sst>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&quot;/&quot;d"/>
    <numFmt numFmtId="166" formatCode="m-d"/>
    <numFmt numFmtId="167" formatCode="m/d/yyyy"/>
  </numFmts>
  <fonts count="1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theme="1"/>
      <name val="Arial"/>
    </font>
    <font>
      <color rgb="FFFF0000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/>
    <font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i/>
      <color theme="1"/>
      <name val="Arial"/>
    </font>
    <font>
      <color rgb="FF000000"/>
      <name val="Arial"/>
    </font>
    <font>
      <b/>
      <color rgb="FF0000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0" fillId="2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vertical="bottom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0" fontId="4" numFmtId="0" xfId="0" applyBorder="1" applyFont="1"/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7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5" fontId="2" numFmtId="0" xfId="0" applyAlignment="1" applyFill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8" fontId="2" numFmtId="0" xfId="0" applyAlignment="1" applyFill="1" applyFont="1">
      <alignment readingOrder="0" vertical="bottom"/>
    </xf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/>
    </xf>
    <xf borderId="4" fillId="0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readingOrder="0" vertical="bottom"/>
    </xf>
    <xf borderId="3" fillId="3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3" fillId="7" fontId="2" numFmtId="0" xfId="0" applyAlignment="1" applyBorder="1" applyFont="1">
      <alignment readingOrder="0" vertical="bottom"/>
    </xf>
    <xf borderId="3" fillId="8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vertical="bottom"/>
    </xf>
    <xf borderId="0" fillId="0" fontId="6" numFmtId="0" xfId="0" applyAlignment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9" fontId="2" numFmtId="10" xfId="0" applyAlignment="1" applyFill="1" applyFont="1" applyNumberFormat="1">
      <alignment horizontal="right" vertical="bottom"/>
    </xf>
    <xf borderId="9" fillId="10" fontId="2" numFmtId="0" xfId="0" applyAlignment="1" applyBorder="1" applyFill="1" applyFont="1">
      <alignment vertical="bottom"/>
    </xf>
    <xf borderId="0" fillId="10" fontId="1" numFmtId="0" xfId="0" applyAlignment="1" applyFont="1">
      <alignment readingOrder="0" vertical="bottom"/>
    </xf>
    <xf borderId="0" fillId="10" fontId="1" numFmtId="0" xfId="0" applyAlignment="1" applyFont="1">
      <alignment vertical="bottom"/>
    </xf>
    <xf borderId="7" fillId="10" fontId="1" numFmtId="0" xfId="0" applyAlignment="1" applyBorder="1" applyFont="1">
      <alignment vertical="bottom"/>
    </xf>
    <xf borderId="9" fillId="10" fontId="1" numFmtId="0" xfId="0" applyAlignment="1" applyBorder="1" applyFont="1">
      <alignment vertical="bottom"/>
    </xf>
    <xf borderId="0" fillId="10" fontId="2" numFmtId="166" xfId="0" applyAlignment="1" applyFont="1" applyNumberFormat="1">
      <alignment horizontal="right" readingOrder="0" vertical="bottom"/>
    </xf>
    <xf borderId="0" fillId="10" fontId="2" numFmtId="10" xfId="0" applyAlignment="1" applyFont="1" applyNumberFormat="1">
      <alignment horizontal="right" vertical="bottom"/>
    </xf>
    <xf borderId="7" fillId="10" fontId="2" numFmtId="0" xfId="0" applyAlignment="1" applyBorder="1" applyFont="1">
      <alignment horizontal="right" vertical="bottom"/>
    </xf>
    <xf borderId="10" fillId="10" fontId="1" numFmtId="0" xfId="0" applyAlignment="1" applyBorder="1" applyFont="1">
      <alignment vertical="bottom"/>
    </xf>
    <xf borderId="1" fillId="10" fontId="2" numFmtId="4" xfId="0" applyAlignment="1" applyBorder="1" applyFont="1" applyNumberFormat="1">
      <alignment horizontal="right" vertical="bottom"/>
    </xf>
    <xf borderId="1" fillId="10" fontId="2" numFmtId="10" xfId="0" applyAlignment="1" applyBorder="1" applyFont="1" applyNumberFormat="1">
      <alignment horizontal="right" vertical="bottom"/>
    </xf>
    <xf borderId="3" fillId="1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0" fillId="10" fontId="2" numFmtId="4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11" fillId="0" fontId="7" numFmtId="0" xfId="0" applyAlignment="1" applyBorder="1" applyFont="1">
      <alignment readingOrder="0"/>
    </xf>
    <xf borderId="12" fillId="0" fontId="7" numFmtId="0" xfId="0" applyAlignment="1" applyBorder="1" applyFont="1">
      <alignment horizontal="right" readingOrder="0"/>
    </xf>
    <xf borderId="13" fillId="0" fontId="8" numFmtId="0" xfId="0" applyAlignment="1" applyBorder="1" applyFont="1">
      <alignment horizontal="center" readingOrder="0"/>
    </xf>
    <xf borderId="13" fillId="0" fontId="9" numFmtId="0" xfId="0" applyBorder="1" applyFont="1"/>
    <xf borderId="14" fillId="0" fontId="8" numFmtId="0" xfId="0" applyAlignment="1" applyBorder="1" applyFont="1">
      <alignment horizontal="center" readingOrder="0"/>
    </xf>
    <xf borderId="15" fillId="0" fontId="9" numFmtId="0" xfId="0" applyBorder="1" applyFont="1"/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11" fontId="11" numFmtId="0" xfId="0" applyAlignment="1" applyFill="1" applyFont="1">
      <alignment vertical="bottom"/>
    </xf>
    <xf borderId="0" fillId="11" fontId="11" numFmtId="10" xfId="0" applyAlignment="1" applyFont="1" applyNumberFormat="1">
      <alignment vertical="bottom"/>
    </xf>
    <xf borderId="0" fillId="11" fontId="11" numFmtId="0" xfId="0" applyAlignment="1" applyFont="1">
      <alignment vertical="bottom"/>
    </xf>
    <xf borderId="0" fillId="11" fontId="11" numFmtId="2" xfId="0" applyAlignment="1" applyFont="1" applyNumberFormat="1">
      <alignment vertical="bottom"/>
    </xf>
    <xf borderId="0" fillId="12" fontId="12" numFmtId="0" xfId="0" applyAlignment="1" applyFill="1" applyFont="1">
      <alignment horizontal="right" vertical="bottom"/>
    </xf>
    <xf borderId="0" fillId="12" fontId="12" numFmtId="10" xfId="0" applyAlignment="1" applyFont="1" applyNumberFormat="1">
      <alignment horizontal="right" vertical="bottom"/>
    </xf>
    <xf borderId="0" fillId="12" fontId="12" numFmtId="2" xfId="0" applyAlignment="1" applyFont="1" applyNumberFormat="1">
      <alignment horizontal="right" vertical="bottom"/>
    </xf>
    <xf borderId="0" fillId="2" fontId="12" numFmtId="0" xfId="0" applyAlignment="1" applyFont="1">
      <alignment horizontal="right" vertical="bottom"/>
    </xf>
    <xf borderId="0" fillId="12" fontId="12" numFmtId="10" xfId="0" applyAlignment="1" applyFont="1" applyNumberFormat="1">
      <alignment vertical="bottom"/>
    </xf>
    <xf borderId="0" fillId="12" fontId="12" numFmtId="2" xfId="0" applyAlignment="1" applyFont="1" applyNumberFormat="1">
      <alignment vertical="bottom"/>
    </xf>
    <xf borderId="0" fillId="11" fontId="12" numFmtId="0" xfId="0" applyAlignment="1" applyFont="1">
      <alignment vertical="bottom"/>
    </xf>
    <xf borderId="0" fillId="12" fontId="12" numFmtId="0" xfId="0" applyAlignment="1" applyFont="1">
      <alignment vertical="bottom"/>
    </xf>
    <xf borderId="0" fillId="13" fontId="12" numFmtId="0" xfId="0" applyAlignment="1" applyFill="1" applyFont="1">
      <alignment horizontal="right" vertical="bottom"/>
    </xf>
    <xf borderId="0" fillId="13" fontId="12" numFmtId="10" xfId="0" applyAlignment="1" applyFont="1" applyNumberFormat="1">
      <alignment horizontal="right" vertical="bottom"/>
    </xf>
    <xf borderId="0" fillId="13" fontId="12" numFmtId="2" xfId="0" applyAlignment="1" applyFont="1" applyNumberFormat="1">
      <alignment horizontal="right" vertical="bottom"/>
    </xf>
    <xf borderId="0" fillId="13" fontId="12" numFmtId="10" xfId="0" applyAlignment="1" applyFont="1" applyNumberFormat="1">
      <alignment vertical="bottom"/>
    </xf>
    <xf borderId="0" fillId="13" fontId="12" numFmtId="2" xfId="0" applyAlignment="1" applyFont="1" applyNumberFormat="1">
      <alignment vertical="bottom"/>
    </xf>
    <xf borderId="0" fillId="13" fontId="12" numFmtId="0" xfId="0" applyAlignment="1" applyFont="1">
      <alignment vertical="bottom"/>
    </xf>
    <xf borderId="0" fillId="14" fontId="12" numFmtId="0" xfId="0" applyAlignment="1" applyFill="1" applyFont="1">
      <alignment horizontal="right" vertical="bottom"/>
    </xf>
    <xf borderId="0" fillId="14" fontId="12" numFmtId="10" xfId="0" applyAlignment="1" applyFont="1" applyNumberFormat="1">
      <alignment horizontal="right" vertical="bottom"/>
    </xf>
    <xf borderId="0" fillId="14" fontId="12" numFmtId="2" xfId="0" applyAlignment="1" applyFont="1" applyNumberFormat="1">
      <alignment horizontal="right" vertical="bottom"/>
    </xf>
    <xf borderId="0" fillId="14" fontId="12" numFmtId="10" xfId="0" applyAlignment="1" applyFont="1" applyNumberFormat="1">
      <alignment vertical="bottom"/>
    </xf>
    <xf borderId="0" fillId="14" fontId="12" numFmtId="2" xfId="0" applyAlignment="1" applyFont="1" applyNumberFormat="1">
      <alignment vertical="bottom"/>
    </xf>
    <xf borderId="0" fillId="14" fontId="12" numFmtId="0" xfId="0" applyAlignment="1" applyFont="1">
      <alignment vertical="bottom"/>
    </xf>
    <xf borderId="0" fillId="15" fontId="12" numFmtId="0" xfId="0" applyAlignment="1" applyFill="1" applyFont="1">
      <alignment horizontal="right" vertical="bottom"/>
    </xf>
    <xf borderId="0" fillId="15" fontId="12" numFmtId="10" xfId="0" applyAlignment="1" applyFont="1" applyNumberFormat="1">
      <alignment horizontal="right" vertical="bottom"/>
    </xf>
    <xf borderId="0" fillId="15" fontId="12" numFmtId="2" xfId="0" applyAlignment="1" applyFont="1" applyNumberFormat="1">
      <alignment horizontal="right" vertical="bottom"/>
    </xf>
    <xf borderId="0" fillId="15" fontId="12" numFmtId="10" xfId="0" applyAlignment="1" applyFont="1" applyNumberFormat="1">
      <alignment vertical="bottom"/>
    </xf>
    <xf borderId="0" fillId="15" fontId="12" numFmtId="2" xfId="0" applyAlignment="1" applyFont="1" applyNumberFormat="1">
      <alignment vertical="bottom"/>
    </xf>
    <xf borderId="0" fillId="15" fontId="12" numFmtId="0" xfId="0" applyAlignment="1" applyFont="1">
      <alignment vertical="bottom"/>
    </xf>
    <xf borderId="0" fillId="16" fontId="12" numFmtId="0" xfId="0" applyAlignment="1" applyFill="1" applyFont="1">
      <alignment horizontal="right" vertical="bottom"/>
    </xf>
    <xf borderId="0" fillId="16" fontId="12" numFmtId="10" xfId="0" applyAlignment="1" applyFont="1" applyNumberFormat="1">
      <alignment horizontal="right" vertical="bottom"/>
    </xf>
    <xf borderId="0" fillId="16" fontId="12" numFmtId="2" xfId="0" applyAlignment="1" applyFont="1" applyNumberFormat="1">
      <alignment horizontal="right" vertical="bottom"/>
    </xf>
    <xf borderId="0" fillId="16" fontId="12" numFmtId="10" xfId="0" applyAlignment="1" applyFont="1" applyNumberFormat="1">
      <alignment vertical="bottom"/>
    </xf>
    <xf borderId="0" fillId="16" fontId="12" numFmtId="2" xfId="0" applyAlignment="1" applyFont="1" applyNumberFormat="1">
      <alignment vertical="bottom"/>
    </xf>
    <xf borderId="0" fillId="16" fontId="12" numFmtId="0" xfId="0" applyAlignment="1" applyFont="1">
      <alignment vertical="bottom"/>
    </xf>
    <xf borderId="0" fillId="17" fontId="12" numFmtId="0" xfId="0" applyAlignment="1" applyFill="1" applyFont="1">
      <alignment horizontal="right" vertical="bottom"/>
    </xf>
    <xf borderId="0" fillId="17" fontId="12" numFmtId="10" xfId="0" applyAlignment="1" applyFont="1" applyNumberFormat="1">
      <alignment horizontal="right" vertical="bottom"/>
    </xf>
    <xf borderId="0" fillId="17" fontId="12" numFmtId="2" xfId="0" applyAlignment="1" applyFont="1" applyNumberFormat="1">
      <alignment horizontal="right" vertical="bottom"/>
    </xf>
    <xf borderId="0" fillId="17" fontId="12" numFmtId="10" xfId="0" applyAlignment="1" applyFont="1" applyNumberFormat="1">
      <alignment vertical="bottom"/>
    </xf>
    <xf borderId="0" fillId="17" fontId="12" numFmtId="2" xfId="0" applyAlignment="1" applyFont="1" applyNumberFormat="1">
      <alignment vertical="bottom"/>
    </xf>
    <xf borderId="0" fillId="17" fontId="1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12" numFmtId="0" xfId="0" applyAlignment="1" applyFont="1">
      <alignment horizontal="right" vertical="bottom"/>
    </xf>
    <xf borderId="0" fillId="0" fontId="2" numFmtId="2" xfId="0" applyAlignment="1" applyFont="1" applyNumberFormat="1">
      <alignment vertical="bottom"/>
    </xf>
    <xf borderId="0" fillId="11" fontId="11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11" fillId="0" fontId="2" numFmtId="2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11" fillId="18" fontId="2" numFmtId="2" xfId="0" applyAlignment="1" applyBorder="1" applyFill="1" applyFont="1" applyNumberFormat="1">
      <alignment horizontal="right" vertical="bottom"/>
    </xf>
    <xf borderId="12" fillId="18" fontId="2" numFmtId="0" xfId="0" applyAlignment="1" applyBorder="1" applyFont="1">
      <alignment vertical="bottom"/>
    </xf>
    <xf borderId="11" fillId="0" fontId="2" numFmtId="2" xfId="0" applyAlignment="1" applyBorder="1" applyFont="1" applyNumberFormat="1">
      <alignment vertical="bottom"/>
    </xf>
    <xf borderId="11" fillId="18" fontId="2" numFmtId="2" xfId="0" applyAlignment="1" applyBorder="1" applyFont="1" applyNumberFormat="1">
      <alignment vertical="bottom"/>
    </xf>
    <xf borderId="4" fillId="0" fontId="13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12" fontId="1" numFmtId="0" xfId="0" applyAlignment="1" applyFont="1">
      <alignment vertical="bottom"/>
    </xf>
    <xf borderId="0" fillId="0" fontId="12" numFmtId="10" xfId="0" applyAlignment="1" applyFont="1" applyNumberFormat="1">
      <alignment horizontal="right" vertical="bottom"/>
    </xf>
    <xf borderId="0" fillId="0" fontId="12" numFmtId="2" xfId="0" applyAlignment="1" applyFont="1" applyNumberFormat="1">
      <alignment horizontal="center" vertical="bottom"/>
    </xf>
    <xf borderId="0" fillId="0" fontId="12" numFmtId="10" xfId="0" applyAlignment="1" applyFont="1" applyNumberFormat="1">
      <alignment horizontal="center" vertical="bottom"/>
    </xf>
    <xf borderId="0" fillId="13" fontId="1" numFmtId="0" xfId="0" applyAlignment="1" applyFont="1">
      <alignment vertical="bottom"/>
    </xf>
    <xf borderId="0" fillId="14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16" fontId="1" numFmtId="0" xfId="0" applyAlignment="1" applyFont="1">
      <alignment vertical="bottom"/>
    </xf>
    <xf borderId="0" fillId="17" fontId="1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0" fontId="1" numFmtId="10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center" vertical="bottom"/>
    </xf>
    <xf borderId="1" fillId="0" fontId="1" numFmtId="10" xfId="0" applyAlignment="1" applyBorder="1" applyFont="1" applyNumberFormat="1">
      <alignment horizontal="center"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17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18" fontId="16" numFmtId="0" xfId="0" applyAlignment="1" applyFont="1">
      <alignment vertical="bottom"/>
    </xf>
    <xf borderId="0" fillId="19" fontId="1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18" fontId="16" numFmtId="0" xfId="0" applyAlignment="1" applyFont="1">
      <alignment vertical="bottom"/>
    </xf>
    <xf borderId="1" fillId="11" fontId="11" numFmtId="0" xfId="0" applyAlignment="1" applyBorder="1" applyFont="1">
      <alignment vertical="bottom"/>
    </xf>
    <xf borderId="1" fillId="11" fontId="11" numFmtId="0" xfId="0" applyAlignment="1" applyBorder="1" applyFont="1">
      <alignment readingOrder="0" vertical="bottom"/>
    </xf>
    <xf borderId="6" fillId="11" fontId="11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11" fontId="11" numFmtId="0" xfId="0" applyAlignment="1" applyFont="1">
      <alignment horizontal="right" vertical="bottom"/>
    </xf>
    <xf borderId="6" fillId="0" fontId="2" numFmtId="10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12" numFmtId="0" xfId="0" applyAlignment="1" applyFont="1">
      <alignment vertical="bottom"/>
    </xf>
    <xf borderId="0" fillId="20" fontId="11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10" xfId="0" applyAlignment="1" applyFont="1" applyNumberFormat="1">
      <alignment vertical="bottom"/>
    </xf>
    <xf borderId="0" fillId="19" fontId="1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167" xfId="0" applyAlignment="1" applyFont="1" applyNumberForma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I-TJ3JviejzOKcSac2_eZx-3g2yiyU8xjmsyG-VbYw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  <c r="C1" s="2"/>
      <c r="D1" s="3" t="s">
        <v>2</v>
      </c>
    </row>
    <row r="2">
      <c r="A2" s="2" t="s">
        <v>3</v>
      </c>
      <c r="B2" s="4">
        <v>45896.0</v>
      </c>
      <c r="C2" s="2"/>
      <c r="D2" s="2"/>
      <c r="E2" s="5" t="s">
        <v>4</v>
      </c>
      <c r="F2" s="6"/>
      <c r="G2" s="6"/>
      <c r="H2" s="6"/>
      <c r="I2" s="6"/>
      <c r="J2" s="6"/>
      <c r="K2" s="6"/>
    </row>
    <row r="3">
      <c r="A3" s="2" t="s">
        <v>5</v>
      </c>
      <c r="B3" s="7" t="s">
        <v>6</v>
      </c>
      <c r="C3" s="8"/>
      <c r="D3" s="2"/>
      <c r="E3" s="9"/>
      <c r="F3" s="10" t="str">
        <f>Draft!B24</f>
        <v>Gargantuan</v>
      </c>
      <c r="G3" s="10" t="str">
        <f>Draft!C24</f>
        <v>Team C</v>
      </c>
      <c r="H3" s="10" t="str">
        <f>Draft!D24</f>
        <v>Candice?</v>
      </c>
      <c r="I3" s="10" t="str">
        <f>Draft!E24</f>
        <v>Team E</v>
      </c>
      <c r="J3" s="10" t="str">
        <f>Draft!F24</f>
        <v>Migos</v>
      </c>
      <c r="K3" s="10" t="str">
        <f>Draft!G24</f>
        <v>Team F</v>
      </c>
    </row>
    <row r="4">
      <c r="A4" s="2" t="s">
        <v>7</v>
      </c>
      <c r="B4" s="7" t="s">
        <v>8</v>
      </c>
      <c r="C4" s="8"/>
      <c r="D4" s="2"/>
      <c r="E4" s="11" t="s">
        <v>9</v>
      </c>
      <c r="F4" s="12" t="str">
        <f>Draft!B25</f>
        <v>Tyler</v>
      </c>
      <c r="G4" s="13" t="str">
        <f>Draft!C25</f>
        <v>Du</v>
      </c>
      <c r="H4" s="13" t="str">
        <f>Draft!D25</f>
        <v>John</v>
      </c>
      <c r="I4" s="13" t="str">
        <f>Draft!E25</f>
        <v>Guel</v>
      </c>
      <c r="J4" s="13" t="str">
        <f>Draft!F25</f>
        <v>Arnav</v>
      </c>
      <c r="K4" s="13" t="str">
        <f>Draft!G25</f>
        <v>Jay</v>
      </c>
    </row>
    <row r="5">
      <c r="A5" s="2" t="s">
        <v>10</v>
      </c>
      <c r="B5" s="7"/>
      <c r="C5" s="8"/>
      <c r="D5" s="2"/>
      <c r="E5" s="11" t="s">
        <v>11</v>
      </c>
      <c r="F5" s="11" t="str">
        <f>Draft!B26</f>
        <v>Lucas</v>
      </c>
      <c r="G5" s="10" t="str">
        <f>Draft!C26</f>
        <v>Neo</v>
      </c>
      <c r="H5" s="10" t="str">
        <f>Draft!D26</f>
        <v>Cole</v>
      </c>
      <c r="I5" s="13" t="str">
        <f>Draft!E26</f>
        <v>Pasha</v>
      </c>
      <c r="J5" s="10" t="str">
        <f>Draft!F26</f>
        <v>Brendan</v>
      </c>
      <c r="K5" s="10" t="str">
        <f>Draft!G26</f>
        <v>Schmid</v>
      </c>
    </row>
    <row r="6">
      <c r="A6" s="2" t="s">
        <v>12</v>
      </c>
      <c r="B6" s="7" t="s">
        <v>13</v>
      </c>
      <c r="C6" s="14"/>
      <c r="D6" s="2"/>
      <c r="E6" s="11" t="s">
        <v>14</v>
      </c>
      <c r="F6" s="11" t="str">
        <f>Draft!B27</f>
        <v>Porco</v>
      </c>
      <c r="G6" s="10" t="str">
        <f>Draft!C27</f>
        <v>Fritz</v>
      </c>
      <c r="H6" s="10" t="str">
        <f>Draft!D27</f>
        <v>Dannegger</v>
      </c>
      <c r="I6" s="10" t="str">
        <f>Draft!E27</f>
        <v>Yost</v>
      </c>
      <c r="J6" s="10" t="str">
        <f>Draft!F27</f>
        <v>Kumbatovic</v>
      </c>
      <c r="K6" s="10" t="str">
        <f>Draft!G27</f>
        <v>DC</v>
      </c>
    </row>
    <row r="7">
      <c r="A7" s="2" t="s">
        <v>15</v>
      </c>
      <c r="B7" s="7"/>
      <c r="C7" s="8"/>
      <c r="D7" s="2"/>
      <c r="E7" s="11" t="s">
        <v>16</v>
      </c>
      <c r="F7" s="11" t="str">
        <f>Draft!B28</f>
        <v>Andy Yu</v>
      </c>
      <c r="G7" s="10" t="str">
        <f>Draft!C28</f>
        <v>Eric</v>
      </c>
      <c r="H7" s="10" t="str">
        <f>Draft!D28</f>
        <v>KZ</v>
      </c>
      <c r="I7" s="10" t="str">
        <f>Draft!E28</f>
        <v>Sean</v>
      </c>
      <c r="J7" s="10" t="str">
        <f>Draft!F28</f>
        <v>Paul</v>
      </c>
      <c r="K7" s="10" t="str">
        <f>Draft!G28</f>
        <v>Steven</v>
      </c>
    </row>
    <row r="8">
      <c r="A8" s="2" t="s">
        <v>17</v>
      </c>
      <c r="B8" s="15" t="s">
        <v>18</v>
      </c>
      <c r="C8" s="8"/>
      <c r="D8" s="2"/>
      <c r="E8" s="11" t="s">
        <v>19</v>
      </c>
      <c r="F8" s="11" t="str">
        <f>Draft!B29</f>
        <v>Dli</v>
      </c>
      <c r="G8" s="10" t="str">
        <f>Draft!C29</f>
        <v>Ilt</v>
      </c>
      <c r="H8" s="10" t="str">
        <f>Draft!D29</f>
        <v>Adi</v>
      </c>
      <c r="I8" s="10" t="str">
        <f>Draft!E29</f>
        <v>Samos</v>
      </c>
      <c r="J8" s="10" t="str">
        <f>Draft!F29</f>
        <v>Raymond</v>
      </c>
      <c r="K8" s="10" t="str">
        <f>Draft!G29</f>
        <v>Dave</v>
      </c>
    </row>
    <row r="9">
      <c r="A9" s="2" t="s">
        <v>20</v>
      </c>
      <c r="B9" s="7" t="s">
        <v>21</v>
      </c>
      <c r="C9" s="16"/>
      <c r="D9" s="2"/>
      <c r="E9" s="11" t="s">
        <v>22</v>
      </c>
      <c r="F9" s="11" t="str">
        <f>Draft!B30</f>
        <v>Somil</v>
      </c>
      <c r="G9" s="10" t="str">
        <f>Draft!C30</f>
        <v>Matvey</v>
      </c>
      <c r="H9" s="10" t="str">
        <f>Draft!D30</f>
        <v>Gavin</v>
      </c>
      <c r="I9" s="10" t="str">
        <f>Draft!E30</f>
        <v>Soho</v>
      </c>
      <c r="J9" s="10" t="str">
        <f>Draft!F30</f>
        <v>TC</v>
      </c>
      <c r="K9" s="10" t="str">
        <f>Draft!G30</f>
        <v>Lulu</v>
      </c>
    </row>
    <row r="10">
      <c r="A10" s="2" t="s">
        <v>23</v>
      </c>
      <c r="B10" s="7" t="s">
        <v>24</v>
      </c>
      <c r="C10" s="16"/>
      <c r="D10" s="2" t="s">
        <v>25</v>
      </c>
      <c r="E10" s="11" t="s">
        <v>26</v>
      </c>
      <c r="F10" s="11" t="str">
        <f>Draft!B31</f>
        <v>VIshal</v>
      </c>
      <c r="G10" s="10" t="str">
        <f>Draft!C31</f>
        <v>James</v>
      </c>
      <c r="H10" s="10" t="str">
        <f>Draft!D31</f>
        <v>David</v>
      </c>
      <c r="I10" s="10" t="str">
        <f>Draft!E31</f>
        <v>Haldar</v>
      </c>
      <c r="J10" s="10" t="str">
        <f>Draft!F31</f>
        <v>Kyi</v>
      </c>
      <c r="K10" s="10" t="str">
        <f>Draft!G31</f>
        <v>Will</v>
      </c>
    </row>
    <row r="11">
      <c r="A11" s="17" t="s">
        <v>27</v>
      </c>
      <c r="B11" s="7" t="s">
        <v>28</v>
      </c>
      <c r="C11" s="2"/>
      <c r="D11" s="2"/>
      <c r="E11" s="11" t="s">
        <v>29</v>
      </c>
      <c r="F11" s="18" t="s">
        <v>30</v>
      </c>
      <c r="G11" s="19" t="s">
        <v>31</v>
      </c>
      <c r="H11" s="19" t="s">
        <v>32</v>
      </c>
      <c r="I11" s="10" t="str">
        <f>Draft!E32</f>
        <v>Dji</v>
      </c>
      <c r="J11" s="10" t="str">
        <f>Draft!F32</f>
        <v>Jwu</v>
      </c>
      <c r="K11" s="10" t="str">
        <f>Draft!G32</f>
        <v>Hershey</v>
      </c>
    </row>
    <row r="12">
      <c r="A12" s="2" t="s">
        <v>27</v>
      </c>
      <c r="B12" s="7" t="s">
        <v>33</v>
      </c>
      <c r="C12" s="2"/>
      <c r="D12" s="2"/>
      <c r="E12" s="11" t="s">
        <v>34</v>
      </c>
      <c r="F12" s="18" t="s">
        <v>35</v>
      </c>
      <c r="G12" s="19" t="s">
        <v>36</v>
      </c>
      <c r="H12" s="19" t="s">
        <v>37</v>
      </c>
      <c r="I12" s="19" t="s">
        <v>38</v>
      </c>
      <c r="J12" s="19" t="s">
        <v>39</v>
      </c>
      <c r="K12" s="19" t="s">
        <v>40</v>
      </c>
    </row>
    <row r="13">
      <c r="A13" s="2" t="s">
        <v>41</v>
      </c>
      <c r="B13" s="7" t="s">
        <v>42</v>
      </c>
      <c r="C13" s="2"/>
      <c r="D13" s="2"/>
      <c r="E13" s="11" t="s">
        <v>43</v>
      </c>
      <c r="F13" s="18" t="s">
        <v>44</v>
      </c>
      <c r="G13" s="19" t="s">
        <v>45</v>
      </c>
      <c r="H13" s="10" t="str">
        <f>Draft!D34</f>
        <v/>
      </c>
      <c r="I13" s="19" t="s">
        <v>46</v>
      </c>
      <c r="J13" s="19" t="s">
        <v>47</v>
      </c>
      <c r="K13" s="19" t="s">
        <v>48</v>
      </c>
    </row>
    <row r="14">
      <c r="A14" s="2" t="s">
        <v>49</v>
      </c>
      <c r="B14" s="7" t="s">
        <v>50</v>
      </c>
      <c r="C14" s="2"/>
      <c r="D14" s="2"/>
      <c r="E14" s="18" t="s">
        <v>51</v>
      </c>
      <c r="F14" s="11" t="str">
        <f>Draft!B35</f>
        <v/>
      </c>
      <c r="G14" s="10" t="str">
        <f>Draft!C35</f>
        <v/>
      </c>
      <c r="H14" s="10" t="str">
        <f>Draft!D35</f>
        <v/>
      </c>
      <c r="I14" s="19" t="s">
        <v>52</v>
      </c>
      <c r="J14" s="19" t="s">
        <v>53</v>
      </c>
      <c r="K14" s="19" t="s">
        <v>54</v>
      </c>
    </row>
    <row r="15">
      <c r="A15" s="2" t="s">
        <v>55</v>
      </c>
      <c r="B15" s="7" t="s">
        <v>56</v>
      </c>
      <c r="C15" s="2"/>
      <c r="D15" s="2"/>
      <c r="E15" s="18" t="s">
        <v>57</v>
      </c>
      <c r="F15" s="11" t="str">
        <f>Draft!B36</f>
        <v/>
      </c>
      <c r="G15" s="10" t="str">
        <f>Draft!C36</f>
        <v/>
      </c>
      <c r="H15" s="10" t="str">
        <f>Draft!D36</f>
        <v/>
      </c>
      <c r="I15" s="10" t="str">
        <f>Draft!E36</f>
        <v/>
      </c>
      <c r="J15" s="10" t="str">
        <f>Draft!F36</f>
        <v/>
      </c>
      <c r="K15" s="10" t="str">
        <f>Draft!G36</f>
        <v/>
      </c>
    </row>
    <row r="16">
      <c r="A16" s="2" t="s">
        <v>58</v>
      </c>
      <c r="B16" s="7" t="s">
        <v>59</v>
      </c>
      <c r="C16" s="2"/>
      <c r="D16" s="2"/>
      <c r="E16" s="18" t="s">
        <v>60</v>
      </c>
      <c r="F16" s="11"/>
      <c r="G16" s="19"/>
      <c r="H16" s="20"/>
      <c r="I16" s="10"/>
      <c r="J16" s="10"/>
      <c r="K16" s="10"/>
    </row>
    <row r="17">
      <c r="A17" s="2"/>
      <c r="B17" s="2"/>
      <c r="C17" s="2"/>
      <c r="D17" s="2"/>
      <c r="E17" s="18" t="s">
        <v>61</v>
      </c>
      <c r="F17" s="11"/>
      <c r="G17" s="19"/>
      <c r="H17" s="20"/>
      <c r="I17" s="10"/>
      <c r="J17" s="10"/>
      <c r="K17" s="10"/>
    </row>
    <row r="18">
      <c r="A18" s="2"/>
      <c r="B18" s="2"/>
      <c r="C18" s="2"/>
      <c r="D18" s="2"/>
      <c r="E18" s="18" t="s">
        <v>62</v>
      </c>
      <c r="F18" s="11"/>
      <c r="G18" s="10"/>
      <c r="H18" s="12"/>
      <c r="I18" s="10"/>
      <c r="J18" s="10"/>
      <c r="K18" s="10"/>
    </row>
    <row r="19">
      <c r="A19" s="2"/>
      <c r="B19" s="2"/>
      <c r="C19" s="2"/>
      <c r="D19" s="2"/>
      <c r="E19" s="21"/>
      <c r="F19" s="21"/>
      <c r="G19" s="22"/>
      <c r="H19" s="22"/>
      <c r="I19" s="22"/>
      <c r="J19" s="22"/>
      <c r="K19" s="22"/>
    </row>
    <row r="20">
      <c r="A20" s="8"/>
      <c r="B20" s="8"/>
      <c r="C20" s="2"/>
      <c r="D20" s="2"/>
    </row>
  </sheetData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63</v>
      </c>
      <c r="B1" s="5" t="s">
        <v>64</v>
      </c>
      <c r="C1" s="6"/>
      <c r="D1" s="6"/>
      <c r="E1" s="6"/>
      <c r="F1" s="6"/>
      <c r="G1" s="2"/>
      <c r="H1" s="2"/>
      <c r="I1" s="2"/>
      <c r="J1" s="2"/>
      <c r="K1" s="2"/>
    </row>
    <row r="2">
      <c r="A2" s="24"/>
      <c r="B2" s="24"/>
      <c r="C2" s="24"/>
      <c r="D2" s="24"/>
      <c r="F2" s="25"/>
      <c r="G2" s="2"/>
    </row>
    <row r="3">
      <c r="A3" s="24"/>
      <c r="B3" s="24"/>
      <c r="C3" s="24"/>
      <c r="D3" s="24"/>
      <c r="F3" s="25"/>
      <c r="G3" s="2"/>
    </row>
    <row r="4">
      <c r="A4" s="24"/>
      <c r="B4" s="24"/>
      <c r="C4" s="24"/>
      <c r="D4" s="24"/>
      <c r="F4" s="25"/>
      <c r="G4" s="2"/>
    </row>
    <row r="5">
      <c r="A5" s="24"/>
      <c r="B5" s="24"/>
      <c r="C5" s="24"/>
      <c r="D5" s="24"/>
      <c r="E5" s="26"/>
      <c r="F5" s="25"/>
      <c r="G5" s="2"/>
    </row>
    <row r="6">
      <c r="A6" s="24"/>
      <c r="B6" s="24"/>
      <c r="C6" s="24"/>
      <c r="D6" s="24"/>
      <c r="F6" s="25"/>
      <c r="G6" s="2"/>
    </row>
    <row r="7">
      <c r="A7" s="24"/>
      <c r="B7" s="24"/>
      <c r="C7" s="24"/>
      <c r="D7" s="24"/>
      <c r="F7" s="25"/>
      <c r="G7" s="2" t="s">
        <v>25</v>
      </c>
    </row>
    <row r="8">
      <c r="A8" s="24"/>
      <c r="B8" s="24"/>
      <c r="C8" s="24"/>
      <c r="D8" s="24"/>
      <c r="F8" s="25"/>
      <c r="G8" s="2"/>
    </row>
    <row r="9">
      <c r="A9" s="24"/>
      <c r="B9" s="24"/>
      <c r="C9" s="24"/>
      <c r="D9" s="24"/>
      <c r="F9" s="25"/>
      <c r="G9" s="2"/>
      <c r="H9" s="24"/>
      <c r="I9" s="24"/>
      <c r="J9" s="24"/>
      <c r="K9" s="24"/>
      <c r="L9" s="26"/>
      <c r="M9" s="26"/>
    </row>
    <row r="10">
      <c r="A10" s="27"/>
      <c r="B10" s="27"/>
      <c r="C10" s="27"/>
      <c r="D10" s="27"/>
      <c r="E10" s="28"/>
      <c r="F10" s="29"/>
      <c r="G10" s="2"/>
      <c r="H10" s="24"/>
      <c r="I10" s="24"/>
      <c r="J10" s="24"/>
      <c r="K10" s="24"/>
      <c r="L10" s="26"/>
      <c r="M10" s="26"/>
    </row>
    <row r="11">
      <c r="A11" s="2"/>
      <c r="B11" s="2"/>
      <c r="C11" s="2"/>
      <c r="D11" s="2"/>
      <c r="E11" s="2"/>
      <c r="F11" s="2"/>
      <c r="G11" s="2"/>
    </row>
    <row r="12">
      <c r="A12" s="2" t="s">
        <v>65</v>
      </c>
      <c r="B12" s="30" t="s">
        <v>66</v>
      </c>
      <c r="C12" s="31" t="s">
        <v>67</v>
      </c>
      <c r="D12" s="32" t="s">
        <v>68</v>
      </c>
      <c r="E12" s="33" t="s">
        <v>69</v>
      </c>
      <c r="F12" s="34" t="s">
        <v>70</v>
      </c>
      <c r="G12" s="35" t="s">
        <v>71</v>
      </c>
      <c r="I12" s="26" t="s">
        <v>72</v>
      </c>
    </row>
    <row r="13">
      <c r="A13" s="2" t="s">
        <v>11</v>
      </c>
      <c r="B13" s="30" t="s">
        <v>73</v>
      </c>
      <c r="C13" s="31" t="s">
        <v>74</v>
      </c>
      <c r="D13" s="32" t="s">
        <v>75</v>
      </c>
      <c r="E13" s="33" t="s">
        <v>76</v>
      </c>
      <c r="F13" s="34" t="s">
        <v>77</v>
      </c>
      <c r="G13" s="35" t="s">
        <v>78</v>
      </c>
    </row>
    <row r="14">
      <c r="A14" s="2" t="s">
        <v>79</v>
      </c>
      <c r="B14" s="30" t="s">
        <v>80</v>
      </c>
      <c r="C14" s="31" t="s">
        <v>81</v>
      </c>
      <c r="D14" s="32" t="s">
        <v>82</v>
      </c>
      <c r="E14" s="33" t="s">
        <v>83</v>
      </c>
      <c r="F14" s="34" t="s">
        <v>84</v>
      </c>
      <c r="G14" s="35" t="s">
        <v>85</v>
      </c>
      <c r="H14" s="2"/>
      <c r="I14" s="2"/>
      <c r="J14" s="24"/>
      <c r="K14" s="2"/>
    </row>
    <row r="15">
      <c r="A15" s="2" t="s">
        <v>86</v>
      </c>
      <c r="B15" s="30" t="s">
        <v>87</v>
      </c>
      <c r="C15" s="30" t="s">
        <v>88</v>
      </c>
      <c r="D15" s="32" t="s">
        <v>89</v>
      </c>
      <c r="E15" s="33" t="s">
        <v>90</v>
      </c>
      <c r="F15" s="34" t="s">
        <v>91</v>
      </c>
      <c r="G15" s="35" t="s">
        <v>92</v>
      </c>
      <c r="H15" s="2"/>
      <c r="I15" s="2"/>
      <c r="J15" s="2"/>
      <c r="K15" s="2"/>
    </row>
    <row r="16">
      <c r="A16" s="2" t="s">
        <v>93</v>
      </c>
      <c r="B16" s="30" t="s">
        <v>94</v>
      </c>
      <c r="C16" s="31" t="s">
        <v>95</v>
      </c>
      <c r="D16" s="30" t="s">
        <v>96</v>
      </c>
      <c r="E16" s="33" t="s">
        <v>97</v>
      </c>
      <c r="F16" s="34" t="s">
        <v>98</v>
      </c>
      <c r="G16" s="35" t="s">
        <v>99</v>
      </c>
      <c r="H16" s="2"/>
      <c r="I16" s="2"/>
      <c r="J16" s="2"/>
      <c r="K16" s="2"/>
    </row>
    <row r="17">
      <c r="A17" s="2" t="s">
        <v>100</v>
      </c>
      <c r="B17" s="31" t="s">
        <v>101</v>
      </c>
      <c r="C17" s="31" t="s">
        <v>102</v>
      </c>
      <c r="D17" s="32" t="s">
        <v>103</v>
      </c>
      <c r="E17" s="33" t="s">
        <v>104</v>
      </c>
      <c r="F17" s="34" t="s">
        <v>105</v>
      </c>
      <c r="G17" s="35" t="s">
        <v>106</v>
      </c>
      <c r="H17" s="2"/>
      <c r="I17" s="2"/>
      <c r="J17" s="2"/>
      <c r="K17" s="2"/>
    </row>
    <row r="18">
      <c r="A18" s="2" t="s">
        <v>107</v>
      </c>
      <c r="B18" s="32" t="s">
        <v>108</v>
      </c>
      <c r="C18" s="31" t="s">
        <v>109</v>
      </c>
      <c r="D18" s="32" t="s">
        <v>110</v>
      </c>
      <c r="E18" s="33" t="s">
        <v>111</v>
      </c>
      <c r="F18" s="34" t="s">
        <v>112</v>
      </c>
      <c r="G18" s="35" t="s">
        <v>52</v>
      </c>
      <c r="H18" s="2"/>
      <c r="I18" s="2" t="s">
        <v>113</v>
      </c>
      <c r="J18" s="2"/>
      <c r="K18" s="2"/>
    </row>
    <row r="19">
      <c r="A19" s="2" t="s">
        <v>114</v>
      </c>
      <c r="B19" s="30"/>
      <c r="C19" s="31"/>
      <c r="D19" s="32"/>
      <c r="E19" s="33" t="s">
        <v>115</v>
      </c>
      <c r="F19" s="34" t="s">
        <v>116</v>
      </c>
      <c r="G19" s="35" t="s">
        <v>117</v>
      </c>
      <c r="H19" s="2"/>
      <c r="I19" s="2"/>
      <c r="J19" s="24"/>
      <c r="K19" s="2"/>
    </row>
    <row r="20">
      <c r="A20" s="2" t="s">
        <v>118</v>
      </c>
      <c r="B20" s="30"/>
      <c r="C20" s="31"/>
      <c r="D20" s="32"/>
      <c r="E20" s="33"/>
      <c r="F20" s="34"/>
      <c r="G20" s="35"/>
      <c r="H20" s="2"/>
      <c r="I20" s="2"/>
      <c r="J20" s="24"/>
      <c r="K20" s="2"/>
    </row>
    <row r="21">
      <c r="A21" s="2" t="s">
        <v>119</v>
      </c>
      <c r="B21" s="30"/>
      <c r="C21" s="31"/>
      <c r="D21" s="32"/>
      <c r="E21" s="33"/>
      <c r="F21" s="34"/>
      <c r="G21" s="35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6" t="s">
        <v>120</v>
      </c>
      <c r="B23" s="36"/>
      <c r="C23" s="36"/>
      <c r="D23" s="36"/>
      <c r="E23" s="36"/>
      <c r="F23" s="6"/>
      <c r="G23" s="6"/>
      <c r="H23" s="2"/>
      <c r="I23" s="2"/>
      <c r="J23" s="2"/>
      <c r="K23" s="2"/>
    </row>
    <row r="24">
      <c r="A24" s="11"/>
      <c r="B24" s="19" t="s">
        <v>121</v>
      </c>
      <c r="C24" s="19" t="s">
        <v>122</v>
      </c>
      <c r="D24" s="19" t="s">
        <v>123</v>
      </c>
      <c r="E24" s="19" t="s">
        <v>124</v>
      </c>
      <c r="F24" s="19" t="s">
        <v>125</v>
      </c>
      <c r="G24" s="19" t="s">
        <v>126</v>
      </c>
      <c r="H24" s="2"/>
      <c r="I24" s="2"/>
      <c r="J24" s="2"/>
      <c r="K24" s="2"/>
    </row>
    <row r="25">
      <c r="A25" s="11" t="s">
        <v>9</v>
      </c>
      <c r="B25" s="37" t="s">
        <v>66</v>
      </c>
      <c r="C25" s="37" t="s">
        <v>67</v>
      </c>
      <c r="D25" s="37" t="s">
        <v>68</v>
      </c>
      <c r="E25" s="37" t="s">
        <v>69</v>
      </c>
      <c r="F25" s="37" t="s">
        <v>70</v>
      </c>
      <c r="G25" s="37" t="s">
        <v>71</v>
      </c>
      <c r="H25" s="2"/>
      <c r="I25" s="2"/>
      <c r="J25" s="2"/>
      <c r="K25" s="2"/>
    </row>
    <row r="26">
      <c r="A26" s="11" t="s">
        <v>11</v>
      </c>
      <c r="B26" s="37" t="s">
        <v>73</v>
      </c>
      <c r="C26" s="37" t="s">
        <v>74</v>
      </c>
      <c r="D26" s="37" t="s">
        <v>75</v>
      </c>
      <c r="E26" s="37" t="s">
        <v>76</v>
      </c>
      <c r="F26" s="19" t="s">
        <v>77</v>
      </c>
      <c r="G26" s="19" t="s">
        <v>78</v>
      </c>
      <c r="H26" s="2"/>
      <c r="I26" s="2"/>
      <c r="J26" s="2"/>
      <c r="K26" s="2"/>
    </row>
    <row r="27">
      <c r="A27" s="11" t="s">
        <v>14</v>
      </c>
      <c r="B27" s="37" t="s">
        <v>80</v>
      </c>
      <c r="C27" s="37" t="s">
        <v>81</v>
      </c>
      <c r="D27" s="37" t="s">
        <v>82</v>
      </c>
      <c r="E27" s="37" t="s">
        <v>83</v>
      </c>
      <c r="F27" s="19" t="s">
        <v>84</v>
      </c>
      <c r="G27" s="19" t="s">
        <v>85</v>
      </c>
      <c r="H27" s="2"/>
      <c r="I27" s="2"/>
      <c r="J27" s="2"/>
      <c r="K27" s="2"/>
    </row>
    <row r="28">
      <c r="A28" s="11" t="s">
        <v>16</v>
      </c>
      <c r="B28" s="37" t="s">
        <v>87</v>
      </c>
      <c r="C28" s="37" t="s">
        <v>95</v>
      </c>
      <c r="D28" s="37" t="s">
        <v>89</v>
      </c>
      <c r="E28" s="37" t="s">
        <v>90</v>
      </c>
      <c r="F28" s="19" t="s">
        <v>91</v>
      </c>
      <c r="G28" s="19" t="s">
        <v>92</v>
      </c>
      <c r="H28" s="2"/>
      <c r="I28" s="2"/>
      <c r="J28" s="2"/>
      <c r="K28" s="2"/>
    </row>
    <row r="29">
      <c r="A29" s="11" t="s">
        <v>19</v>
      </c>
      <c r="B29" s="37" t="s">
        <v>88</v>
      </c>
      <c r="C29" s="37" t="s">
        <v>127</v>
      </c>
      <c r="D29" s="37" t="s">
        <v>103</v>
      </c>
      <c r="E29" s="37" t="s">
        <v>97</v>
      </c>
      <c r="F29" s="19" t="s">
        <v>98</v>
      </c>
      <c r="G29" s="19" t="s">
        <v>99</v>
      </c>
      <c r="H29" s="2"/>
      <c r="I29" s="2"/>
      <c r="J29" s="2"/>
      <c r="K29" s="2"/>
    </row>
    <row r="30">
      <c r="A30" s="11" t="s">
        <v>22</v>
      </c>
      <c r="B30" s="37" t="s">
        <v>94</v>
      </c>
      <c r="C30" s="37" t="s">
        <v>102</v>
      </c>
      <c r="D30" s="37" t="s">
        <v>108</v>
      </c>
      <c r="E30" s="37" t="s">
        <v>104</v>
      </c>
      <c r="F30" s="19" t="s">
        <v>105</v>
      </c>
      <c r="G30" s="19" t="s">
        <v>106</v>
      </c>
      <c r="H30" s="2"/>
      <c r="I30" s="2"/>
      <c r="J30" s="2"/>
      <c r="K30" s="2"/>
    </row>
    <row r="31">
      <c r="A31" s="11" t="s">
        <v>26</v>
      </c>
      <c r="B31" s="37" t="s">
        <v>128</v>
      </c>
      <c r="C31" s="37" t="s">
        <v>109</v>
      </c>
      <c r="D31" s="37" t="s">
        <v>110</v>
      </c>
      <c r="E31" s="37" t="s">
        <v>111</v>
      </c>
      <c r="F31" s="19" t="s">
        <v>112</v>
      </c>
      <c r="G31" s="38" t="s">
        <v>52</v>
      </c>
      <c r="H31" s="2"/>
      <c r="I31" s="2"/>
      <c r="J31" s="2"/>
      <c r="K31" s="2"/>
    </row>
    <row r="32">
      <c r="A32" s="11" t="s">
        <v>29</v>
      </c>
      <c r="B32" s="37" t="s">
        <v>30</v>
      </c>
      <c r="C32" s="37" t="s">
        <v>31</v>
      </c>
      <c r="D32" s="37" t="s">
        <v>32</v>
      </c>
      <c r="E32" s="37" t="s">
        <v>115</v>
      </c>
      <c r="F32" s="19" t="s">
        <v>116</v>
      </c>
      <c r="G32" s="19" t="s">
        <v>117</v>
      </c>
      <c r="H32" s="2"/>
      <c r="I32" s="2"/>
      <c r="J32" s="2"/>
      <c r="K32" s="2"/>
    </row>
    <row r="33">
      <c r="A33" s="11" t="s">
        <v>34</v>
      </c>
      <c r="B33" s="19" t="s">
        <v>35</v>
      </c>
      <c r="C33" s="19" t="s">
        <v>36</v>
      </c>
      <c r="D33" s="19" t="s">
        <v>37</v>
      </c>
      <c r="E33" s="19" t="s">
        <v>38</v>
      </c>
      <c r="F33" s="19" t="s">
        <v>39</v>
      </c>
      <c r="G33" s="19" t="s">
        <v>40</v>
      </c>
      <c r="H33" s="2"/>
      <c r="I33" s="2"/>
      <c r="J33" s="2"/>
      <c r="K33" s="2"/>
    </row>
    <row r="34">
      <c r="A34" s="11" t="s">
        <v>43</v>
      </c>
      <c r="B34" s="37" t="s">
        <v>44</v>
      </c>
      <c r="C34" s="37" t="s">
        <v>45</v>
      </c>
      <c r="D34" s="37"/>
      <c r="E34" s="37" t="s">
        <v>46</v>
      </c>
      <c r="F34" s="37" t="s">
        <v>47</v>
      </c>
      <c r="G34" s="19" t="s">
        <v>48</v>
      </c>
      <c r="H34" s="2"/>
      <c r="I34" s="2"/>
      <c r="J34" s="2"/>
      <c r="K34" s="2"/>
    </row>
    <row r="35">
      <c r="A35" s="39" t="s">
        <v>129</v>
      </c>
      <c r="B35" s="12"/>
      <c r="C35" s="39"/>
      <c r="D35" s="12"/>
      <c r="E35" s="39" t="s">
        <v>52</v>
      </c>
      <c r="F35" s="39" t="s">
        <v>53</v>
      </c>
      <c r="G35" s="40" t="s">
        <v>54</v>
      </c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3" t="s">
        <v>15</v>
      </c>
      <c r="B37" s="5" t="s">
        <v>64</v>
      </c>
      <c r="C37" s="6"/>
      <c r="D37" s="6"/>
      <c r="E37" s="6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41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41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41"/>
      <c r="F40" s="8"/>
      <c r="G40" s="2"/>
      <c r="H40" s="2"/>
      <c r="I40" s="2"/>
      <c r="J40" s="2"/>
      <c r="K40" s="2"/>
    </row>
    <row r="41">
      <c r="A41" s="2"/>
      <c r="B41" s="2"/>
      <c r="C41" s="2"/>
      <c r="D41" s="2"/>
      <c r="E41" s="41"/>
      <c r="F41" s="2"/>
      <c r="G41" s="2"/>
      <c r="H41" s="2"/>
      <c r="I41" s="2"/>
      <c r="J41" s="2"/>
      <c r="K41" s="2"/>
    </row>
    <row r="42">
      <c r="A42" s="6"/>
      <c r="B42" s="6"/>
      <c r="C42" s="6"/>
      <c r="D42" s="6"/>
      <c r="E42" s="10"/>
      <c r="F42" s="2"/>
      <c r="G42" s="2"/>
      <c r="H42" s="2"/>
      <c r="I42" s="2"/>
      <c r="J42" s="2"/>
      <c r="K42" s="2"/>
    </row>
    <row r="43">
      <c r="A43" s="6"/>
      <c r="B43" s="6"/>
      <c r="C43" s="6"/>
      <c r="D43" s="36"/>
      <c r="E43" s="36"/>
      <c r="F43" s="36"/>
      <c r="G43" s="6"/>
      <c r="H43" s="2"/>
      <c r="I43" s="2"/>
      <c r="J43" s="2"/>
      <c r="K43" s="2"/>
    </row>
    <row r="44">
      <c r="A44" s="11" t="s">
        <v>120</v>
      </c>
      <c r="B44" s="10"/>
      <c r="C44" s="10"/>
      <c r="D44" s="10"/>
      <c r="E44" s="10"/>
      <c r="F44" s="42"/>
      <c r="G44" s="10"/>
      <c r="H44" s="2"/>
      <c r="I44" s="2"/>
      <c r="J44" s="2"/>
      <c r="K44" s="2"/>
    </row>
    <row r="45">
      <c r="A45" s="11"/>
      <c r="B45" s="42" t="str">
        <f t="shared" ref="B45:G45" si="1">B24</f>
        <v>Gargantuan</v>
      </c>
      <c r="C45" s="42" t="str">
        <f t="shared" si="1"/>
        <v>Team C</v>
      </c>
      <c r="D45" s="42" t="str">
        <f t="shared" si="1"/>
        <v>Candice?</v>
      </c>
      <c r="E45" s="42" t="str">
        <f t="shared" si="1"/>
        <v>Team E</v>
      </c>
      <c r="F45" s="42" t="str">
        <f t="shared" si="1"/>
        <v>Migos</v>
      </c>
      <c r="G45" s="42" t="str">
        <f t="shared" si="1"/>
        <v>Team F</v>
      </c>
      <c r="H45" s="2"/>
      <c r="I45" s="2"/>
      <c r="J45" s="2"/>
      <c r="K45" s="2"/>
    </row>
    <row r="46">
      <c r="A46" s="43" t="s">
        <v>65</v>
      </c>
      <c r="B46" s="44" t="s">
        <v>66</v>
      </c>
      <c r="C46" s="45" t="s">
        <v>67</v>
      </c>
      <c r="D46" s="46" t="s">
        <v>68</v>
      </c>
      <c r="E46" s="47" t="s">
        <v>69</v>
      </c>
      <c r="F46" s="48" t="s">
        <v>70</v>
      </c>
      <c r="G46" s="49" t="s">
        <v>71</v>
      </c>
      <c r="H46" s="2"/>
      <c r="I46" s="2"/>
      <c r="J46" s="2"/>
      <c r="K46" s="2"/>
    </row>
    <row r="47">
      <c r="A47" s="6"/>
      <c r="B47" s="36"/>
      <c r="C47" s="36"/>
      <c r="D47" s="36"/>
      <c r="E47" s="6"/>
      <c r="F47" s="6"/>
      <c r="G47" s="6"/>
      <c r="H47" s="2"/>
      <c r="I47" s="2"/>
      <c r="J47" s="2"/>
      <c r="K47" s="2"/>
    </row>
    <row r="48">
      <c r="A48" s="43">
        <v>1.0</v>
      </c>
      <c r="B48" s="44" t="s">
        <v>73</v>
      </c>
      <c r="C48" s="45" t="s">
        <v>74</v>
      </c>
      <c r="D48" s="46" t="s">
        <v>75</v>
      </c>
      <c r="E48" s="47" t="s">
        <v>76</v>
      </c>
      <c r="F48" s="48" t="s">
        <v>130</v>
      </c>
      <c r="G48" s="49" t="s">
        <v>78</v>
      </c>
      <c r="H48" s="2"/>
      <c r="I48" s="2"/>
      <c r="J48" s="2"/>
      <c r="K48" s="2"/>
    </row>
    <row r="49">
      <c r="A49" s="50">
        <f t="shared" ref="A49:A58" si="2">A48+1</f>
        <v>2</v>
      </c>
      <c r="B49" s="44" t="s">
        <v>80</v>
      </c>
      <c r="C49" s="45" t="s">
        <v>81</v>
      </c>
      <c r="D49" s="46" t="s">
        <v>82</v>
      </c>
      <c r="E49" s="47" t="s">
        <v>83</v>
      </c>
      <c r="F49" s="48" t="s">
        <v>131</v>
      </c>
      <c r="G49" s="49" t="s">
        <v>85</v>
      </c>
      <c r="H49" s="2"/>
      <c r="I49" s="2"/>
      <c r="J49" s="2"/>
      <c r="K49" s="2"/>
    </row>
    <row r="50">
      <c r="A50" s="50">
        <f t="shared" si="2"/>
        <v>3</v>
      </c>
      <c r="B50" s="44" t="s">
        <v>87</v>
      </c>
      <c r="C50" s="45" t="s">
        <v>95</v>
      </c>
      <c r="D50" s="46" t="s">
        <v>89</v>
      </c>
      <c r="E50" s="47" t="s">
        <v>90</v>
      </c>
      <c r="F50" s="48" t="s">
        <v>91</v>
      </c>
      <c r="G50" s="49" t="s">
        <v>92</v>
      </c>
      <c r="H50" s="2"/>
      <c r="I50" s="2"/>
      <c r="J50" s="2"/>
      <c r="K50" s="2"/>
    </row>
    <row r="51">
      <c r="A51" s="50">
        <f t="shared" si="2"/>
        <v>4</v>
      </c>
      <c r="B51" s="44" t="s">
        <v>88</v>
      </c>
      <c r="C51" s="45" t="s">
        <v>127</v>
      </c>
      <c r="D51" s="46" t="s">
        <v>103</v>
      </c>
      <c r="E51" s="47" t="s">
        <v>97</v>
      </c>
      <c r="F51" s="48" t="s">
        <v>98</v>
      </c>
      <c r="G51" s="49" t="s">
        <v>99</v>
      </c>
      <c r="H51" s="2"/>
      <c r="I51" s="2"/>
      <c r="J51" s="2"/>
      <c r="K51" s="2"/>
    </row>
    <row r="52">
      <c r="A52" s="50">
        <f t="shared" si="2"/>
        <v>5</v>
      </c>
      <c r="B52" s="44" t="s">
        <v>94</v>
      </c>
      <c r="C52" s="45" t="s">
        <v>102</v>
      </c>
      <c r="D52" s="46" t="s">
        <v>108</v>
      </c>
      <c r="E52" s="47" t="s">
        <v>104</v>
      </c>
      <c r="F52" s="48" t="s">
        <v>105</v>
      </c>
      <c r="G52" s="49" t="s">
        <v>106</v>
      </c>
      <c r="H52" s="2"/>
      <c r="I52" s="2"/>
      <c r="J52" s="2"/>
      <c r="K52" s="2"/>
    </row>
    <row r="53">
      <c r="A53" s="50">
        <f t="shared" si="2"/>
        <v>6</v>
      </c>
      <c r="B53" s="44" t="s">
        <v>96</v>
      </c>
      <c r="C53" s="45" t="s">
        <v>109</v>
      </c>
      <c r="D53" s="46" t="s">
        <v>132</v>
      </c>
      <c r="E53" s="47" t="s">
        <v>111</v>
      </c>
      <c r="F53" s="48" t="s">
        <v>112</v>
      </c>
      <c r="G53" s="49" t="s">
        <v>133</v>
      </c>
      <c r="H53" s="2"/>
      <c r="I53" s="2"/>
      <c r="J53" s="2"/>
      <c r="K53" s="2"/>
    </row>
    <row r="54">
      <c r="A54" s="50">
        <f t="shared" si="2"/>
        <v>7</v>
      </c>
      <c r="B54" s="44" t="s">
        <v>134</v>
      </c>
      <c r="C54" s="45" t="s">
        <v>135</v>
      </c>
      <c r="D54" s="46" t="s">
        <v>32</v>
      </c>
      <c r="E54" s="47" t="s">
        <v>115</v>
      </c>
      <c r="F54" s="48" t="s">
        <v>116</v>
      </c>
      <c r="G54" s="49" t="s">
        <v>117</v>
      </c>
      <c r="H54" s="2"/>
      <c r="I54" s="2"/>
      <c r="J54" s="2"/>
      <c r="K54" s="2"/>
    </row>
    <row r="55">
      <c r="A55" s="50">
        <f t="shared" si="2"/>
        <v>8</v>
      </c>
      <c r="B55" s="44" t="s">
        <v>136</v>
      </c>
      <c r="C55" s="45" t="s">
        <v>36</v>
      </c>
      <c r="D55" s="46" t="s">
        <v>37</v>
      </c>
      <c r="E55" s="47" t="s">
        <v>137</v>
      </c>
      <c r="F55" s="48" t="s">
        <v>39</v>
      </c>
      <c r="G55" s="49"/>
      <c r="H55" s="2"/>
      <c r="I55" s="2"/>
      <c r="J55" s="2"/>
      <c r="K55" s="2"/>
    </row>
    <row r="56">
      <c r="A56" s="50">
        <f t="shared" si="2"/>
        <v>9</v>
      </c>
      <c r="B56" s="44" t="s">
        <v>138</v>
      </c>
      <c r="C56" s="45" t="s">
        <v>139</v>
      </c>
      <c r="D56" s="46"/>
      <c r="E56" s="47" t="s">
        <v>140</v>
      </c>
      <c r="F56" s="48" t="s">
        <v>47</v>
      </c>
      <c r="G56" s="49" t="s">
        <v>48</v>
      </c>
      <c r="H56" s="2"/>
      <c r="I56" s="2"/>
      <c r="J56" s="2"/>
      <c r="K56" s="2"/>
    </row>
    <row r="57">
      <c r="A57" s="50">
        <f t="shared" si="2"/>
        <v>10</v>
      </c>
      <c r="B57" s="44"/>
      <c r="C57" s="45"/>
      <c r="D57" s="46"/>
      <c r="E57" s="47" t="s">
        <v>141</v>
      </c>
      <c r="F57" s="48" t="s">
        <v>53</v>
      </c>
      <c r="G57" s="49" t="s">
        <v>54</v>
      </c>
      <c r="H57" s="2"/>
      <c r="I57" s="2"/>
      <c r="J57" s="2"/>
      <c r="K57" s="2"/>
    </row>
    <row r="58">
      <c r="A58" s="50">
        <f t="shared" si="2"/>
        <v>11</v>
      </c>
      <c r="B58" s="44"/>
      <c r="C58" s="45"/>
      <c r="D58" s="46"/>
      <c r="E58" s="47"/>
      <c r="F58" s="48"/>
      <c r="G58" s="49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Draft!B25</f>
        <v>Tyler</v>
      </c>
      <c r="B1" s="6"/>
      <c r="C1" s="6"/>
      <c r="D1" s="6"/>
      <c r="E1" s="6"/>
      <c r="F1" s="2"/>
      <c r="G1" s="6" t="str">
        <f>Draft!D25</f>
        <v>John</v>
      </c>
      <c r="H1" s="6"/>
      <c r="I1" s="6"/>
      <c r="J1" s="6"/>
      <c r="K1" s="6"/>
      <c r="L1" s="2"/>
      <c r="M1" s="51" t="s">
        <v>142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52" t="str">
        <f>Draft!B24</f>
        <v>Gargantuan</v>
      </c>
      <c r="B2" s="6" t="s">
        <v>143</v>
      </c>
      <c r="C2" s="6" t="s">
        <v>144</v>
      </c>
      <c r="D2" s="6" t="s">
        <v>145</v>
      </c>
      <c r="E2" s="10" t="s">
        <v>146</v>
      </c>
      <c r="F2" s="41"/>
      <c r="G2" s="53" t="str">
        <f>Draft!D24</f>
        <v>Candice?</v>
      </c>
      <c r="H2" s="6" t="s">
        <v>143</v>
      </c>
      <c r="I2" s="6" t="s">
        <v>144</v>
      </c>
      <c r="J2" s="6" t="s">
        <v>145</v>
      </c>
      <c r="K2" s="10" t="s">
        <v>146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4" t="s">
        <v>5</v>
      </c>
      <c r="B3" s="2" t="str">
        <f>VLOOKUP(A2, 'Full Schedule'!$A$3:$B$9, 2, False)</f>
        <v>Team E</v>
      </c>
      <c r="C3" s="2" t="str">
        <f>if(match(A2, 'Full Schedule'!$A$3:$A$8, 0)&lt;4, "Home", "Away")</f>
        <v>Away</v>
      </c>
      <c r="D3" s="2" t="str">
        <f>if('Week 1'!$A$1=A2, 'Week 1'!$F$1, if('Week 1'!$K$1=A2, 'Week 1'!$P$1, if('Week 1'!$A$21=A2, 'Week 1'!$F$21, if('Week 1'!$K$21=A2, 'Week 1'!$P$21, if('Week 1'!$A$41=A2, 'Week 1'!$F$41, if('Week 1'!$K$41=A2, 'Week 1'!$P$41))))))</f>
        <v>Loss</v>
      </c>
      <c r="E3" s="41">
        <f>if('Week 1'!$A$1=A2, 'Week 1'!$I$1, if('Week 1'!$K$1=A2, 'Week 1'!$S$1, if('Week 1'!$A$21=A2, 'Week 1'!$I$21, if('Week 1'!$K$21=A2, 'Week 1'!$S$21, if('Week 1'!$A$41=A2, 'Week 1'!$I$41, if('Week 1'!$K$41=A2, 'Week 1'!$S$41))))))</f>
        <v>-1</v>
      </c>
      <c r="F3" s="41"/>
      <c r="G3" s="41" t="s">
        <v>5</v>
      </c>
      <c r="H3" s="2" t="str">
        <f>VLOOKUP(G2, 'Full Schedule'!$A$3:$B$9, 2, False)</f>
        <v>Migos</v>
      </c>
      <c r="I3" s="2" t="str">
        <f>if(match(G2, 'Full Schedule'!$A$3:$A$8, 0)&lt;4, "Home", "Away")</f>
        <v>Home</v>
      </c>
      <c r="J3" s="2" t="str">
        <f>if('Week 1'!$A$1=G2, 'Week 1'!$F$1, if('Week 1'!$K$1=G2, 'Week 1'!$P$1, if('Week 1'!$A$21=G2, 'Week 1'!$F$21, if('Week 1'!$K$21=G2, 'Week 1'!$P$21, if('Week 1'!$A$41=G2, 'Week 1'!$F$41, if('Week 1'!$K$41=G2, 'Week 1'!$P$41))))))</f>
        <v>Win</v>
      </c>
      <c r="K3" s="41">
        <f>if('Week 1'!$A$1=G2, 'Week 1'!$I$1, if('Week 1'!$K$1=G2, 'Week 1'!$S$1, if('Week 1'!$A$21=G2, 'Week 1'!$I$21, if('Week 1'!$K$21=G2, 'Week 1'!$S$21, if('Week 1'!$A$41=G2, 'Week 1'!$I$41, if('Week 1'!$K$41=G2, 'Week 1'!$S$41))))))</f>
        <v>11</v>
      </c>
      <c r="L3" s="2"/>
      <c r="M3" s="2"/>
      <c r="N3" s="5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54" t="s">
        <v>7</v>
      </c>
      <c r="B4" s="2" t="str">
        <f>vlookup(A2, 'Full Schedule'!$C$3:$D$8, 2, False)</f>
        <v>Candice?</v>
      </c>
      <c r="C4" s="2" t="str">
        <f>if(match(A2, 'Full Schedule'!$C$3:$C$8, 0)&lt;4, "Home", "Away")</f>
        <v>Home</v>
      </c>
      <c r="D4" s="2" t="str">
        <f>if('Week 2'!$A$1=A2, 'Week 2'!$F$1, if('Week 2'!$K$1=A2, 'Week 2'!$P$1, if('Week 2'!$A$21=A2, 'Week 2'!$F$21, if('Week 2'!$K$21=A2, 'Week 2'!$P$21, if('Week 2'!$A$41=A2, 'Week 2'!$F$41, if('Week 2'!$K$41=A2, 'Week 2'!$P$41))))))</f>
        <v>Loss</v>
      </c>
      <c r="E4" s="41">
        <f>if('Week 2'!$A$1=A2, 'Week 2'!$I$1, if('Week 2'!$K$1=A2, 'Week 2'!$S$1, if('Week 2'!$A$21=A2, 'Week 2'!$I$21, if('Week 2'!$K$21=A2, 'Week 2'!$S$21, if('Week 2'!$A$41=A2, 'Week 2'!$I$41, if('Week 2'!$K$41=A2, 'Week 2'!$S$41))))))</f>
        <v>-19</v>
      </c>
      <c r="F4" s="41"/>
      <c r="G4" s="41" t="s">
        <v>7</v>
      </c>
      <c r="H4" s="2" t="str">
        <f>vlookup(G2, 'Full Schedule'!$C$3:$D$8, 2, False)</f>
        <v>Gargantuan</v>
      </c>
      <c r="I4" s="2" t="str">
        <f>if(match(G2, 'Full Schedule'!$C$3:$C$8, 0)&lt;4, "Home", "Away")</f>
        <v>Away</v>
      </c>
      <c r="J4" s="2" t="str">
        <f>if('Week 2'!$A$1=G2, 'Week 2'!$F$1, if('Week 2'!$K$1=G2, 'Week 2'!$P$1, if('Week 2'!$A$21=G2, 'Week 2'!$F$21, if('Week 2'!$K$21=G2, 'Week 2'!$P$21, if('Week 2'!$A$41=G2, 'Week 2'!$F$41, if('Week 2'!$K$41=G2, 'Week 2'!$P$41))))))</f>
        <v>Win</v>
      </c>
      <c r="K4" s="41">
        <f>if('Week 2'!$A$1=G2, 'Week 2'!$I$1, if('Week 2'!$K$1=G2, 'Week 2'!$S$1, if('Week 2'!$A$21=G2, 'Week 2'!$I$21, if('Week 2'!$K$21=G2, 'Week 2'!$S$21, if('Week 2'!$A$41=G2, 'Week 2'!$I$41, if('Week 2'!$K$41=G2, 'Week 2'!$S$41))))))</f>
        <v>19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4" t="s">
        <v>12</v>
      </c>
      <c r="B5" s="2" t="str">
        <f>vlookup(A2, 'Full Schedule'!$E$3:$F$8, 2, False)</f>
        <v>Migos</v>
      </c>
      <c r="C5" s="2" t="str">
        <f>if(match(A2, 'Full Schedule'!$E$3:$E$8, 0)&lt;4, "Home", "Away")</f>
        <v>Away</v>
      </c>
      <c r="D5" s="2" t="str">
        <f>if('Week 3'!$A$1=A2, 'Week 3'!$F$1, if('Week 3'!$K$1=A2, 'Week 3'!$P$1, if('Week 3'!$A$21=A2, 'Week 3'!$F$21, if('Week 3'!$K$21=A2, 'Week 3'!$P$21, if('Week 3'!$A$41=A2, 'Week 3'!$F$41, if('Week 3'!$K$41=A2, 'Week 3'!$P$41))))))</f>
        <v>Loss</v>
      </c>
      <c r="E5" s="41">
        <f>if('Week 3'!$A$1=A2, 'Week 3'!$I$1, if('Week 3'!$K$1=A2, 'Week 3'!$S$1, if('Week 3'!$A$21=A2, 'Week 3'!$I$21, if('Week 3'!$K$21=A2, 'Week 3'!$S$21, if('Week 3'!$A$41=A2, 'Week 3'!$I$41, if('Week 3'!$K$41=A2, 'Week 3'!$S$41))))))</f>
        <v>-6</v>
      </c>
      <c r="F5" s="41"/>
      <c r="G5" s="41" t="s">
        <v>12</v>
      </c>
      <c r="H5" s="2" t="str">
        <f>vlookup(G2, 'Full Schedule'!$E$3:$F$8, 2, False)</f>
        <v>Team F</v>
      </c>
      <c r="I5" s="2" t="str">
        <f>if(match(G2, 'Full Schedule'!$E$3:$E$8, 0)&lt;4, "Home", "Away")</f>
        <v>Away</v>
      </c>
      <c r="J5" s="2" t="str">
        <f>if('Week 3'!$A$1=G2, 'Week 3'!$F$1, if('Week 3'!$K$1=G2, 'Week 3'!$P$1, if('Week 3'!$A$21=G2, 'Week 3'!$F$21, if('Week 3'!$K$21=G2, 'Week 3'!$P$21, if('Week 3'!$A$41=G2, 'Week 3'!$F$41, if('Week 3'!$K$41=G2, 'Week 3'!$P$41))))))</f>
        <v>Win</v>
      </c>
      <c r="K5" s="41">
        <f>if('Week 3'!$A$1=G2, 'Week 3'!$I$1, if('Week 3'!$K$1=G2, 'Week 3'!$S$1, if('Week 3'!$A$21=G2, 'Week 3'!$I$21, if('Week 3'!$K$21=G2, 'Week 3'!$S$21, if('Week 3'!$A$41=G2, 'Week 3'!$I$41, if('Week 3'!$K$41=G2, 'Week 3'!$S$41))))))</f>
        <v>21</v>
      </c>
      <c r="L5" s="2"/>
      <c r="M5" s="6" t="s">
        <v>147</v>
      </c>
      <c r="N5" s="6"/>
      <c r="O5" s="6"/>
      <c r="P5" s="6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4" t="s">
        <v>17</v>
      </c>
      <c r="B6" s="2" t="str">
        <f>vlookup(A2, 'Full Schedule'!$G$3:$H$8, 2, False)</f>
        <v>Candice?</v>
      </c>
      <c r="C6" s="2" t="str">
        <f>if(match(A2, 'Full Schedule'!$G$3:$G$8, 0)&lt;4, "Home", "Away")</f>
        <v>Away</v>
      </c>
      <c r="D6" s="2" t="str">
        <f>if('Week 4'!$A$1=A2, 'Week 4'!$F$1, if('Week 4'!$K$1=A2, 'Week 4'!$P$1, if('Week 4'!$A$21=A2, 'Week 4'!$F$21, if('Week 4'!$K$21=A2, 'Week 4'!$P$21, if('Week 4'!$A$41=A2, 'Week 4'!$F$41, if('Week 4'!$K$41=A2, 'Week 4'!$P$41))))))</f>
        <v>Win</v>
      </c>
      <c r="E6" s="41">
        <f>if('Week 4'!$A$1=A2, 'Week 4'!$I$1, if('Week 4'!$K$1=A2, 'Week 4'!$S$1, if('Week 4'!$A$21=A2, 'Week 4'!$I$21, if('Week 4'!$K$21=A2, 'Week 4'!$S$21, if('Week 4'!$A$41=A2, 'Week 4'!$I$41, if('Week 4'!$K$41=A2, 'Week 4'!$S$41))))))</f>
        <v>3</v>
      </c>
      <c r="F6" s="41"/>
      <c r="G6" s="41" t="s">
        <v>17</v>
      </c>
      <c r="H6" s="2" t="str">
        <f>vlookup(G2, 'Full Schedule'!$G$3:$H$8, 2, False)</f>
        <v>Gargantuan</v>
      </c>
      <c r="I6" s="2" t="str">
        <f>if(match(G2, 'Full Schedule'!$G$3:$G$8, 0)&lt;4, "Home", "Away")</f>
        <v>Home</v>
      </c>
      <c r="J6" s="2" t="str">
        <f>if('Week 4'!$A$1=G2, 'Week 4'!$F$1, if('Week 4'!$K$1=G2, 'Week 4'!$P$1, if('Week 4'!$A$21=G2, 'Week 4'!$F$21, if('Week 4'!$K$21=G2, 'Week 4'!$P$21, if('Week 4'!$A$41=G2, 'Week 4'!$F$41, if('Week 4'!$K$41=G2, 'Week 4'!$P$41))))))</f>
        <v>Loss</v>
      </c>
      <c r="K6" s="41">
        <f>if('Week 4'!$A$1=G2, 'Week 4'!$I$1, if('Week 4'!$K$1=G2, 'Week 4'!$S$1, if('Week 4'!$A$21=G2, 'Week 4'!$I$21, if('Week 4'!$K$21=G2, 'Week 4'!$S$21, if('Week 4'!$A$41=G2, 'Week 4'!$I$41, if('Week 4'!$K$41=G2, 'Week 4'!$S$41))))))</f>
        <v>-3</v>
      </c>
      <c r="L6" s="41"/>
      <c r="M6" s="56"/>
      <c r="N6" s="57" t="s">
        <v>148</v>
      </c>
      <c r="O6" s="58" t="s">
        <v>149</v>
      </c>
      <c r="P6" s="59" t="s">
        <v>146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4" t="s">
        <v>20</v>
      </c>
      <c r="B7" s="2" t="str">
        <f>vlookup(A2, 'Full Schedule'!$I$3:$J$8, 2, False)</f>
        <v>Migos</v>
      </c>
      <c r="C7" s="2" t="str">
        <f>if(match(A2, 'Full Schedule'!$I$3:$I$8, 0)&lt;4, "Home", "Away")</f>
        <v>Home</v>
      </c>
      <c r="D7" s="2" t="str">
        <f>if('Week 5'!$A$1=A2, 'Week 5'!$F$1, if('Week 5'!$K$1=A2, 'Week 5'!$P$1, if('Week 5'!$A$21=A2, 'Week 5'!$F$21, if('Week 5'!$K$21=A2, 'Week 5'!$P$21, if('Week 5'!$A$41=A2, 'Week 5'!$F$41, if('Week 5'!$K$41=A2, 'Week 5'!$P$41))))))</f>
        <v>Loss</v>
      </c>
      <c r="E7" s="41">
        <f>if('Week 5'!$A$1=A2, 'Week 5'!$I$1, if('Week 5'!$K$1=A2, 'Week 5'!$S$1, if('Week 5'!$A$21=A2, 'Week 5'!$I$21, if('Week 5'!$K$21=A2, 'Week 5'!$S$21, if('Week 5'!$A$41=A2, 'Week 5'!$I$41, if('Week 5'!$K$41=A2, 'Week 5'!$S$41))))))</f>
        <v>-5</v>
      </c>
      <c r="F7" s="41"/>
      <c r="G7" s="41" t="s">
        <v>20</v>
      </c>
      <c r="H7" s="2" t="str">
        <f>vlookup(G2, 'Full Schedule'!$I$3:$J$8, 2, False)</f>
        <v>Team E</v>
      </c>
      <c r="I7" s="2" t="str">
        <f>if(match(G2, 'Full Schedule'!$I$3:$I$8, 0)&lt;4, "Home", "Away")</f>
        <v>Home</v>
      </c>
      <c r="J7" s="2" t="str">
        <f>if('Week 5'!$A$1=G2, 'Week 5'!$F$1, if('Week 5'!$K$1=G2, 'Week 5'!$P$1, if('Week 5'!$A$21=G2, 'Week 5'!$F$21, if('Week 5'!$K$21=G2, 'Week 5'!$P$21, if('Week 5'!$A$41=G2, 'Week 5'!$F$41, if('Week 5'!$K$41=G2, 'Week 5'!$P$41))))))</f>
        <v>Loss</v>
      </c>
      <c r="K7" s="41">
        <f>if('Week 5'!$A$1=G2, 'Week 5'!$I$1, if('Week 5'!$K$1=G2, 'Week 5'!$S$1, if('Week 5'!$A$21=G2, 'Week 5'!$I$21, if('Week 5'!$K$21=G2, 'Week 5'!$S$21, if('Week 5'!$A$41=G2, 'Week 5'!$I$41, if('Week 5'!$K$41=G2, 'Week 5'!$S$41))))))</f>
        <v>-1</v>
      </c>
      <c r="L7" s="41"/>
      <c r="M7" s="60" t="str">
        <f>A15</f>
        <v>Team C</v>
      </c>
      <c r="N7" s="61">
        <v>45691.0</v>
      </c>
      <c r="O7" s="62">
        <f t="shared" ref="O7:P7" si="1">if($M7=$A$2, D$12, if($M7=$G$2, J$12, if($M7=$A$15, D$25, if($M7=$G$15, J$25, if($M7=$A$28, D$38, if($M7=$G$28, J$38))))))</f>
        <v>0.4285714286</v>
      </c>
      <c r="P7" s="63">
        <f t="shared" si="1"/>
        <v>-40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54" t="s">
        <v>23</v>
      </c>
      <c r="B8" s="2" t="str">
        <f>vlookup(A2, 'Full Schedule'!$K$3:$L$8, 2, False)</f>
        <v>Team C</v>
      </c>
      <c r="C8" s="2" t="str">
        <f>if(match(A2, 'Full Schedule'!$K$3:$K$8, 0)&lt;4, "Home", "Away")</f>
        <v>Home</v>
      </c>
      <c r="D8" s="2" t="str">
        <f>if('Week 6'!$A$1=A2, 'Week 6'!$F$1, if('Week 6'!$K$1=A2, 'Week 6'!$P$1, if('Week 6'!$A$21=A2, 'Week 6'!$F$21, if('Week 6'!$K$21=A2, 'Week 6'!$P$21, if('Week 6'!$A$41=A2, 'Week 6'!$F$41, if('Week 6'!K$41=A2, 'Week 6'!$P$41))))))</f>
        <v>Win</v>
      </c>
      <c r="E8" s="41">
        <f>if('Week 6'!$A$1=A2, 'Week 6'!$I$1, if('Week 6'!$K$1=A2, 'Week 6'!$S$1, if('Week 6'!$A$21=A2, 'Week 6'!$I$21, if('Week 6'!$K$21=A2, 'Week 6'!$S$21, if('Week 6'!$A$41=A2, 'Week 6'!$I$41, if('Week 6'!$K$41=A2, 'Week 6'!$S$41))))))</f>
        <v>6</v>
      </c>
      <c r="F8" s="41"/>
      <c r="G8" s="41" t="s">
        <v>23</v>
      </c>
      <c r="H8" s="2" t="str">
        <f>vlookup(G2, 'Full Schedule'!$K$3:$L$8, 2, False)</f>
        <v>Migos</v>
      </c>
      <c r="I8" s="2" t="str">
        <f>if(match(G2, 'Full Schedule'!$K$3:$K$8, 0)&lt;4, "Home", "Away")</f>
        <v>Away</v>
      </c>
      <c r="J8" s="2" t="str">
        <f>if('Week 6'!$A$1=G2, 'Week 6'!$F$1, if('Week 6'!$K$1=G2, 'Week 6'!$P$1, if('Week 6'!$A$21=G2, 'Week 6'!$F$21, if('Week 6'!$K$21=G2, 'Week 6'!$P$21, if('Week 6'!$A$41=G2, 'Week 6'!$F$41, if('Week 6'!$K$41=G2, 'Week 6'!$P$41))))))</f>
        <v>Loss</v>
      </c>
      <c r="K8" s="41">
        <f>if('Week 6'!$A$1=G2, 'Week 6'!$I$1, if('Week 6'!$K$1=G2, 'Week 6'!$S$1, if('Week 6'!$A$21=G2, 'Week 6'!$I$21, if('Week 6'!$K$21=G2, 'Week 6'!$S$21, if('Week 6'!$A$41=G2, 'Week 6'!$I$41, if('Week 6'!$K$41=G2, 'Week 6'!$S$41))))))</f>
        <v>-1</v>
      </c>
      <c r="L8" s="41"/>
      <c r="M8" s="60" t="str">
        <f>Draft!E24</f>
        <v>Team E</v>
      </c>
      <c r="N8" s="61">
        <v>45719.0</v>
      </c>
      <c r="O8" s="62">
        <f t="shared" ref="O8:P8" si="2">if($M8=$A$2, D$12, if($M8=$G$2, J$12, if($M8=$A$15, D$25, if($M8=$G$15, J$25, if($M8=$A$28, D$38, if($M8=$G$28, J$38))))))</f>
        <v>0.5</v>
      </c>
      <c r="P8" s="63">
        <f t="shared" si="2"/>
        <v>-3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54" t="s">
        <v>41</v>
      </c>
      <c r="B9" s="2" t="str">
        <f>vlookup(A2, 'Full Schedule'!$M$3:$N$8, 2, False)</f>
        <v>Team F</v>
      </c>
      <c r="C9" s="2" t="s">
        <v>150</v>
      </c>
      <c r="D9" s="2" t="str">
        <f>if('Week 7'!$A$1=A2, 'Week 7'!$F1, if('Week 7'!$K$1=A2, 'Week 7'!$P$1, if('Week 7'!$A$21=A2, 'Week 7'!$F$21, if('Week 7'!$K$21=A2, 'Week 7'!$P$21, if('Week 7'!$A$41=A2, 'Week 7'!$F$41, if('Week 7'!$K$41=A2, 'Week 7'!$P$41))))))</f>
        <v>Win</v>
      </c>
      <c r="E9" s="41">
        <f>if('Week 7'!$A$1=A2, 'Week 7'!$I$1, if('Week 7'!$K$1=A2, 'Week 7'!$S$1, if('Week 7'!$A$21=A2, 'Week 7'!$I$21, if('Week 7'!$K$21=A2, 'Week 7'!$S$21, if('Week 7'!$A$41=A2, 'Week 7'!$I$41, if('Week 7'!$K$41=A2, 'Week 7'!$S$41))))))</f>
        <v>1</v>
      </c>
      <c r="F9" s="41"/>
      <c r="G9" s="41" t="s">
        <v>41</v>
      </c>
      <c r="H9" s="2" t="str">
        <f>vlookup(G2, 'Full Schedule'!$M$3:$N$8, 2, False)</f>
        <v>Team C</v>
      </c>
      <c r="I9" s="2" t="s">
        <v>150</v>
      </c>
      <c r="J9" s="2" t="str">
        <f>if('Week 7'!$A$1=G2, 'Week 7'!$F1, if('Week 7'!$K$1=G2, 'Week 7'!$P$1, if('Week 7'!$A$21=G2, 'Week 7'!$F$21, if('Week 7'!$K$21=G2, 'Week 7'!$P$21, if('Week 7'!$A$41=G2, 'Week 7'!$F$41, if('Week 7'!$K$41=G2, 'Week 7'!$P$41))))))</f>
        <v>Loss</v>
      </c>
      <c r="K9" s="41">
        <f>if('Week 7'!$A$1=G2, 'Week 7'!$I$1, if('Week 7'!$K$1=G2, 'Week 7'!$S$1, if('Week 7'!$A$21=G2, 'Week 7'!$I$21, if('Week 7'!$K$21=G2, 'Week 7'!$S$21, if('Week 7'!$A$41=G2, 'Week 7'!$I$41, if('Week 7'!$K$41=G2, 'Week 7'!$S$41))))))</f>
        <v>-9</v>
      </c>
      <c r="L9" s="41"/>
      <c r="M9" s="64" t="str">
        <f>Draft!G24</f>
        <v>Team F</v>
      </c>
      <c r="N9" s="65" t="str">
        <f>if($M9=$A$2, CONCATENATE(countif($D$3:$D$9, "Win"),"-", countif($D$3:$D$9, "Loss")), if($M9=$G$2, CONCATENATE(countif($J$3:$J$9, "Win"),"-", countif($J$3:$J$9, "Loss")), if($M9=$A$15, CONCATENATE(countif($J$3:$J$9, "Win"),"-", countif($D$16:$D$22, "Loss")), if($M9=$G$15, CONCATENATE(countif($J$16:$J$22, "Win"),"-", countif($J$16:$J$22, "Loss")), if($M9=$A$28, CONCATENATE(countif($D$29:$D$35, "Win"),"-", countif($D$29:$D$35, "Loss")), if($M9=$G$28, CONCATENATE(countif($J$29:$J$35, "Win"),"-", countif($J$29:$J$35, "Loss"))))))))</f>
        <v>3-4</v>
      </c>
      <c r="O9" s="66">
        <f t="shared" ref="O9:P9" si="3">if($M9=$A$2, D$12, if($M9=$G$2, J$12, if($M9=$A$15, D$25, if($M9=$G$15, J$25, if($M9=$A$28, D$38, if($M9=$G$28, J$38))))))</f>
        <v>0.4285714286</v>
      </c>
      <c r="P9" s="67">
        <f t="shared" si="3"/>
        <v>-4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4"/>
      <c r="B10" s="8"/>
      <c r="C10" s="2"/>
      <c r="D10" s="2"/>
      <c r="E10" s="41"/>
      <c r="F10" s="41"/>
      <c r="G10" s="41"/>
      <c r="H10" s="8"/>
      <c r="I10" s="2"/>
      <c r="J10" s="2"/>
      <c r="K10" s="4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/>
      <c r="B11" s="36"/>
      <c r="C11" s="6"/>
      <c r="D11" s="6"/>
      <c r="E11" s="10"/>
      <c r="F11" s="41"/>
      <c r="G11" s="10"/>
      <c r="H11" s="36"/>
      <c r="I11" s="6"/>
      <c r="J11" s="6"/>
      <c r="K11" s="10"/>
      <c r="L11" s="2"/>
      <c r="M11" s="6" t="s">
        <v>151</v>
      </c>
      <c r="N11" s="6"/>
      <c r="O11" s="6"/>
      <c r="P11" s="6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2" t="s">
        <v>152</v>
      </c>
      <c r="B12" s="6"/>
      <c r="C12" s="6"/>
      <c r="D12" s="68">
        <f>iferror(countif(D3:D9, "Win")/(countif(D3:D9, "Win")+countif(D3:D9, "Loss")), "")</f>
        <v>0.4285714286</v>
      </c>
      <c r="E12" s="69">
        <f>SUM(E3:E11)</f>
        <v>-21</v>
      </c>
      <c r="F12" s="41"/>
      <c r="G12" s="53" t="s">
        <v>152</v>
      </c>
      <c r="H12" s="6"/>
      <c r="I12" s="6"/>
      <c r="J12" s="68">
        <f>iferror(countif(J3:J9, "Win")/(countif(J3:J9, "Win")+countif(J3:J9, "Loss")), "")</f>
        <v>0.4285714286</v>
      </c>
      <c r="K12" s="69">
        <f>SUM(K3:K11)</f>
        <v>37</v>
      </c>
      <c r="L12" s="41"/>
      <c r="M12" s="56"/>
      <c r="N12" s="57" t="s">
        <v>148</v>
      </c>
      <c r="O12" s="58" t="s">
        <v>149</v>
      </c>
      <c r="P12" s="59" t="s">
        <v>146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1"/>
      <c r="M13" s="60" t="str">
        <f>A2</f>
        <v>Gargantuan</v>
      </c>
      <c r="N13" s="70" t="str">
        <f t="shared" ref="N13:N15" si="5">if($M13=$A$2, CONCATENATE(countif($D$3:$D$9, "Win"),"-", countif($D$3:$D$9, "Loss")), if($M13=$G$2, CONCATENATE(countif($J$3:$J$9, "Win"),"-", countif($J$3:$J$9, "Loss")), if($M13=$A$15, CONCATENATE(countif($J$3:$J$9, "Win"),"-", countif($D$16:$D$22, "Loss")), if($M13=$G$15, CONCATENATE(countif($J$16:$J$22, "Win"),"-", countif($J$16:$J$22, "Loss")), if($M13=$A$28, CONCATENATE(countif($D$29:$D$35, "Win"),"-", countif($D$29:$D$35, "Loss")), if($M13=$G$28, CONCATENATE(countif($J$29:$J$35, "Win"),"-", countif($J$29:$J$35, "Loss"))))))))</f>
        <v>3-4</v>
      </c>
      <c r="O13" s="62">
        <f t="shared" ref="O13:P13" si="4">if($M13=$A$2, D$12, if($M13=$G$2, J$12, if($M13=$A$15, D$25, if($M13=$G$15, J$25, if($M13=$A$28, D$38, if($M13=$G$28, J$38))))))</f>
        <v>0.4285714286</v>
      </c>
      <c r="P13" s="63">
        <f t="shared" si="4"/>
        <v>-21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tr">
        <f>Draft!C25</f>
        <v>Du</v>
      </c>
      <c r="B14" s="6"/>
      <c r="C14" s="6"/>
      <c r="D14" s="6"/>
      <c r="E14" s="6"/>
      <c r="F14" s="2"/>
      <c r="G14" s="6" t="str">
        <f>Draft!E25</f>
        <v>Guel</v>
      </c>
      <c r="H14" s="6"/>
      <c r="I14" s="6"/>
      <c r="J14" s="6"/>
      <c r="K14" s="6"/>
      <c r="L14" s="41"/>
      <c r="M14" s="60" t="str">
        <f>Draft!D24</f>
        <v>Candice?</v>
      </c>
      <c r="N14" s="70" t="str">
        <f t="shared" si="5"/>
        <v>3-4</v>
      </c>
      <c r="O14" s="62">
        <f t="shared" ref="O14:P14" si="6">if($M14=$A$2, D$12, if($M14=$G$2, J$12, if($M14=$A$15, D$25, if($M14=$G$15, J$25, if($M14=$A$28, D$38, if($M14=$G$28, J$38))))))</f>
        <v>0.4285714286</v>
      </c>
      <c r="P14" s="63">
        <f t="shared" si="6"/>
        <v>37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2" t="str">
        <f>Draft!C24</f>
        <v>Team C</v>
      </c>
      <c r="B15" s="6" t="s">
        <v>143</v>
      </c>
      <c r="C15" s="6" t="s">
        <v>144</v>
      </c>
      <c r="D15" s="6" t="s">
        <v>145</v>
      </c>
      <c r="E15" s="10" t="s">
        <v>146</v>
      </c>
      <c r="F15" s="41"/>
      <c r="G15" s="53" t="str">
        <f>Draft!E24</f>
        <v>Team E</v>
      </c>
      <c r="H15" s="6" t="s">
        <v>143</v>
      </c>
      <c r="I15" s="6" t="s">
        <v>144</v>
      </c>
      <c r="J15" s="6" t="s">
        <v>145</v>
      </c>
      <c r="K15" s="10" t="s">
        <v>146</v>
      </c>
      <c r="L15" s="41"/>
      <c r="M15" s="64" t="str">
        <f>Draft!F24</f>
        <v>Migos</v>
      </c>
      <c r="N15" s="65" t="str">
        <f t="shared" si="5"/>
        <v>6-1</v>
      </c>
      <c r="O15" s="66">
        <f t="shared" ref="O15:P15" si="7">if($M15=$A$2, D$12, if($M15=$G$2, J$12, if($M15=$A$15, D$25, if($M15=$G$15, J$25, if($M15=$A$28, D$38, if($M15=$G$28, J$38))))))</f>
        <v>0.8571428571</v>
      </c>
      <c r="P15" s="67">
        <f t="shared" si="7"/>
        <v>31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4" t="s">
        <v>5</v>
      </c>
      <c r="B16" s="2" t="str">
        <f>VLOOKUP(A15, 'Full Schedule'!$A$3:$B$9, 2, False)</f>
        <v>Team F</v>
      </c>
      <c r="C16" s="2" t="str">
        <f>if(match(A15, 'Full Schedule'!$A$3:$A$8, 0)&lt;4, "Home", "Away")</f>
        <v>Away</v>
      </c>
      <c r="D16" s="2" t="str">
        <f>if('Week 1'!$A$1=A15, 'Week 1'!$F$1, if('Week 1'!$K$1=A15, 'Week 1'!$P$1, if('Week 1'!$A$21=A15, 'Week 1'!$F$21, if('Week 1'!$K$21=A15, 'Week 1'!$P$21, if('Week 1'!$A$41=A15, 'Week 1'!$F$41, if('Week 1'!$K$41=A15, 'Week 1'!$P$41))))))</f>
        <v>Loss</v>
      </c>
      <c r="E16" s="41">
        <f>if('Week 1'!$A$1=A15, 'Week 1'!$I$1, if('Week 1'!$K$1=A15, 'Week 1'!$S$1, if('Week 1'!$A$21=A15, 'Week 1'!$I$21, if('Week 1'!$K$21=A15, 'Week 1'!$S$21, if('Week 1'!$A$41=A15, 'Week 1'!$I$41, if('Week 1'!$K$41=A15, 'Week 1'!$S$41))))))</f>
        <v>-23</v>
      </c>
      <c r="F16" s="41"/>
      <c r="G16" s="41" t="s">
        <v>5</v>
      </c>
      <c r="H16" s="2" t="str">
        <f>VLOOKUP(G15, 'Full Schedule'!$A$3:$B$9, 2, False)</f>
        <v>Gargantuan</v>
      </c>
      <c r="I16" s="2" t="str">
        <f>if(match(G15, 'Full Schedule'!$A$3:$A$8, 0)&lt;4, "Home", "Away")</f>
        <v>Home</v>
      </c>
      <c r="J16" s="2" t="str">
        <f>if('Week 1'!$A$1=G15, 'Week 1'!$F$1, if('Week 1'!$K$1=G15, 'Week 1'!$P$1, if('Week 1'!$A$21=G15, 'Week 1'!$F$21, if('Week 1'!$K$21=G15, 'Week 1'!$P$21, if('Week 1'!$A$41=G15, 'Week 1'!$F$41, if('Week 1'!$K$41=G15, 'Week 1'!$P$41))))))</f>
        <v>Win</v>
      </c>
      <c r="K16" s="41">
        <f>if('Week 1'!$A$1=G15, 'Week 1'!$I$1, if('Week 1'!$K$1=G15, 'Week 1'!$S$1, if('Week 1'!$A$21=G15, 'Week 1'!$I$21, if('Week 1'!$K$21=G15, 'Week 1'!$S$21, if('Week 1'!$A$41=G15, 'Week 1'!$I$41, if('Week 1'!$K$41=G15, 'Week 1'!$S$41))))))</f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4" t="s">
        <v>7</v>
      </c>
      <c r="B17" s="2" t="str">
        <f>vlookup(A15, 'Full Schedule'!$C$3:$D$8, 2, False)</f>
        <v>Migos</v>
      </c>
      <c r="C17" s="2" t="str">
        <f>if(match(A15, 'Full Schedule'!$C$3:$C$8, 0)&lt;4, "Home", "Away")</f>
        <v>Home</v>
      </c>
      <c r="D17" s="2" t="str">
        <f>if('Week 2'!$A$1=A15, 'Week 2'!$F$1, if('Week 2'!$K$1=A15, 'Week 2'!$P$1, if('Week 2'!$A$21=A15, 'Week 2'!$F$21, if('Week 2'!$K$21=A15, 'Week 2'!$P$21, if('Week 2'!$A$41=A15, 'Week 2'!$F$41, if('Week 2'!$K$41=A15, 'Week 2'!$P$41))))))</f>
        <v>Loss</v>
      </c>
      <c r="E17" s="41">
        <f>if('Week 2'!$A$1=A15, 'Week 2'!$I$1, if('Week 2'!$K$1=A15, 'Week 2'!$S$1, if('Week 2'!$A$21=A15, 'Week 2'!$I$21, if('Week 2'!$K$21=A15, 'Week 2'!$S$21, if('Week 2'!$A$41=A15, 'Week 2'!$I$41, if('Week 2'!$K$41=A15, 'Week 2'!$S$41))))))</f>
        <v>-22</v>
      </c>
      <c r="F17" s="41"/>
      <c r="G17" s="41" t="s">
        <v>7</v>
      </c>
      <c r="H17" s="2" t="str">
        <f>vlookup(G15, 'Full Schedule'!$C$3:$D$8, 2, False)</f>
        <v>Team F</v>
      </c>
      <c r="I17" s="2" t="str">
        <f>if(match(G15, 'Full Schedule'!$C$3:$C$8, 0)&lt;4, "Home", "Away")</f>
        <v>Home</v>
      </c>
      <c r="J17" s="2" t="str">
        <f>if('Week 2'!$A$1=G15, 'Week 2'!$F$1, if('Week 2'!$K$1=G15, 'Week 2'!$P$1, if('Week 2'!$A$21=G15, 'Week 2'!$F$21, if('Week 2'!$K$21=G15, 'Week 2'!$P$21, if('Week 2'!$A$41=G15, 'Week 2'!$F$41, if('Week 2'!$K$41=G15, 'Week 2'!$P$41))))))</f>
        <v>Loss</v>
      </c>
      <c r="K17" s="41">
        <f>if('Week 2'!$A$1=G15, 'Week 2'!$I$1, if('Week 2'!$K$1=G15, 'Week 2'!$S$1, if('Week 2'!$A$21=G15, 'Week 2'!$I$21, if('Week 2'!$K$21=G15, 'Week 2'!$S$21, if('Week 2'!$A$41=G15, 'Week 2'!$I$41, if('Week 2'!$K$41=G15, 'Week 2'!$S$41))))))</f>
        <v>-2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4" t="s">
        <v>12</v>
      </c>
      <c r="B18" s="2" t="str">
        <f>vlookup(A15, 'Full Schedule'!$E$3:$F$8, 2, False)</f>
        <v>Team E</v>
      </c>
      <c r="C18" s="2" t="str">
        <f>if(match(A15, 'Full Schedule'!$E$3:$E$8, 0)&lt;4, "Home", "Away")</f>
        <v>Home</v>
      </c>
      <c r="D18" s="2" t="str">
        <f>if('Week 3'!$A$1=A15, 'Week 3'!$F$1, if('Week 3'!$K$1=A15, 'Week 3'!$P$1, if('Week 3'!$A$21=A15, 'Week 3'!$F$21, if('Week 3'!$K$21=A15, 'Week 3'!$P$21, if('Week 3'!$A$41=A15, 'Week 3'!$F$41, if('Week 3'!$K$41=A15, 'Week 3'!$P$41))))))</f>
        <v>Win</v>
      </c>
      <c r="E18" s="41">
        <f>if('Week 3'!$A$1=A15, 'Week 3'!$I$1, if('Week 3'!$K$1=A15, 'Week 3'!$S$1, if('Week 3'!$A$21=A15, 'Week 3'!$I$21, if('Week 3'!$K$21=A15, 'Week 3'!$S$21, if('Week 3'!$A$41=A15, 'Week 3'!$I$41, if('Week 3'!$K$41=A15, 'Week 3'!$S$41))))))</f>
        <v>1</v>
      </c>
      <c r="F18" s="41"/>
      <c r="G18" s="41" t="s">
        <v>12</v>
      </c>
      <c r="H18" s="2" t="str">
        <f>vlookup(G15, 'Full Schedule'!$E$3:$F$8, 2, False)</f>
        <v>Team C</v>
      </c>
      <c r="I18" s="2" t="str">
        <f>if(match(G15, 'Full Schedule'!$E$3:$E$8, 0)&lt;4, "Home", "Away")</f>
        <v>Away</v>
      </c>
      <c r="J18" s="2" t="str">
        <f>if('Week 3'!$A$1=G15, 'Week 3'!$F$1, if('Week 3'!$K$1=G15, 'Week 3'!$P$1, if('Week 3'!$A$21=G15, 'Week 3'!$F$21, if('Week 3'!$K$21=G15, 'Week 3'!$P$21, if('Week 3'!$A$41=G15, 'Week 3'!$F$41, if('Week 3'!$K$41=G15, 'Week 3'!$P$41))))))</f>
        <v>Loss</v>
      </c>
      <c r="K18" s="41">
        <f>if('Week 3'!$A$1=G15, 'Week 3'!$I$1, if('Week 3'!$K$1=G15, 'Week 3'!$S$1, if('Week 3'!$A$21=G15, 'Week 3'!$I$21, if('Week 3'!$K$21=G15, 'Week 3'!$S$21, if('Week 3'!$A$41=G15, 'Week 3'!$I$41, if('Week 3'!$K$41=G15, 'Week 3'!$S$41))))))</f>
        <v>-1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4" t="s">
        <v>17</v>
      </c>
      <c r="B19" s="2" t="str">
        <f>vlookup(A15, 'Full Schedule'!$G$3:$H$8, 2, False)</f>
        <v>Team E</v>
      </c>
      <c r="C19" s="2" t="str">
        <f>if(match(A15, 'Full Schedule'!$G$3:$G$8, 0)&lt;4, "Home", "Away")</f>
        <v>Away</v>
      </c>
      <c r="D19" s="2" t="str">
        <f>if('Week 4'!$A$1=A15, 'Week 4'!$F$1, if('Week 4'!$K$1=A15, 'Week 4'!$P$1, if('Week 4'!$A$21=A15, 'Week 4'!$F$21, if('Week 4'!$K$21=A15, 'Week 4'!$P$21, if('Week 4'!$A$41=A15, 'Week 4'!$F$41, if('Week 4'!$K$41=A15, 'Week 4'!$P$41))))))</f>
        <v>Loss</v>
      </c>
      <c r="E19" s="41">
        <f>if('Week 4'!$A$1=A15, 'Week 4'!$I$1, if('Week 4'!$K$1=A15, 'Week 4'!$S$1, if('Week 4'!$A$21=A15, 'Week 4'!$I$21, if('Week 4'!$K$21=A15, 'Week 4'!$S$21, if('Week 4'!$A$41=A15, 'Week 4'!$I$41, if('Week 4'!$K$41=A15, 'Week 4'!$S$41))))))</f>
        <v>-3</v>
      </c>
      <c r="F19" s="41"/>
      <c r="G19" s="41" t="s">
        <v>17</v>
      </c>
      <c r="H19" s="2" t="str">
        <f>vlookup(G15, 'Full Schedule'!$G$3:$H$8, 2, False)</f>
        <v>Team C</v>
      </c>
      <c r="I19" s="2" t="str">
        <f>if(match(G15, 'Full Schedule'!$G$3:$G$8, 0)&lt;4, "Home", "Away")</f>
        <v>Home</v>
      </c>
      <c r="J19" s="2" t="str">
        <f>if('Week 4'!$A$1=G15, 'Week 4'!$F$1, if('Week 4'!$K$1=G15, 'Week 4'!$P$1, if('Week 4'!$A$21=G15, 'Week 4'!$F$21, if('Week 4'!$K$21=G15, 'Week 4'!$P$21, if('Week 4'!$A$41=G15, 'Week 4'!$F$41, if('Week 4'!$K$41=G15, 'Week 4'!$P$41))))))</f>
        <v>Win</v>
      </c>
      <c r="K19" s="41">
        <f>if('Week 4'!$A$1=G15, 'Week 4'!$I$1, if('Week 4'!$K$1=G15, 'Week 4'!$S$1, if('Week 4'!$A$21=G15, 'Week 4'!$I$21, if('Week 4'!$K$21=G15, 'Week 4'!$S$21, if('Week 4'!$A$41=G15, 'Week 4'!$I$41, if('Week 4'!$K$41=G15, 'Week 4'!$S$41))))))</f>
        <v>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4" t="s">
        <v>20</v>
      </c>
      <c r="B20" s="2" t="str">
        <f>vlookup(A15, 'Full Schedule'!$I$3:$J$8, 2, False)</f>
        <v>Team F</v>
      </c>
      <c r="C20" s="2" t="str">
        <f>if(match(A15, 'Full Schedule'!$I$3:$I$8, 0)&lt;4, "Home", "Away")</f>
        <v>Home</v>
      </c>
      <c r="D20" s="2" t="str">
        <f>if('Week 5'!$A$1=A15, 'Week 5'!$F$1, if('Week 5'!$K$1=A15, 'Week 5'!$P$1, if('Week 5'!$A$21=A15, 'Week 5'!$F$21, if('Week 5'!$K$21=A15, 'Week 5'!$P$21, if('Week 5'!$A$41=A15, 'Week 5'!$F$41, if('Week 5'!$K$41=A15, 'Week 5'!$P$41))))))</f>
        <v>Win</v>
      </c>
      <c r="E20" s="41">
        <f>if('Week 5'!$A$1=A15, 'Week 5'!$I$1, if('Week 5'!$K$1=A15, 'Week 5'!$S$1, if('Week 5'!$A$21=A15, 'Week 5'!$I$21, if('Week 5'!$K$21=A15, 'Week 5'!$S$21, if('Week 5'!$A$41=A15, 'Week 5'!$I$41, if('Week 5'!$K$41=A15, 'Week 5'!$S$41))))))</f>
        <v>4</v>
      </c>
      <c r="F20" s="41"/>
      <c r="G20" s="41" t="s">
        <v>20</v>
      </c>
      <c r="H20" s="2" t="str">
        <f>vlookup(G15, 'Full Schedule'!$I$3:$J$8, 2, False)</f>
        <v>Candice?</v>
      </c>
      <c r="I20" s="2" t="str">
        <f>if(match(G15, 'Full Schedule'!$I$3:$I$8, 0)&lt;4, "Home", "Away")</f>
        <v>Away</v>
      </c>
      <c r="J20" s="2" t="str">
        <f>if('Week 5'!$A$1=G15, 'Week 5'!$F$1, if('Week 5'!$K$1=G15, 'Week 5'!$P$1, if('Week 5'!$A$21=G15, 'Week 5'!$F$21, if('Week 5'!$K$21=G15, 'Week 5'!$P$21, if('Week 5'!$A$41=G15, 'Week 5'!$F$41, if('Week 5'!$K$41=G15, 'Week 5'!$P$41))))))</f>
        <v>Win</v>
      </c>
      <c r="K20" s="41">
        <f>if('Week 5'!$A$1=G15, 'Week 5'!$I$1, if('Week 5'!$K$1=G15, 'Week 5'!$S$1, if('Week 5'!$A$21=G15, 'Week 5'!$I$21, if('Week 5'!$K$21=G15, 'Week 5'!$S$21, if('Week 5'!$A$41=G15, 'Week 5'!$I$41, if('Week 5'!$K$41=G15, 'Week 5'!$S$41))))))</f>
        <v>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4" t="s">
        <v>23</v>
      </c>
      <c r="B21" s="2" t="str">
        <f>vlookup(A15, 'Full Schedule'!$K$3:$L$8, 2, False)</f>
        <v>Gargantuan</v>
      </c>
      <c r="C21" s="2" t="str">
        <f>if(match(A15, 'Full Schedule'!$K$3:$K$8, 0)&lt;4, "Home", "Away")</f>
        <v>Away</v>
      </c>
      <c r="D21" s="2" t="str">
        <f>if('Week 6'!$A$1=A15, 'Week 6'!$F$1, if('Week 6'!$K$1=A15, 'Week 6'!$P$1, if('Week 6'!$A$21=A15, 'Week 6'!$F$21, if('Week 6'!$K$21=A15, 'Week 6'!$P$21, if('Week 6'!$A$41=A15, 'Week 6'!$F$41, if('Week 6'!K$41=A15, 'Week 6'!$P$41))))))</f>
        <v>Loss</v>
      </c>
      <c r="E21" s="41">
        <f>if('Week 6'!$A$1=A15, 'Week 6'!$I$1, if('Week 6'!$K$1=A15, 'Week 6'!$S$1, if('Week 6'!$A$21=A15, 'Week 6'!$I$21, if('Week 6'!$K$21=A15, 'Week 6'!$S$21, if('Week 6'!$A$41=A15, 'Week 6'!$I$41, if('Week 6'!$K$41=A15, 'Week 6'!$S$41))))))</f>
        <v>-6</v>
      </c>
      <c r="F21" s="41"/>
      <c r="G21" s="41" t="s">
        <v>23</v>
      </c>
      <c r="H21" s="2" t="str">
        <f>vlookup(G15, 'Full Schedule'!$K$3:$L$8, 2, False)</f>
        <v>Team F</v>
      </c>
      <c r="I21" s="2" t="str">
        <f>if(match(G15, 'Full Schedule'!$K$3:$K$8, 0)&lt;4, "Home", "Away")</f>
        <v>Away</v>
      </c>
      <c r="J21" s="2" t="str">
        <f>if('Week 6'!$A$1=G15, 'Week 6'!$F$1, if('Week 6'!$K$1=G15, 'Week 6'!$P$1, if('Week 6'!$A$21=G15, 'Week 6'!$F$21, if('Week 6'!$K$21=G15, 'Week 6'!$P$21, if('Week 6'!$A$41=G15, 'Week 6'!$F$41, if('Week 6'!$K$41=G15, 'Week 6'!$P$41))))))</f>
        <v>Loss</v>
      </c>
      <c r="K21" s="41">
        <f>if('Week 6'!$A$1=G15, 'Week 6'!$I$1, if('Week 6'!$K$1=G15, 'Week 6'!$S$1, if('Week 6'!$A$21=G15, 'Week 6'!$I$21, if('Week 6'!$K$21=G15, 'Week 6'!$S$21, if('Week 6'!$A$41=G15, 'Week 6'!$I$41, if('Week 6'!$K$41=G15, 'Week 6'!$S$41))))))</f>
        <v>-2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4" t="s">
        <v>41</v>
      </c>
      <c r="B22" s="2" t="str">
        <f>vlookup(A15, 'Full Schedule'!$M$3:$N$8, 2, False)</f>
        <v>Candice?</v>
      </c>
      <c r="C22" s="2" t="s">
        <v>150</v>
      </c>
      <c r="D22" s="2" t="str">
        <f>if('Week 7'!$A$1=A15, 'Week 7'!$F14, if('Week 7'!$K$1=A15, 'Week 7'!$P$1, if('Week 7'!$A$21=A15, 'Week 7'!$F$21, if('Week 7'!$K$21=A15, 'Week 7'!$P$21, if('Week 7'!$A$41=A15, 'Week 7'!$F$41, if('Week 7'!$K$41=A15, 'Week 7'!$P$41))))))</f>
        <v>Win</v>
      </c>
      <c r="E22" s="41">
        <f>if('Week 7'!$A$1=A15, 'Week 7'!$I$1, if('Week 7'!$K$1=A15, 'Week 7'!$S$1, if('Week 7'!$A$21=A15, 'Week 7'!$I$21, if('Week 7'!$K$21=A15, 'Week 7'!$S$21, if('Week 7'!$A$41=A15, 'Week 7'!$I$41, if('Week 7'!$K$41=A15, 'Week 7'!$S$41))))))</f>
        <v>9</v>
      </c>
      <c r="F22" s="41"/>
      <c r="G22" s="41" t="s">
        <v>41</v>
      </c>
      <c r="H22" s="2" t="str">
        <f>vlookup(G15, 'Full Schedule'!$M$3:$N$8, 2, False)</f>
        <v>Migos</v>
      </c>
      <c r="I22" s="2" t="s">
        <v>150</v>
      </c>
      <c r="J22" s="2" t="str">
        <f>if('Week 7'!$A$1=G15, 'Week 7'!$F14, if('Week 7'!$K$1=G15, 'Week 7'!$P$1, if('Week 7'!$A$21=G15, 'Week 7'!$F$21, if('Week 7'!$K$21=G15, 'Week 7'!$P$21, if('Week 7'!$A$41=G15, 'Week 7'!$F$41, if('Week 7'!$K$41=G15, 'Week 7'!$P$41))))))</f>
        <v/>
      </c>
      <c r="K22" s="41">
        <f>if('Week 7'!$A$1=G15, 'Week 7'!$I$1, if('Week 7'!$K$1=G15, 'Week 7'!$S$1, if('Week 7'!$A$21=G15, 'Week 7'!$I$21, if('Week 7'!$K$21=G15, 'Week 7'!$S$21, if('Week 7'!$A$41=G15, 'Week 7'!$I$41, if('Week 7'!$K$41=G15, 'Week 7'!$S$41))))))</f>
        <v>-3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4"/>
      <c r="B23" s="8"/>
      <c r="C23" s="2"/>
      <c r="D23" s="2"/>
      <c r="E23" s="41"/>
      <c r="F23" s="41"/>
      <c r="G23" s="41"/>
      <c r="H23" s="8"/>
      <c r="I23" s="2"/>
      <c r="J23" s="2"/>
      <c r="K23" s="4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/>
      <c r="B24" s="36"/>
      <c r="C24" s="6"/>
      <c r="D24" s="6"/>
      <c r="E24" s="10"/>
      <c r="F24" s="41"/>
      <c r="G24" s="10"/>
      <c r="H24" s="36"/>
      <c r="I24" s="6"/>
      <c r="J24" s="6"/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2" t="s">
        <v>152</v>
      </c>
      <c r="B25" s="6"/>
      <c r="C25" s="6"/>
      <c r="D25" s="68">
        <f>iferror(countif(D16:D22, "Win")/(countif(D16:D22, "Win")+countif(D16:D22, "Loss")), "")</f>
        <v>0.4285714286</v>
      </c>
      <c r="E25" s="69">
        <f>SUM(E16:E24)</f>
        <v>-40</v>
      </c>
      <c r="F25" s="41"/>
      <c r="G25" s="53" t="s">
        <v>152</v>
      </c>
      <c r="H25" s="6"/>
      <c r="I25" s="6"/>
      <c r="J25" s="68">
        <f>iferror(countif(J16:J22, "Win")/(countif(J16:J22, "Win")+countif(J16:J22, "Loss")), "")</f>
        <v>0.5</v>
      </c>
      <c r="K25" s="69">
        <f>SUM(K16:K24)</f>
        <v>-3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tr">
        <f>Draft!F25</f>
        <v>Arnav</v>
      </c>
      <c r="B27" s="6"/>
      <c r="C27" s="6"/>
      <c r="D27" s="6"/>
      <c r="E27" s="6"/>
      <c r="F27" s="2"/>
      <c r="G27" s="6" t="str">
        <f>Draft!G25</f>
        <v>Jay</v>
      </c>
      <c r="H27" s="6"/>
      <c r="I27" s="6"/>
      <c r="J27" s="6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2" t="str">
        <f>Draft!F24</f>
        <v>Migos</v>
      </c>
      <c r="B28" s="6" t="s">
        <v>143</v>
      </c>
      <c r="C28" s="6" t="s">
        <v>144</v>
      </c>
      <c r="D28" s="6" t="s">
        <v>145</v>
      </c>
      <c r="E28" s="10" t="s">
        <v>146</v>
      </c>
      <c r="F28" s="41"/>
      <c r="G28" s="53" t="str">
        <f>Draft!G24</f>
        <v>Team F</v>
      </c>
      <c r="H28" s="6" t="s">
        <v>143</v>
      </c>
      <c r="I28" s="6" t="s">
        <v>144</v>
      </c>
      <c r="J28" s="6" t="s">
        <v>145</v>
      </c>
      <c r="K28" s="10" t="s">
        <v>146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4" t="s">
        <v>5</v>
      </c>
      <c r="B29" s="2" t="str">
        <f>VLOOKUP(A28, 'Full Schedule'!$A$3:$B$9, 2, False)</f>
        <v>Candice?</v>
      </c>
      <c r="C29" s="2" t="str">
        <f>if(match(A28, 'Full Schedule'!$A$3:$A$8, 0)&lt;4, "Home", "Away")</f>
        <v>Away</v>
      </c>
      <c r="D29" s="2" t="str">
        <f>if('Week 1'!$A$1=A28, 'Week 1'!$F$1, if('Week 1'!$K$1=A28, 'Week 1'!$P$1, if('Week 1'!$A$21=A28, 'Week 1'!$F$21, if('Week 1'!$K$21=A28, 'Week 1'!$P$21, if('Week 1'!$A$41=A28, 'Week 1'!$F$41, if('Week 1'!$K$41=A28, 'Week 1'!$P$41))))))</f>
        <v>Loss</v>
      </c>
      <c r="E29" s="41">
        <f>if('Week 1'!$A$1=A28, 'Week 1'!$I$1, if('Week 1'!$K$1=A28, 'Week 1'!$S$1, if('Week 1'!$A$21=A28, 'Week 1'!$I$21, if('Week 1'!$K$21=A28, 'Week 1'!$S$21, if('Week 1'!$A$41=A28, 'Week 1'!$I$41, if('Week 1'!$K$41=A28, 'Week 1'!$S$41))))))</f>
        <v>-11</v>
      </c>
      <c r="F29" s="41"/>
      <c r="G29" s="41" t="s">
        <v>5</v>
      </c>
      <c r="H29" s="2" t="str">
        <f>VLOOKUP(G28, 'Full Schedule'!$A$3:$B$9, 2, False)</f>
        <v>Team C</v>
      </c>
      <c r="I29" s="2" t="str">
        <f>if(match(G28, 'Full Schedule'!$A$3:$A$8, 0)&lt;4, "Home", "Away")</f>
        <v>Home</v>
      </c>
      <c r="J29" s="2" t="str">
        <f>if('Week 1'!$A$1=G28, 'Week 1'!$F$1, if('Week 1'!$K$1=G28, 'Week 1'!$P$1, if('Week 1'!$A$21=G28, 'Week 1'!$F$21, if('Week 1'!$K$21=G28, 'Week 1'!$P$21, if('Week 1'!$A$41=G28, 'Week 1'!$F$41, if('Week 1'!$K$41=G28, 'Week 1'!$P$41))))))</f>
        <v>Win</v>
      </c>
      <c r="K29" s="41">
        <f>if('Week 1'!$A$1=G28, 'Week 1'!$I$1, if('Week 1'!$K$1=G28, 'Week 1'!$S$1, if('Week 1'!$A$21=G28, 'Week 1'!$I$21, if('Week 1'!$K$21=G28, 'Week 1'!$S$21, if('Week 1'!$A$41=G28, 'Week 1'!$I$41, if('Week 1'!$K$41=G28, 'Week 1'!$S$41))))))</f>
        <v>23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4" t="s">
        <v>7</v>
      </c>
      <c r="B30" s="2" t="str">
        <f>vlookup(A28, 'Full Schedule'!$C$3:$D$8, 2, False)</f>
        <v>Team C</v>
      </c>
      <c r="C30" s="2" t="str">
        <f>if(match(A28, 'Full Schedule'!$C$3:$C$8, 0)&lt;4, "Home", "Away")</f>
        <v>Away</v>
      </c>
      <c r="D30" s="2" t="str">
        <f>if('Week 2'!$A$1=A28, 'Week 2'!$F$1, if('Week 2'!$K$1=A28, 'Week 2'!$P$1, if('Week 2'!$A$21=A28, 'Week 2'!$F$21, if('Week 2'!$K$21=A28, 'Week 2'!$P$21, if('Week 2'!$A$41=A28, 'Week 2'!$F$41, if('Week 2'!$K$41=A28, 'Week 2'!$P$41))))))</f>
        <v>Win</v>
      </c>
      <c r="E30" s="41">
        <f>if('Week 2'!$A$1=A28, 'Week 2'!$I$1, if('Week 2'!$K$1=A28, 'Week 2'!$S$1, if('Week 2'!$A$21=A28, 'Week 2'!$I$21, if('Week 2'!$K$21=A28, 'Week 2'!$S$21, if('Week 2'!$A$41=A28, 'Week 2'!$I$41, if('Week 2'!$K$41=A28, 'Week 2'!$S$41))))))</f>
        <v>22</v>
      </c>
      <c r="F30" s="41"/>
      <c r="G30" s="41" t="s">
        <v>7</v>
      </c>
      <c r="H30" s="2" t="str">
        <f>vlookup(G28, 'Full Schedule'!$C$3:$D$8, 2, False)</f>
        <v>Team E</v>
      </c>
      <c r="I30" s="2" t="str">
        <f>if(match(G28, 'Full Schedule'!$C$3:$C$8, 0)&lt;4, "Home", "Away")</f>
        <v>Away</v>
      </c>
      <c r="J30" s="2" t="str">
        <f>if('Week 2'!$A$1=G28, 'Week 2'!$F$1, if('Week 2'!$K$1=G28, 'Week 2'!$P$1, if('Week 2'!$A$21=G28, 'Week 2'!$F$21, if('Week 2'!$K$21=G28, 'Week 2'!$P$21, if('Week 2'!$A$41=G28, 'Week 2'!$F$41, if('Week 2'!$K$41=G28, 'Week 2'!$P$41))))))</f>
        <v>Win</v>
      </c>
      <c r="K30" s="41">
        <f>if('Week 2'!$A$1=G28, 'Week 2'!$I$1, if('Week 2'!$K$1=G28, 'Week 2'!$S$1, if('Week 2'!$A$21=G28, 'Week 2'!$I$21, if('Week 2'!$K$21=G28, 'Week 2'!$S$21, if('Week 2'!$A$41=G28, 'Week 2'!$I$41, if('Week 2'!$K$41=G28, 'Week 2'!$S$41))))))</f>
        <v>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4" t="s">
        <v>12</v>
      </c>
      <c r="B31" s="2" t="str">
        <f>vlookup(A28, 'Full Schedule'!$E$3:$F$8, 2, False)</f>
        <v>Gargantuan</v>
      </c>
      <c r="C31" s="2" t="str">
        <f>if(match(A28, 'Full Schedule'!$E$3:$E$8, 0)&lt;4, "Home", "Away")</f>
        <v>Home</v>
      </c>
      <c r="D31" s="2" t="str">
        <f>if('Week 3'!$A$1=A28, 'Week 3'!$F$1, if('Week 3'!$K$1=A28, 'Week 3'!$P$1, if('Week 3'!$A$21=A28, 'Week 3'!$F$21, if('Week 3'!$K$21=A28, 'Week 3'!$P$21, if('Week 3'!$A$41=A28, 'Week 3'!$F$41, if('Week 3'!$K$41=A28, 'Week 3'!$P$41))))))</f>
        <v>Win</v>
      </c>
      <c r="E31" s="41">
        <f>if('Week 3'!$A$1=A28, 'Week 3'!$I$1, if('Week 3'!$K$1=A28, 'Week 3'!$S$1, if('Week 3'!$A$21=A28, 'Week 3'!$I$21, if('Week 3'!$K$21=A28, 'Week 3'!$S$21, if('Week 3'!$A$41=A28, 'Week 3'!$I$41, if('Week 3'!$K$41=A28, 'Week 3'!$S$41))))))</f>
        <v>6</v>
      </c>
      <c r="F31" s="41"/>
      <c r="G31" s="41" t="s">
        <v>12</v>
      </c>
      <c r="H31" s="2" t="str">
        <f>vlookup(G28, 'Full Schedule'!$E$3:$F$8, 2, False)</f>
        <v>Candice?</v>
      </c>
      <c r="I31" s="2" t="str">
        <f>if(match(G28, 'Full Schedule'!$E$3:$E$8, 0)&lt;4, "Home", "Away")</f>
        <v>Home</v>
      </c>
      <c r="J31" s="2" t="str">
        <f>if('Week 3'!$A$1=G28, 'Week 3'!$F$1, if('Week 3'!$K$1=G28, 'Week 3'!$P$1, if('Week 3'!$A$21=G28, 'Week 3'!$F$21, if('Week 3'!$K$21=G28, 'Week 3'!$P$21, if('Week 3'!$A$41=G28, 'Week 3'!$F$41, if('Week 3'!$K$41=G28, 'Week 3'!$P$41))))))</f>
        <v>Loss</v>
      </c>
      <c r="K31" s="41">
        <f>if('Week 3'!$A$1=G28, 'Week 3'!$I$1, if('Week 3'!$K$1=G28, 'Week 3'!$S$1, if('Week 3'!$A$21=G28, 'Week 3'!$I$21, if('Week 3'!$K$21=G28, 'Week 3'!$S$21, if('Week 3'!$A$41=G28, 'Week 3'!$I$41, if('Week 3'!$K$41=G28, 'Week 3'!$S$41))))))</f>
        <v>-21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4" t="s">
        <v>17</v>
      </c>
      <c r="B32" s="2" t="str">
        <f>vlookup(A28, 'Full Schedule'!$G$3:$H$8, 2, False)</f>
        <v>Team F</v>
      </c>
      <c r="C32" s="2" t="str">
        <f>if(match(A28, 'Full Schedule'!$G$3:$G$8, 0)&lt;4, "Home", "Away")</f>
        <v>Home</v>
      </c>
      <c r="D32" s="2" t="str">
        <f>if('Week 4'!$A$1=A28, 'Week 4'!$F$1, if('Week 4'!$K$1=A28, 'Week 4'!$P$1, if('Week 4'!$A$21=A28, 'Week 4'!$F$21, if('Week 4'!$K$21=A28, 'Week 4'!$P$21, if('Week 4'!$A$41=A28, 'Week 4'!$F$41, if('Week 4'!$K$41=A28, 'Week 4'!$P$41))))))</f>
        <v>Win</v>
      </c>
      <c r="E32" s="41">
        <f>if('Week 4'!$A$1=A28, 'Week 4'!$I$1, if('Week 4'!$K$1=A28, 'Week 4'!$S$1, if('Week 4'!$A$21=A28, 'Week 4'!$I$21, if('Week 4'!$K$21=A28, 'Week 4'!$S$21, if('Week 4'!$A$41=A28, 'Week 4'!$I$41, if('Week 4'!$K$41=A28, 'Week 4'!$S$41))))))</f>
        <v>5</v>
      </c>
      <c r="F32" s="41"/>
      <c r="G32" s="41" t="s">
        <v>17</v>
      </c>
      <c r="H32" s="2" t="str">
        <f>vlookup(G28, 'Full Schedule'!$G$3:$H$8, 2, False)</f>
        <v>Migos</v>
      </c>
      <c r="I32" s="2" t="str">
        <f>if(match(G28, 'Full Schedule'!$G$3:$G$8, 0)&lt;4, "Home", "Away")</f>
        <v>Away</v>
      </c>
      <c r="J32" s="2" t="str">
        <f>if('Week 4'!$A$1=G28, 'Week 4'!$F$1, if('Week 4'!$K$1=G28, 'Week 4'!$P$1, if('Week 4'!$A$21=G28, 'Week 4'!$F$21, if('Week 4'!$K$21=G28, 'Week 4'!$P$21, if('Week 4'!$A$41=G28, 'Week 4'!$F$41, if('Week 4'!$K$41=G28, 'Week 4'!$P$41))))))</f>
        <v>Loss</v>
      </c>
      <c r="K32" s="41">
        <f>if('Week 4'!$A$1=G28, 'Week 4'!$I$1, if('Week 4'!$K$1=G28, 'Week 4'!$S$1, if('Week 4'!$A$21=G28, 'Week 4'!$I$21, if('Week 4'!$K$21=G28, 'Week 4'!$S$21, if('Week 4'!$A$41=G28, 'Week 4'!$I$41, if('Week 4'!$K$41=G28, 'Week 4'!$S$41))))))</f>
        <v>-5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4" t="s">
        <v>20</v>
      </c>
      <c r="B33" s="2" t="str">
        <f>vlookup(A28, 'Full Schedule'!$I$3:$J$8, 2, False)</f>
        <v>Gargantuan</v>
      </c>
      <c r="C33" s="2" t="str">
        <f>if(match(A28, 'Full Schedule'!$I$3:$I$8, 0)&lt;4, "Home", "Away")</f>
        <v>Away</v>
      </c>
      <c r="D33" s="2" t="str">
        <f>if('Week 5'!$A$1=A28, 'Week 5'!$F$1, if('Week 5'!$K$1=A28, 'Week 5'!$P$1, if('Week 5'!$A$21=A28, 'Week 5'!$F$21, if('Week 5'!$K$21=A28, 'Week 5'!$P$21, if('Week 5'!$A$41=A28, 'Week 5'!$F$41, if('Week 5'!$K$41=A28, 'Week 5'!$P$41))))))</f>
        <v>Win</v>
      </c>
      <c r="E33" s="41">
        <f>if('Week 5'!$A$1=A28, 'Week 5'!$I$1, if('Week 5'!$K$1=A28, 'Week 5'!$S$1, if('Week 5'!$A$21=A28, 'Week 5'!$I$21, if('Week 5'!$K$21=A28, 'Week 5'!$S$21, if('Week 5'!$A$41=A28, 'Week 5'!$I$41, if('Week 5'!$K$41=A28, 'Week 5'!$S$41))))))</f>
        <v>5</v>
      </c>
      <c r="F33" s="41"/>
      <c r="G33" s="41" t="s">
        <v>20</v>
      </c>
      <c r="H33" s="2" t="str">
        <f>vlookup(G28, 'Full Schedule'!$I$3:$J$8, 2, False)</f>
        <v>Team C</v>
      </c>
      <c r="I33" s="2" t="str">
        <f>if(match(G28, 'Full Schedule'!$I$3:$I$8, 0)&lt;4, "Home", "Away")</f>
        <v>Away</v>
      </c>
      <c r="J33" s="2" t="str">
        <f>if('Week 5'!$A$1=G28, 'Week 5'!$F$1, if('Week 5'!$K$1=G28, 'Week 5'!$P$1, if('Week 5'!$A$21=G28, 'Week 5'!$F$21, if('Week 5'!$K$21=G28, 'Week 5'!$P$21, if('Week 5'!$A$41=G28, 'Week 5'!$F$41, if('Week 5'!$K$41=G28, 'Week 5'!$P$41))))))</f>
        <v>Loss</v>
      </c>
      <c r="K33" s="41">
        <f>if('Week 5'!$A$1=G28, 'Week 5'!$I$1, if('Week 5'!$K$1=G28, 'Week 5'!$S$1, if('Week 5'!$A$21=G28, 'Week 5'!$I$21, if('Week 5'!$K$21=G28, 'Week 5'!$S$21, if('Week 5'!$A$41=G28, 'Week 5'!$I$41, if('Week 5'!$K$41=G28, 'Week 5'!$S$41))))))</f>
        <v>-4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4" t="s">
        <v>23</v>
      </c>
      <c r="B34" s="2" t="str">
        <f>vlookup(A28, 'Full Schedule'!$K$3:$L$8, 2, False)</f>
        <v>Candice?</v>
      </c>
      <c r="C34" s="2" t="str">
        <f>if(match(A28, 'Full Schedule'!$K$3:$K$8, 0)&lt;4, "Home", "Away")</f>
        <v>Home</v>
      </c>
      <c r="D34" s="2" t="str">
        <f>if('Week 6'!$A$1=A28, 'Week 6'!$F$1, if('Week 6'!$K$1=A28, 'Week 6'!$P$1, if('Week 6'!$A$21=A28, 'Week 6'!$F$21, if('Week 6'!$K$21=A28, 'Week 6'!$P$21, if('Week 6'!$A$41=A28, 'Week 6'!$F$41, if('Week 6'!K$41=A28, 'Week 6'!$P$41))))))</f>
        <v>Win</v>
      </c>
      <c r="E34" s="41">
        <f>if('Week 6'!$A$1=A28, 'Week 6'!$I$1, if('Week 6'!$K$1=A28, 'Week 6'!$S$1, if('Week 6'!$A$21=A28, 'Week 6'!$I$21, if('Week 6'!$K$21=A28, 'Week 6'!$S$21, if('Week 6'!$A$41=A28, 'Week 6'!$I$41, if('Week 6'!$K$41=A28, 'Week 6'!$S$41))))))</f>
        <v>1</v>
      </c>
      <c r="F34" s="41"/>
      <c r="G34" s="41" t="s">
        <v>23</v>
      </c>
      <c r="H34" s="2" t="str">
        <f>vlookup(G28, 'Full Schedule'!$K$3:$L$8, 2, False)</f>
        <v>Team E</v>
      </c>
      <c r="I34" s="2" t="str">
        <f>if(match(G28, 'Full Schedule'!$K$3:$K$8, 0)&lt;4, "Home", "Away")</f>
        <v>Home</v>
      </c>
      <c r="J34" s="2" t="str">
        <f>if('Week 6'!$A$1=G28, 'Week 6'!$F$1, if('Week 6'!$K$1=G28, 'Week 6'!$P$1, if('Week 6'!$A$21=G28, 'Week 6'!$F$21, if('Week 6'!$K$21=G28, 'Week 6'!$P$21, if('Week 6'!$A$41=G28, 'Week 6'!$F$41, if('Week 6'!$K$41=G28, 'Week 6'!$P$41))))))</f>
        <v>Win</v>
      </c>
      <c r="K34" s="41">
        <f>if('Week 6'!$A$1=G28, 'Week 6'!$I$1, if('Week 6'!$K$1=G28, 'Week 6'!$S$1, if('Week 6'!$A$21=G28, 'Week 6'!$I$21, if('Week 6'!$K$21=G28, 'Week 6'!$S$21, if('Week 6'!$A$41=G28, 'Week 6'!$I$41, if('Week 6'!$K$41=G28, 'Week 6'!$S$41))))))</f>
        <v>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4" t="s">
        <v>41</v>
      </c>
      <c r="B35" s="2" t="str">
        <f>vlookup(A28, 'Full Schedule'!$M$3:$N$8, 2, False)</f>
        <v>Team E</v>
      </c>
      <c r="C35" s="2" t="s">
        <v>150</v>
      </c>
      <c r="D35" s="2" t="str">
        <f>if('Week 7'!$A$1=A28, 'Week 7'!$F27, if('Week 7'!$K$1=A28, 'Week 7'!$P$1, if('Week 7'!$A$21=A28, 'Week 7'!$F$21, if('Week 7'!$K$21=A28, 'Week 7'!$P$21, if('Week 7'!$A$41=A28, 'Week 7'!$F$41, if('Week 7'!$K$41=A28, 'Week 7'!$P$41))))))</f>
        <v>Win</v>
      </c>
      <c r="E35" s="41">
        <f>if('Week 7'!$A$1=A28, 'Week 7'!$I$1, if('Week 7'!$K$1=A28, 'Week 7'!$S$1, if('Week 7'!$A$21=A28, 'Week 7'!$I$21, if('Week 7'!$K$21=A28, 'Week 7'!$S$21, if('Week 7'!$A$41=A28, 'Week 7'!$I$41, if('Week 7'!$K$41=A28, 'Week 7'!$S$41))))))</f>
        <v>3</v>
      </c>
      <c r="F35" s="41"/>
      <c r="G35" s="41" t="s">
        <v>41</v>
      </c>
      <c r="H35" s="2" t="str">
        <f>vlookup(G28, 'Full Schedule'!$M$3:$N$8, 2, False)</f>
        <v>Gargantuan</v>
      </c>
      <c r="I35" s="24" t="s">
        <v>150</v>
      </c>
      <c r="J35" s="2" t="str">
        <f>if('Week 7'!$A$1=G28, 'Week 7'!$F27, if('Week 7'!$K$1=G28, 'Week 7'!$P$1, if('Week 7'!$A$21=G28, 'Week 7'!$F$21, if('Week 7'!$K$21=G28, 'Week 7'!$P$21, if('Week 7'!$A$41=G28, 'Week 7'!$F$41, if('Week 7'!$K$41=G28, 'Week 7'!$P$41))))))</f>
        <v>Loss</v>
      </c>
      <c r="K35" s="41">
        <f>if('Week 7'!$A$1=G28, 'Week 7'!$I$1, if('Week 7'!$K$1=G28, 'Week 7'!$S$1, if('Week 7'!$A$21=G28, 'Week 7'!$I$21, if('Week 7'!$K$21=G28, 'Week 7'!$S$21, if('Week 7'!$A$41=G28, 'Week 7'!$I$41, if('Week 7'!$K$41=G28, 'Week 7'!$S$41))))))</f>
        <v>-1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4"/>
      <c r="B36" s="8"/>
      <c r="C36" s="2"/>
      <c r="D36" s="2"/>
      <c r="E36" s="41"/>
      <c r="F36" s="41"/>
      <c r="G36" s="41"/>
      <c r="H36" s="8"/>
      <c r="I36" s="2"/>
      <c r="J36" s="2"/>
      <c r="K36" s="4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/>
      <c r="B37" s="36"/>
      <c r="C37" s="6"/>
      <c r="D37" s="6"/>
      <c r="E37" s="10"/>
      <c r="F37" s="41"/>
      <c r="G37" s="10"/>
      <c r="H37" s="36"/>
      <c r="I37" s="6"/>
      <c r="J37" s="6"/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2" t="s">
        <v>152</v>
      </c>
      <c r="B38" s="6"/>
      <c r="C38" s="6"/>
      <c r="D38" s="68">
        <f>iferror(countif(D29:D35, "Win")/(countif(D29:D35, "Win")+countif(D29:D35, "Loss")), "")</f>
        <v>0.8571428571</v>
      </c>
      <c r="E38" s="69">
        <f>SUM(E29:E37)</f>
        <v>31</v>
      </c>
      <c r="F38" s="41"/>
      <c r="G38" s="53" t="s">
        <v>152</v>
      </c>
      <c r="H38" s="6"/>
      <c r="I38" s="6"/>
      <c r="J38" s="68">
        <f>iferror(countif(J29:J35, "Win")/(countif(J29:J35, "Win")+countif(J29:J35, "Loss")), "")</f>
        <v>0.4285714286</v>
      </c>
      <c r="K38" s="69">
        <f>SUM(K29:K37)</f>
        <v>-4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153</v>
      </c>
      <c r="B1" s="72" t="s">
        <v>154</v>
      </c>
      <c r="C1" s="73" t="s">
        <v>153</v>
      </c>
      <c r="D1" s="74" t="s">
        <v>154</v>
      </c>
      <c r="E1" s="73" t="s">
        <v>153</v>
      </c>
      <c r="F1" s="74" t="s">
        <v>154</v>
      </c>
      <c r="G1" s="71" t="s">
        <v>153</v>
      </c>
      <c r="H1" s="72" t="s">
        <v>154</v>
      </c>
      <c r="I1" s="73" t="s">
        <v>153</v>
      </c>
      <c r="J1" s="74" t="s">
        <v>154</v>
      </c>
      <c r="K1" s="71" t="s">
        <v>153</v>
      </c>
      <c r="L1" s="72" t="s">
        <v>154</v>
      </c>
      <c r="M1" s="73" t="s">
        <v>153</v>
      </c>
      <c r="N1" s="74" t="s">
        <v>154</v>
      </c>
    </row>
    <row r="2">
      <c r="A2" s="75" t="s">
        <v>155</v>
      </c>
      <c r="B2" s="76"/>
      <c r="C2" s="77" t="s">
        <v>156</v>
      </c>
      <c r="D2" s="78"/>
      <c r="E2" s="77" t="s">
        <v>157</v>
      </c>
      <c r="F2" s="78"/>
      <c r="G2" s="75" t="s">
        <v>158</v>
      </c>
      <c r="H2" s="76"/>
      <c r="I2" s="77" t="s">
        <v>159</v>
      </c>
      <c r="J2" s="78"/>
      <c r="K2" s="75" t="s">
        <v>160</v>
      </c>
      <c r="L2" s="76"/>
      <c r="M2" s="77" t="s">
        <v>161</v>
      </c>
      <c r="N2" s="78"/>
    </row>
    <row r="3">
      <c r="A3" s="17" t="s">
        <v>123</v>
      </c>
      <c r="B3" s="17" t="s">
        <v>125</v>
      </c>
      <c r="C3" s="79" t="s">
        <v>122</v>
      </c>
      <c r="D3" s="80" t="s">
        <v>125</v>
      </c>
      <c r="E3" s="81" t="s">
        <v>125</v>
      </c>
      <c r="F3" s="82" t="s">
        <v>121</v>
      </c>
      <c r="G3" s="17" t="s">
        <v>125</v>
      </c>
      <c r="H3" s="17" t="s">
        <v>126</v>
      </c>
      <c r="I3" s="79" t="s">
        <v>121</v>
      </c>
      <c r="J3" s="80" t="s">
        <v>125</v>
      </c>
      <c r="K3" s="17" t="s">
        <v>125</v>
      </c>
      <c r="L3" s="17" t="s">
        <v>123</v>
      </c>
      <c r="M3" s="81" t="s">
        <v>124</v>
      </c>
      <c r="N3" s="82" t="s">
        <v>125</v>
      </c>
    </row>
    <row r="4">
      <c r="A4" s="17" t="s">
        <v>126</v>
      </c>
      <c r="B4" s="17" t="s">
        <v>122</v>
      </c>
      <c r="C4" s="79" t="s">
        <v>121</v>
      </c>
      <c r="D4" s="80" t="s">
        <v>123</v>
      </c>
      <c r="E4" s="81" t="s">
        <v>126</v>
      </c>
      <c r="F4" s="82" t="s">
        <v>123</v>
      </c>
      <c r="G4" s="17" t="s">
        <v>123</v>
      </c>
      <c r="H4" s="17" t="s">
        <v>121</v>
      </c>
      <c r="I4" s="79" t="s">
        <v>123</v>
      </c>
      <c r="J4" s="80" t="s">
        <v>124</v>
      </c>
      <c r="K4" s="17" t="s">
        <v>121</v>
      </c>
      <c r="L4" s="17" t="s">
        <v>122</v>
      </c>
      <c r="M4" s="81" t="s">
        <v>123</v>
      </c>
      <c r="N4" s="82" t="s">
        <v>122</v>
      </c>
    </row>
    <row r="5">
      <c r="A5" s="17" t="s">
        <v>124</v>
      </c>
      <c r="B5" s="17" t="s">
        <v>121</v>
      </c>
      <c r="C5" s="79" t="s">
        <v>124</v>
      </c>
      <c r="D5" s="80" t="s">
        <v>126</v>
      </c>
      <c r="E5" s="81" t="s">
        <v>122</v>
      </c>
      <c r="F5" s="82" t="s">
        <v>124</v>
      </c>
      <c r="G5" s="17" t="s">
        <v>124</v>
      </c>
      <c r="H5" s="17" t="s">
        <v>122</v>
      </c>
      <c r="I5" s="79" t="s">
        <v>122</v>
      </c>
      <c r="J5" s="80" t="s">
        <v>126</v>
      </c>
      <c r="K5" s="17" t="s">
        <v>126</v>
      </c>
      <c r="L5" s="17" t="s">
        <v>124</v>
      </c>
      <c r="M5" s="81" t="s">
        <v>121</v>
      </c>
      <c r="N5" s="82" t="s">
        <v>126</v>
      </c>
    </row>
    <row r="6">
      <c r="A6" s="83" t="str">
        <f t="shared" ref="A6:A8" si="1">B3</f>
        <v>Migos</v>
      </c>
      <c r="B6" s="83" t="str">
        <f t="shared" ref="B6:B8" si="2">A3</f>
        <v>Candice?</v>
      </c>
      <c r="C6" s="83" t="str">
        <f t="shared" ref="C6:C8" si="3">D3</f>
        <v>Migos</v>
      </c>
      <c r="D6" s="83" t="str">
        <f t="shared" ref="D6:D8" si="4">C3</f>
        <v>Team C</v>
      </c>
      <c r="E6" s="83" t="str">
        <f t="shared" ref="E6:E8" si="5">F3</f>
        <v>Gargantuan</v>
      </c>
      <c r="F6" s="83" t="str">
        <f t="shared" ref="F6:F8" si="6">E3</f>
        <v>Migos</v>
      </c>
      <c r="G6" s="83" t="str">
        <f t="shared" ref="G6:G8" si="7">H3</f>
        <v>Team F</v>
      </c>
      <c r="H6" s="83" t="str">
        <f t="shared" ref="H6:H8" si="8">G3</f>
        <v>Migos</v>
      </c>
      <c r="I6" s="83" t="str">
        <f t="shared" ref="I6:I8" si="9">J3</f>
        <v>Migos</v>
      </c>
      <c r="J6" s="83" t="str">
        <f t="shared" ref="J6:J8" si="10">I3</f>
        <v>Gargantuan</v>
      </c>
      <c r="K6" s="83" t="str">
        <f t="shared" ref="K6:K8" si="11">L3</f>
        <v>Candice?</v>
      </c>
      <c r="L6" s="83" t="str">
        <f t="shared" ref="L6:L8" si="12">K3</f>
        <v>Migos</v>
      </c>
      <c r="M6" s="83" t="str">
        <f t="shared" ref="M6:M8" si="13">N3</f>
        <v>Migos</v>
      </c>
      <c r="N6" s="83" t="str">
        <f t="shared" ref="N6:N8" si="14">M3</f>
        <v>Team E</v>
      </c>
    </row>
    <row r="7">
      <c r="A7" s="83" t="str">
        <f t="shared" si="1"/>
        <v>Team C</v>
      </c>
      <c r="B7" s="83" t="str">
        <f t="shared" si="2"/>
        <v>Team F</v>
      </c>
      <c r="C7" s="83" t="str">
        <f t="shared" si="3"/>
        <v>Candice?</v>
      </c>
      <c r="D7" s="83" t="str">
        <f t="shared" si="4"/>
        <v>Gargantuan</v>
      </c>
      <c r="E7" s="83" t="str">
        <f t="shared" si="5"/>
        <v>Candice?</v>
      </c>
      <c r="F7" s="83" t="str">
        <f t="shared" si="6"/>
        <v>Team F</v>
      </c>
      <c r="G7" s="83" t="str">
        <f t="shared" si="7"/>
        <v>Gargantuan</v>
      </c>
      <c r="H7" s="83" t="str">
        <f t="shared" si="8"/>
        <v>Candice?</v>
      </c>
      <c r="I7" s="83" t="str">
        <f t="shared" si="9"/>
        <v>Team E</v>
      </c>
      <c r="J7" s="83" t="str">
        <f t="shared" si="10"/>
        <v>Candice?</v>
      </c>
      <c r="K7" s="83" t="str">
        <f t="shared" si="11"/>
        <v>Team C</v>
      </c>
      <c r="L7" s="83" t="str">
        <f t="shared" si="12"/>
        <v>Gargantuan</v>
      </c>
      <c r="M7" s="83" t="str">
        <f t="shared" si="13"/>
        <v>Team C</v>
      </c>
      <c r="N7" s="83" t="str">
        <f t="shared" si="14"/>
        <v>Candice?</v>
      </c>
    </row>
    <row r="8">
      <c r="A8" s="83" t="str">
        <f t="shared" si="1"/>
        <v>Gargantuan</v>
      </c>
      <c r="B8" s="83" t="str">
        <f t="shared" si="2"/>
        <v>Team E</v>
      </c>
      <c r="C8" s="83" t="str">
        <f t="shared" si="3"/>
        <v>Team F</v>
      </c>
      <c r="D8" s="83" t="str">
        <f t="shared" si="4"/>
        <v>Team E</v>
      </c>
      <c r="E8" s="83" t="str">
        <f t="shared" si="5"/>
        <v>Team E</v>
      </c>
      <c r="F8" s="83" t="str">
        <f t="shared" si="6"/>
        <v>Team C</v>
      </c>
      <c r="G8" s="83" t="str">
        <f t="shared" si="7"/>
        <v>Team C</v>
      </c>
      <c r="H8" s="83" t="str">
        <f t="shared" si="8"/>
        <v>Team E</v>
      </c>
      <c r="I8" s="83" t="str">
        <f t="shared" si="9"/>
        <v>Team F</v>
      </c>
      <c r="J8" s="83" t="str">
        <f t="shared" si="10"/>
        <v>Team C</v>
      </c>
      <c r="K8" s="83" t="str">
        <f t="shared" si="11"/>
        <v>Team E</v>
      </c>
      <c r="L8" s="83" t="str">
        <f t="shared" si="12"/>
        <v>Team F</v>
      </c>
      <c r="M8" s="83" t="str">
        <f t="shared" si="13"/>
        <v>Team F</v>
      </c>
      <c r="N8" s="83" t="str">
        <f t="shared" si="14"/>
        <v>Gargantuan</v>
      </c>
    </row>
    <row r="11">
      <c r="A11" s="84" t="str">
        <f>if('Week 1'!$A$1=A3, 'Week 1'!$F$1, if('Week 1'!$K$1=A3, 'Week 1'!$P$1, if('Week 1'!$A$21=A3, 'Week 1'!$F$21, if('Week 1'!$K$21=A3, 'Week 1'!$P$21, if('Week 1'!$A$41=A3, 'Week 1'!$F$41, if('Week 1'!$K$41=A3, 'Week 1'!$P$41))))))</f>
        <v>Win</v>
      </c>
      <c r="B11" s="84" t="str">
        <f>if('Week 1'!$A$1=B3, 'Week 1'!$F$1, if('Week 1'!$K$1=B3, 'Week 1'!$P$1, if('Week 1'!$A$21=B3, 'Week 1'!$F$21, if('Week 1'!$K$21=B3, 'Week 1'!$P$21, if('Week 1'!$A$41=B3, 'Week 1'!$F$41, if('Week 1'!$K$41=B3, 'Week 1'!$P$41))))))</f>
        <v>Loss</v>
      </c>
      <c r="C11" s="84" t="str">
        <f>if('Week 2'!$A$1=C3, 'Week 2'!$F$1, if('Week 2'!$K$1=C3, 'Week 2'!$P$1, if('Week 2'!$A$21=C3, 'Week 2'!$F$21, if('Week 2'!$K$21=C3, 'Week 2'!$P$21, if('Week 2'!$A$41=C3, 'Week 2'!$F$41, if('Week 2'!$K$41=C3, 'Week 2'!$P$41))))))</f>
        <v>Loss</v>
      </c>
      <c r="D11" s="84" t="str">
        <f>if('Week 2'!$A$1=D3, 'Week 2'!$F$1, if('Week 2'!$K$1=D3, 'Week 2'!$P$1, if('Week 2'!$A$21=D3, 'Week 2'!$F$21, if('Week 2'!$K$21=D3, 'Week 2'!$P$21, if('Week 2'!$A$41=D3, 'Week 2'!$F$41, if('Week 2'!$K$41=D3, 'Week 2'!$P$41))))))</f>
        <v>Win</v>
      </c>
      <c r="E11" s="84" t="str">
        <f>if('Week 3'!$A$1=E3, 'Week 3'!$F$1, if('Week 3'!$K$1=E3, 'Week 3'!$P$1, if('Week 3'!$A$21=E3, 'Week 3'!$F$21, if('Week 3'!$K$21=E3, 'Week 3'!$P$21, if('Week 3'!$A$41=E3, 'Week 3'!$F$41, if('Week 3'!$K$41=E3, 'Week 3'!$P$41))))))</f>
        <v>Win</v>
      </c>
      <c r="F11" s="84" t="str">
        <f>if('Week 3'!$A$1=F3, 'Week 3'!$F$1, if('Week 3'!$K$1=F3, 'Week 3'!$P$1, if('Week 3'!$A$21=F3, 'Week 3'!$F$21, if('Week 3'!$K$21=F3, 'Week 3'!$P$21, if('Week 3'!$A$41=F3, 'Week 3'!$F$41, if('Week 3'!$K$41=F3, 'Week 3'!$P$41))))))</f>
        <v>Loss</v>
      </c>
      <c r="G11" s="84" t="str">
        <f>if('Week 4'!$A$1=G3, 'Week 4'!$F$1, if('Week 4'!$K$1=G3, 'Week 4'!$P$1, if('Week 4'!$A$21=G3, 'Week 4'!$F$21, if('Week 4'!$K$21=G3, 'Week 4'!$P$21, if('Week 4'!$A$41=G3, 'Week 4'!$F$41, if('Week 4'!$K$41=G3, 'Week 4'!$P$41))))))</f>
        <v>Win</v>
      </c>
      <c r="H11" s="84" t="str">
        <f>if('Week 4'!$A$1=H3, 'Week 4'!$F$1, if('Week 4'!$K$1=H3, 'Week 4'!$P$1, if('Week 4'!$A$21=H3, 'Week 4'!$F$21, if('Week 4'!$K$21=H3, 'Week 4'!$P$21, if('Week 4'!$A$41=H3, 'Week 4'!$F$41, if('Week 4'!$K$41=H3, 'Week 4'!$P$41))))))</f>
        <v>Loss</v>
      </c>
      <c r="I11" s="84" t="str">
        <f>if('Week 5'!$A$1=I3, 'Week 5'!$F$1, if('Week 5'!$K$1=I3, 'Week 5'!$P$1, if('Week 5'!$A$21=I3, 'Week 5'!$F$21, if('Week 5'!$K$21=I3, 'Week 5'!$P$21, if('Week 5'!$A$41=I3, 'Week 5'!$F$41, if('Week 5'!$K$41=I3, 'Week 5'!$P$41))))))</f>
        <v>Loss</v>
      </c>
      <c r="J11" s="84" t="str">
        <f>if('Week 5'!$A$1=J3, 'Week 5'!$F$1, if('Week 5'!$K$1=J3, 'Week 5'!$P$1, if('Week 5'!$A$21=J3, 'Week 5'!$F$21, if('Week 5'!$K$21=J3, 'Week 5'!$P$21, if('Week 5'!$A$41=J3, 'Week 5'!$F$41, if('Week 5'!$K$41=J3, 'Week 5'!$P$41))))))</f>
        <v>Win</v>
      </c>
      <c r="K11" s="84" t="str">
        <f>if('Week 6'!$A$1=K3, 'Week 6'!$F$1, if('Week 6'!$K$1=K3, 'Week 6'!$P$1, if('Week 6'!$A$21=K3, 'Week 6'!$F$21, if('Week 6'!$K$21=K3, 'Week 6'!$P$21, if('Week 6'!$A$41=K3, 'Week 6'!$F$41, if('Week 6'!$K$41=K3, 'Week 6'!$P$41))))))</f>
        <v>Win</v>
      </c>
      <c r="L11" s="84" t="str">
        <f>if('Week 6'!$A$1=L3, 'Week 6'!$F$1, if('Week 6'!$K$1=L3, 'Week 6'!$P$1, if('Week 6'!$A$21=L3, 'Week 6'!$F$21, if('Week 6'!$K$21=L3, 'Week 6'!$P$21, if('Week 6'!$A$41=L3, 'Week 6'!$F$41, if('Week 6'!$K$41=L3, 'Week 6'!$P$41))))))</f>
        <v>Loss</v>
      </c>
      <c r="M11" s="84" t="str">
        <f>if('Week 7'!$A$1=M3, 'Week 7'!$F$1, if('Week 7'!$K$1=M3, 'Week 7'!$P$1, if('Week 7'!$A$21=M3, 'Week 7'!$F$21, if('Week 7'!$K$21=M3, 'Week 7'!$P$21, if('Week 7'!$A$41=M3, 'Week 7'!$F$41, if('Week 7'!$K$41=M3, 'Week 7'!$P$41))))))</f>
        <v>Loss</v>
      </c>
      <c r="N11" s="84" t="str">
        <f>if('Week 7'!$A$1=N3, 'Week 7'!$F$1, if('Week 7'!$K$1=N3, 'Week 7'!$P$1, if('Week 7'!$A$21=N3, 'Week 7'!$F$21, if('Week 7'!$K$21=N3, 'Week 7'!$P$21, if('Week 7'!$A$41=N3, 'Week 7'!$F$41, if('Week 7'!$K$41=N3, 'Week 7'!$P$41))))))</f>
        <v>Win</v>
      </c>
    </row>
    <row r="12">
      <c r="A12" s="84" t="str">
        <f>if('Week 1'!$A$1=A4, 'Week 1'!$F$1, if('Week 1'!$K$1=A4, 'Week 1'!$P$1, if('Week 1'!$A$21=A4, 'Week 1'!$F$21, if('Week 1'!$K$21=A4, 'Week 1'!$P$21, if('Week 1'!$A$41=A4, 'Week 1'!$F$41, if('Week 1'!$K$41=A4, 'Week 1'!$P$41))))))</f>
        <v>Win</v>
      </c>
      <c r="B12" s="84" t="str">
        <f>if('Week 1'!$A$1=B4, 'Week 1'!$F$1, if('Week 1'!$K$1=B4, 'Week 1'!$P$1, if('Week 1'!$A$21=B4, 'Week 1'!$F$21, if('Week 1'!$K$21=B4, 'Week 1'!$P$21, if('Week 1'!$A$41=B4, 'Week 1'!$F$41, if('Week 1'!$K$41=B4, 'Week 1'!$P$41))))))</f>
        <v>Loss</v>
      </c>
      <c r="C12" s="84" t="str">
        <f>if('Week 2'!$A$1=C4, 'Week 2'!$F$1, if('Week 2'!$K$1=C4, 'Week 2'!$P$1, if('Week 2'!$A$21=C4, 'Week 2'!$F$21, if('Week 2'!$K$21=C4, 'Week 2'!$P$21, if('Week 2'!$A$41=C4, 'Week 2'!$F$41, if('Week 2'!$K$41=C4, 'Week 2'!$P$41))))))</f>
        <v>Loss</v>
      </c>
      <c r="D12" s="84" t="str">
        <f>if('Week 2'!$A$1=D4, 'Week 2'!$F$1, if('Week 2'!$K$1=D4, 'Week 2'!$P$1, if('Week 2'!$A$21=D4, 'Week 2'!$F$21, if('Week 2'!$K$21=D4, 'Week 2'!$P$21, if('Week 2'!$A$41=D4, 'Week 2'!$F$41, if('Week 2'!$K$41=D4, 'Week 2'!$P$41))))))</f>
        <v>Win</v>
      </c>
      <c r="E12" s="84" t="str">
        <f>if('Week 3'!$A$1=E4, 'Week 3'!$F$1, if('Week 3'!$K$1=E4, 'Week 3'!$P$1, if('Week 3'!$A$21=E4, 'Week 3'!$F$21, if('Week 3'!$K$21=E4, 'Week 3'!$P$21, if('Week 3'!$A$41=E4, 'Week 3'!$F$41, if('Week 3'!$K$41=E4, 'Week 3'!$P$41))))))</f>
        <v>Loss</v>
      </c>
      <c r="F12" s="84" t="str">
        <f>if('Week 3'!$A$1=F4, 'Week 3'!$F$1, if('Week 3'!$K$1=F4, 'Week 3'!$P$1, if('Week 3'!$A$21=F4, 'Week 3'!$F$21, if('Week 3'!$K$21=F4, 'Week 3'!$P$21, if('Week 3'!$A$41=F4, 'Week 3'!$F$41, if('Week 3'!$K$41=F4, 'Week 3'!$P$41))))))</f>
        <v>Win</v>
      </c>
      <c r="G12" s="84" t="str">
        <f>if('Week 4'!$A$1=G4, 'Week 4'!$F$1, if('Week 4'!$K$1=G4, 'Week 4'!$P$1, if('Week 4'!$A$21=G4, 'Week 4'!$F$21, if('Week 4'!$K$21=G4, 'Week 4'!$P$21, if('Week 4'!$A$41=G4, 'Week 4'!$F$41, if('Week 4'!$K$41=G4, 'Week 4'!$P$41))))))</f>
        <v>Loss</v>
      </c>
      <c r="H12" s="84" t="str">
        <f>if('Week 4'!$A$1=H4, 'Week 4'!$F$1, if('Week 4'!$K$1=H4, 'Week 4'!$P$1, if('Week 4'!$A$21=H4, 'Week 4'!$F$21, if('Week 4'!$K$21=H4, 'Week 4'!$P$21, if('Week 4'!$A$41=H4, 'Week 4'!$F$41, if('Week 4'!$K$41=H4, 'Week 4'!$P$41))))))</f>
        <v>Win</v>
      </c>
      <c r="I12" s="84" t="str">
        <f>if('Week 5'!$A$1=I4, 'Week 5'!$F$1, if('Week 5'!$K$1=I4, 'Week 5'!$P$1, if('Week 5'!$A$21=I4, 'Week 5'!$F$21, if('Week 5'!$K$21=I4, 'Week 5'!$P$21, if('Week 5'!$A$41=I4, 'Week 5'!$F$41, if('Week 5'!$K$41=I4, 'Week 5'!$P$41))))))</f>
        <v>Loss</v>
      </c>
      <c r="J12" s="84" t="str">
        <f>if('Week 5'!$A$1=J4, 'Week 5'!$F$1, if('Week 5'!$K$1=J4, 'Week 5'!$P$1, if('Week 5'!$A$21=J4, 'Week 5'!$F$21, if('Week 5'!$K$21=J4, 'Week 5'!$P$21, if('Week 5'!$A$41=J4, 'Week 5'!$F$41, if('Week 5'!$K$41=J4, 'Week 5'!$P$41))))))</f>
        <v>Win</v>
      </c>
      <c r="K12" s="84" t="str">
        <f>if('Week 6'!$A$1=K4, 'Week 6'!$F$1, if('Week 6'!$K$1=K4, 'Week 6'!$P$1, if('Week 6'!$A$21=K4, 'Week 6'!$F$21, if('Week 6'!$K$21=K4, 'Week 6'!$P$21, if('Week 6'!$A$41=K4, 'Week 6'!$F$41, if('Week 6'!$K$41=K4, 'Week 6'!$P$41))))))</f>
        <v>Win</v>
      </c>
      <c r="L12" s="84" t="str">
        <f>if('Week 6'!$A$1=L4, 'Week 6'!$F$1, if('Week 6'!$K$1=L4, 'Week 6'!$P$1, if('Week 6'!$A$21=L4, 'Week 6'!$F$21, if('Week 6'!$K$21=L4, 'Week 6'!$P$21, if('Week 6'!$A$41=L4, 'Week 6'!$F$41, if('Week 6'!$K$41=L4, 'Week 6'!$P$41))))))</f>
        <v>Loss</v>
      </c>
      <c r="M12" s="84" t="str">
        <f>if('Week 7'!$A$1=M4, 'Week 7'!$F$1, if('Week 7'!$K$1=M4, 'Week 7'!$P$1, if('Week 7'!$A$21=M4, 'Week 7'!$F$21, if('Week 7'!$K$21=M4, 'Week 7'!$P$21, if('Week 7'!$A$41=M4, 'Week 7'!$F$41, if('Week 7'!$K$41=M4, 'Week 7'!$P$41))))))</f>
        <v>Loss</v>
      </c>
      <c r="N12" s="84" t="str">
        <f>if('Week 7'!$A$1=N4, 'Week 7'!$F$1, if('Week 7'!$K$1=N4, 'Week 7'!$P$1, if('Week 7'!$A$21=N4, 'Week 7'!$F$21, if('Week 7'!$K$21=N4, 'Week 7'!$P$21, if('Week 7'!$A$41=N4, 'Week 7'!$F$41, if('Week 7'!$K$41=N4, 'Week 7'!$P$41))))))</f>
        <v>Win</v>
      </c>
    </row>
    <row r="13">
      <c r="A13" s="84" t="str">
        <f>if('Week 1'!$A$1=A5, 'Week 1'!$F$1, if('Week 1'!$K$1=A5, 'Week 1'!$P$1, if('Week 1'!$A$21=A5, 'Week 1'!$F$21, if('Week 1'!$K$21=A5, 'Week 1'!$P$21, if('Week 1'!$A$41=A5, 'Week 1'!$F$41, if('Week 1'!$K$41=A5, 'Week 1'!$P$41))))))</f>
        <v>Win</v>
      </c>
      <c r="B13" s="84" t="str">
        <f>if('Week 1'!$A$1=B5, 'Week 1'!$F$1, if('Week 1'!$K$1=B5, 'Week 1'!$P$1, if('Week 1'!$A$21=B5, 'Week 1'!$F$21, if('Week 1'!$K$21=B5, 'Week 1'!$P$21, if('Week 1'!$A$41=B5, 'Week 1'!$F$41, if('Week 1'!$K$41=B5, 'Week 1'!$P$41))))))</f>
        <v>Loss</v>
      </c>
      <c r="C13" s="84" t="str">
        <f>if('Week 2'!$A$1=C5, 'Week 2'!$F$1, if('Week 2'!$K$1=C5, 'Week 2'!$P$1, if('Week 2'!$A$21=C5, 'Week 2'!$F$21, if('Week 2'!$K$21=C5, 'Week 2'!$P$21, if('Week 2'!$A$41=C5, 'Week 2'!$F$41, if('Week 2'!$K$41=C5, 'Week 2'!$P$41))))))</f>
        <v>Loss</v>
      </c>
      <c r="D13" s="84" t="str">
        <f>if('Week 2'!$A$1=D5, 'Week 2'!$F$1, if('Week 2'!$K$1=D5, 'Week 2'!$P$1, if('Week 2'!$A$21=D5, 'Week 2'!$F$21, if('Week 2'!$K$21=D5, 'Week 2'!$P$21, if('Week 2'!$A$41=D5, 'Week 2'!$F$41, if('Week 2'!$K$41=D5, 'Week 2'!$P$41))))))</f>
        <v>Win</v>
      </c>
      <c r="E13" s="84" t="str">
        <f>if('Week 3'!$A$1=E5, 'Week 3'!$F$1, if('Week 3'!$K$1=E5, 'Week 3'!$P$1, if('Week 3'!$A$21=E5, 'Week 3'!$F$21, if('Week 3'!$K$21=E5, 'Week 3'!$P$21, if('Week 3'!$A$41=E5, 'Week 3'!$F$41, if('Week 3'!$K$41=E5, 'Week 3'!$P$41))))))</f>
        <v>Win</v>
      </c>
      <c r="F13" s="84" t="str">
        <f>if('Week 3'!$A$1=F5, 'Week 3'!$F$1, if('Week 3'!$K$1=F5, 'Week 3'!$P$1, if('Week 3'!$A$21=F5, 'Week 3'!$F$21, if('Week 3'!$K$21=F5, 'Week 3'!$P$21, if('Week 3'!$A$41=F5, 'Week 3'!$F$41, if('Week 3'!$K$41=F5, 'Week 3'!$P$41))))))</f>
        <v>Loss</v>
      </c>
      <c r="G13" s="84" t="str">
        <f>if('Week 4'!$A$1=G5, 'Week 4'!$F$1, if('Week 4'!$K$1=G5, 'Week 4'!$P$1, if('Week 4'!$A$21=G5, 'Week 4'!$F$21, if('Week 4'!$K$21=G5, 'Week 4'!$P$21, if('Week 4'!$A$41=G5, 'Week 4'!$F$41, if('Week 4'!$K$41=G5, 'Week 4'!$P$41))))))</f>
        <v>Win</v>
      </c>
      <c r="H13" s="84" t="str">
        <f>if('Week 4'!$A$1=H5, 'Week 4'!$F$1, if('Week 4'!$K$1=H5, 'Week 4'!$P$1, if('Week 4'!$A$21=H5, 'Week 4'!$F$21, if('Week 4'!$K$21=H5, 'Week 4'!$P$21, if('Week 4'!$A$41=H5, 'Week 4'!$F$41, if('Week 4'!$K$41=H5, 'Week 4'!$P$41))))))</f>
        <v>Loss</v>
      </c>
      <c r="I13" s="84" t="str">
        <f>if('Week 5'!$A$1=I5, 'Week 5'!$F$1, if('Week 5'!$K$1=I5, 'Week 5'!$P$1, if('Week 5'!$A$21=I5, 'Week 5'!$F$21, if('Week 5'!$K$21=I5, 'Week 5'!$P$21, if('Week 5'!$A$41=I5, 'Week 5'!$F$41, if('Week 5'!$K$41=I5, 'Week 5'!$P$41))))))</f>
        <v>Win</v>
      </c>
      <c r="J13" s="84" t="str">
        <f>if('Week 5'!$A$1=J5, 'Week 5'!$F$1, if('Week 5'!$K$1=J5, 'Week 5'!$P$1, if('Week 5'!$A$21=J5, 'Week 5'!$F$21, if('Week 5'!$K$21=J5, 'Week 5'!$P$21, if('Week 5'!$A$41=J5, 'Week 5'!$F$41, if('Week 5'!$K$41=J5, 'Week 5'!$P$41))))))</f>
        <v>Loss</v>
      </c>
      <c r="K13" s="84" t="str">
        <f>if('Week 6'!$A$1=K5, 'Week 6'!$F$1, if('Week 6'!$K$1=K5, 'Week 6'!$P$1, if('Week 6'!$A$21=K5, 'Week 6'!$F$21, if('Week 6'!$K$21=K5, 'Week 6'!$P$21, if('Week 6'!$A$41=K5, 'Week 6'!$F$41, if('Week 6'!$K$41=K5, 'Week 6'!$P$41))))))</f>
        <v>Win</v>
      </c>
      <c r="L13" s="84" t="str">
        <f>if('Week 6'!$A$1=L5, 'Week 6'!$F$1, if('Week 6'!$K$1=L5, 'Week 6'!$P$1, if('Week 6'!$A$21=L5, 'Week 6'!$F$21, if('Week 6'!$K$21=L5, 'Week 6'!$P$21, if('Week 6'!$A$41=L5, 'Week 6'!$F$41, if('Week 6'!$K$41=L5, 'Week 6'!$P$41))))))</f>
        <v>Loss</v>
      </c>
      <c r="M13" s="84" t="str">
        <f>if('Week 7'!$A$1=M5, 'Week 7'!$F$1, if('Week 7'!$K$1=M5, 'Week 7'!$P$1, if('Week 7'!$A$21=M5, 'Week 7'!$F$21, if('Week 7'!$K$21=M5, 'Week 7'!$P$21, if('Week 7'!$A$41=M5, 'Week 7'!$F$41, if('Week 7'!$K$41=M5, 'Week 7'!$P$41))))))</f>
        <v>Win</v>
      </c>
      <c r="N13" s="84" t="str">
        <f>if('Week 7'!$A$1=N5, 'Week 7'!$F$1, if('Week 7'!$K$1=N5, 'Week 7'!$P$1, if('Week 7'!$A$21=N5, 'Week 7'!$F$21, if('Week 7'!$K$21=N5, 'Week 7'!$P$21, if('Week 7'!$A$41=N5, 'Week 7'!$F$41, if('Week 7'!$K$41=N5, 'Week 7'!$P$41))))))</f>
        <v>Loss</v>
      </c>
    </row>
    <row r="18">
      <c r="G18" s="85"/>
    </row>
    <row r="19">
      <c r="G19" s="85"/>
    </row>
  </sheetData>
  <mergeCells count="7">
    <mergeCell ref="A2:B2"/>
    <mergeCell ref="C2:D2"/>
    <mergeCell ref="E2:F2"/>
    <mergeCell ref="G2:H2"/>
    <mergeCell ref="I2:J2"/>
    <mergeCell ref="K2:L2"/>
    <mergeCell ref="M2:N2"/>
  </mergeCells>
  <conditionalFormatting sqref="A3">
    <cfRule type="expression" dxfId="0" priority="1">
      <formula>A11="Win"</formula>
    </cfRule>
  </conditionalFormatting>
  <conditionalFormatting sqref="B3">
    <cfRule type="expression" dxfId="0" priority="2">
      <formula>B11="Win"</formula>
    </cfRule>
  </conditionalFormatting>
  <conditionalFormatting sqref="C3">
    <cfRule type="expression" dxfId="0" priority="3">
      <formula>C11="Win"</formula>
    </cfRule>
  </conditionalFormatting>
  <conditionalFormatting sqref="D3">
    <cfRule type="expression" dxfId="0" priority="4">
      <formula>D11="Win"</formula>
    </cfRule>
  </conditionalFormatting>
  <conditionalFormatting sqref="E3">
    <cfRule type="expression" dxfId="0" priority="5">
      <formula>E11="Win"</formula>
    </cfRule>
  </conditionalFormatting>
  <conditionalFormatting sqref="F3">
    <cfRule type="expression" dxfId="0" priority="6">
      <formula>F11="Win"</formula>
    </cfRule>
  </conditionalFormatting>
  <conditionalFormatting sqref="G3">
    <cfRule type="expression" dxfId="0" priority="7">
      <formula>G11="Win"</formula>
    </cfRule>
  </conditionalFormatting>
  <conditionalFormatting sqref="H3">
    <cfRule type="expression" dxfId="0" priority="8">
      <formula>H11="Win"</formula>
    </cfRule>
  </conditionalFormatting>
  <conditionalFormatting sqref="I3">
    <cfRule type="expression" dxfId="0" priority="9">
      <formula>I11="Win"</formula>
    </cfRule>
  </conditionalFormatting>
  <conditionalFormatting sqref="J3">
    <cfRule type="expression" dxfId="0" priority="10">
      <formula>J11="Win"</formula>
    </cfRule>
  </conditionalFormatting>
  <conditionalFormatting sqref="K3">
    <cfRule type="expression" dxfId="0" priority="11">
      <formula>K11="Win"</formula>
    </cfRule>
  </conditionalFormatting>
  <conditionalFormatting sqref="L3">
    <cfRule type="expression" dxfId="0" priority="12">
      <formula>L11="Win"</formula>
    </cfRule>
  </conditionalFormatting>
  <conditionalFormatting sqref="M3">
    <cfRule type="expression" dxfId="0" priority="13">
      <formula>M11="Win"</formula>
    </cfRule>
  </conditionalFormatting>
  <conditionalFormatting sqref="N3">
    <cfRule type="expression" dxfId="0" priority="14">
      <formula>N11="Win"</formula>
    </cfRule>
  </conditionalFormatting>
  <conditionalFormatting sqref="A4">
    <cfRule type="expression" dxfId="0" priority="15">
      <formula>A12="Win"</formula>
    </cfRule>
  </conditionalFormatting>
  <conditionalFormatting sqref="B4">
    <cfRule type="expression" dxfId="0" priority="16">
      <formula>B12="Win"</formula>
    </cfRule>
  </conditionalFormatting>
  <conditionalFormatting sqref="C4">
    <cfRule type="expression" dxfId="0" priority="17">
      <formula>C12="Win"</formula>
    </cfRule>
  </conditionalFormatting>
  <conditionalFormatting sqref="D4">
    <cfRule type="expression" dxfId="0" priority="18">
      <formula>D12="Win"</formula>
    </cfRule>
  </conditionalFormatting>
  <conditionalFormatting sqref="E4">
    <cfRule type="expression" dxfId="0" priority="19">
      <formula>E12="Win"</formula>
    </cfRule>
  </conditionalFormatting>
  <conditionalFormatting sqref="F4">
    <cfRule type="expression" dxfId="0" priority="20">
      <formula>F12="Win"</formula>
    </cfRule>
  </conditionalFormatting>
  <conditionalFormatting sqref="G4">
    <cfRule type="expression" dxfId="0" priority="21">
      <formula>G12="Win"</formula>
    </cfRule>
  </conditionalFormatting>
  <conditionalFormatting sqref="H4">
    <cfRule type="expression" dxfId="0" priority="22">
      <formula>H12="Win"</formula>
    </cfRule>
  </conditionalFormatting>
  <conditionalFormatting sqref="I4">
    <cfRule type="expression" dxfId="0" priority="23">
      <formula>I12="Win"</formula>
    </cfRule>
  </conditionalFormatting>
  <conditionalFormatting sqref="J4">
    <cfRule type="expression" dxfId="0" priority="24">
      <formula>J12="Win"</formula>
    </cfRule>
  </conditionalFormatting>
  <conditionalFormatting sqref="K4">
    <cfRule type="expression" dxfId="0" priority="25">
      <formula>K12="Win"</formula>
    </cfRule>
  </conditionalFormatting>
  <conditionalFormatting sqref="L4">
    <cfRule type="expression" dxfId="0" priority="26">
      <formula>L12="Win"</formula>
    </cfRule>
  </conditionalFormatting>
  <conditionalFormatting sqref="M4">
    <cfRule type="expression" dxfId="0" priority="27">
      <formula>M12="Win"</formula>
    </cfRule>
  </conditionalFormatting>
  <conditionalFormatting sqref="N4">
    <cfRule type="expression" dxfId="0" priority="28">
      <formula>N12="Win"</formula>
    </cfRule>
  </conditionalFormatting>
  <conditionalFormatting sqref="A5">
    <cfRule type="expression" dxfId="0" priority="29">
      <formula>A13="Win"</formula>
    </cfRule>
  </conditionalFormatting>
  <conditionalFormatting sqref="B5">
    <cfRule type="expression" dxfId="0" priority="30">
      <formula>B13="Win"</formula>
    </cfRule>
  </conditionalFormatting>
  <conditionalFormatting sqref="C5">
    <cfRule type="expression" dxfId="0" priority="31">
      <formula>C13="Win"</formula>
    </cfRule>
  </conditionalFormatting>
  <conditionalFormatting sqref="D5">
    <cfRule type="expression" dxfId="0" priority="32">
      <formula>D13="Win"</formula>
    </cfRule>
  </conditionalFormatting>
  <conditionalFormatting sqref="E5">
    <cfRule type="expression" dxfId="0" priority="33">
      <formula>E13="Win"</formula>
    </cfRule>
  </conditionalFormatting>
  <conditionalFormatting sqref="F5">
    <cfRule type="expression" dxfId="0" priority="34">
      <formula>F13="Win"</formula>
    </cfRule>
  </conditionalFormatting>
  <conditionalFormatting sqref="G5">
    <cfRule type="expression" dxfId="0" priority="35">
      <formula>G13="Win"</formula>
    </cfRule>
  </conditionalFormatting>
  <conditionalFormatting sqref="H5">
    <cfRule type="expression" dxfId="0" priority="36">
      <formula>H13="Win"</formula>
    </cfRule>
  </conditionalFormatting>
  <conditionalFormatting sqref="I5">
    <cfRule type="expression" dxfId="0" priority="37">
      <formula>I13="Win"</formula>
    </cfRule>
  </conditionalFormatting>
  <conditionalFormatting sqref="J5">
    <cfRule type="expression" dxfId="0" priority="38">
      <formula>J13="Win"</formula>
    </cfRule>
  </conditionalFormatting>
  <conditionalFormatting sqref="K5">
    <cfRule type="expression" dxfId="0" priority="39">
      <formula>K13="Win"</formula>
    </cfRule>
  </conditionalFormatting>
  <conditionalFormatting sqref="L5">
    <cfRule type="expression" dxfId="0" priority="40">
      <formula>L13="Win"</formula>
    </cfRule>
  </conditionalFormatting>
  <conditionalFormatting sqref="M5">
    <cfRule type="expression" dxfId="0" priority="41">
      <formula>M13="Win"</formula>
    </cfRule>
  </conditionalFormatting>
  <conditionalFormatting sqref="N5">
    <cfRule type="expression" dxfId="0" priority="42">
      <formula>N13="Win"</formula>
    </cfRule>
  </conditionalFormatting>
  <conditionalFormatting sqref="N5">
    <cfRule type="expression" dxfId="1" priority="43">
      <formula>N13="Loss"</formula>
    </cfRule>
  </conditionalFormatting>
  <conditionalFormatting sqref="M5">
    <cfRule type="expression" dxfId="1" priority="44">
      <formula>M13="Loss"</formula>
    </cfRule>
  </conditionalFormatting>
  <conditionalFormatting sqref="L5">
    <cfRule type="expression" dxfId="1" priority="45">
      <formula>L13="Loss"</formula>
    </cfRule>
  </conditionalFormatting>
  <conditionalFormatting sqref="K5">
    <cfRule type="expression" dxfId="1" priority="46">
      <formula>K13="Loss"</formula>
    </cfRule>
  </conditionalFormatting>
  <conditionalFormatting sqref="J5">
    <cfRule type="expression" dxfId="1" priority="47">
      <formula>J13="Loss"</formula>
    </cfRule>
  </conditionalFormatting>
  <conditionalFormatting sqref="I5">
    <cfRule type="expression" dxfId="1" priority="48">
      <formula>I13="Loss"</formula>
    </cfRule>
  </conditionalFormatting>
  <conditionalFormatting sqref="H5">
    <cfRule type="expression" dxfId="1" priority="49">
      <formula>H13="Loss"</formula>
    </cfRule>
  </conditionalFormatting>
  <conditionalFormatting sqref="G5">
    <cfRule type="expression" dxfId="1" priority="50">
      <formula>G13="Loss"</formula>
    </cfRule>
  </conditionalFormatting>
  <conditionalFormatting sqref="F5">
    <cfRule type="expression" dxfId="1" priority="51">
      <formula>F13="Loss"</formula>
    </cfRule>
  </conditionalFormatting>
  <conditionalFormatting sqref="E5">
    <cfRule type="expression" dxfId="1" priority="52">
      <formula>E13="Loss"</formula>
    </cfRule>
  </conditionalFormatting>
  <conditionalFormatting sqref="D5">
    <cfRule type="expression" dxfId="1" priority="53">
      <formula>D13="Loss"</formula>
    </cfRule>
  </conditionalFormatting>
  <conditionalFormatting sqref="C5">
    <cfRule type="expression" dxfId="1" priority="54">
      <formula>C13="Loss"</formula>
    </cfRule>
  </conditionalFormatting>
  <conditionalFormatting sqref="B5">
    <cfRule type="expression" dxfId="1" priority="55">
      <formula>B13="Loss"</formula>
    </cfRule>
  </conditionalFormatting>
  <conditionalFormatting sqref="A5">
    <cfRule type="expression" dxfId="1" priority="56">
      <formula>A13="Loss"</formula>
    </cfRule>
  </conditionalFormatting>
  <conditionalFormatting sqref="A4">
    <cfRule type="expression" dxfId="1" priority="57">
      <formula>A12="Loss"</formula>
    </cfRule>
  </conditionalFormatting>
  <conditionalFormatting sqref="B4">
    <cfRule type="expression" dxfId="1" priority="58">
      <formula>B12="Loss"</formula>
    </cfRule>
  </conditionalFormatting>
  <conditionalFormatting sqref="C4">
    <cfRule type="expression" dxfId="1" priority="59">
      <formula>C12="Loss"</formula>
    </cfRule>
  </conditionalFormatting>
  <conditionalFormatting sqref="D4">
    <cfRule type="expression" dxfId="1" priority="60">
      <formula>D12="Loss"</formula>
    </cfRule>
  </conditionalFormatting>
  <conditionalFormatting sqref="E4">
    <cfRule type="expression" dxfId="1" priority="61">
      <formula>E12="Loss"</formula>
    </cfRule>
  </conditionalFormatting>
  <conditionalFormatting sqref="F4">
    <cfRule type="expression" dxfId="1" priority="62">
      <formula>F12="Loss"</formula>
    </cfRule>
  </conditionalFormatting>
  <conditionalFormatting sqref="G4">
    <cfRule type="expression" dxfId="1" priority="63">
      <formula>G12="Loss"</formula>
    </cfRule>
  </conditionalFormatting>
  <conditionalFormatting sqref="H4">
    <cfRule type="expression" dxfId="1" priority="64">
      <formula>H12="Loss"</formula>
    </cfRule>
  </conditionalFormatting>
  <conditionalFormatting sqref="I4">
    <cfRule type="expression" dxfId="1" priority="65">
      <formula>I12="Loss"</formula>
    </cfRule>
  </conditionalFormatting>
  <conditionalFormatting sqref="J4">
    <cfRule type="expression" dxfId="1" priority="66">
      <formula>J12="Loss"</formula>
    </cfRule>
  </conditionalFormatting>
  <conditionalFormatting sqref="K4">
    <cfRule type="expression" dxfId="1" priority="67">
      <formula>K12="Loss"</formula>
    </cfRule>
  </conditionalFormatting>
  <conditionalFormatting sqref="L4">
    <cfRule type="expression" dxfId="1" priority="68">
      <formula>L12="Loss"</formula>
    </cfRule>
  </conditionalFormatting>
  <conditionalFormatting sqref="M4">
    <cfRule type="expression" dxfId="1" priority="69">
      <formula>M12="Loss"</formula>
    </cfRule>
  </conditionalFormatting>
  <conditionalFormatting sqref="N4">
    <cfRule type="expression" dxfId="1" priority="70">
      <formula>N12="Loss"</formula>
    </cfRule>
  </conditionalFormatting>
  <conditionalFormatting sqref="N3">
    <cfRule type="expression" dxfId="1" priority="71">
      <formula>N11="Loss"</formula>
    </cfRule>
  </conditionalFormatting>
  <conditionalFormatting sqref="M3">
    <cfRule type="expression" dxfId="1" priority="72">
      <formula>M11="Loss"</formula>
    </cfRule>
  </conditionalFormatting>
  <conditionalFormatting sqref="L3">
    <cfRule type="expression" dxfId="1" priority="73">
      <formula>L11="Loss"</formula>
    </cfRule>
  </conditionalFormatting>
  <conditionalFormatting sqref="K3">
    <cfRule type="expression" dxfId="1" priority="74">
      <formula>K11="Loss"</formula>
    </cfRule>
  </conditionalFormatting>
  <conditionalFormatting sqref="J3">
    <cfRule type="expression" dxfId="1" priority="75">
      <formula>J11="Loss"</formula>
    </cfRule>
  </conditionalFormatting>
  <conditionalFormatting sqref="I3">
    <cfRule type="expression" dxfId="1" priority="76">
      <formula>I11="Loss"</formula>
    </cfRule>
  </conditionalFormatting>
  <conditionalFormatting sqref="H3">
    <cfRule type="expression" dxfId="1" priority="77">
      <formula>H11="Loss"</formula>
    </cfRule>
  </conditionalFormatting>
  <conditionalFormatting sqref="G3">
    <cfRule type="expression" dxfId="1" priority="78">
      <formula>G11="Loss"</formula>
    </cfRule>
  </conditionalFormatting>
  <conditionalFormatting sqref="F3">
    <cfRule type="expression" dxfId="1" priority="79">
      <formula>F11="Loss"</formula>
    </cfRule>
  </conditionalFormatting>
  <conditionalFormatting sqref="E3">
    <cfRule type="expression" dxfId="1" priority="80">
      <formula>E11="Loss"</formula>
    </cfRule>
  </conditionalFormatting>
  <conditionalFormatting sqref="D3">
    <cfRule type="expression" dxfId="1" priority="81">
      <formula>D11="Loss"</formula>
    </cfRule>
  </conditionalFormatting>
  <conditionalFormatting sqref="C3">
    <cfRule type="expression" dxfId="1" priority="82">
      <formula>C11="Loss"</formula>
    </cfRule>
  </conditionalFormatting>
  <conditionalFormatting sqref="B3">
    <cfRule type="expression" dxfId="1" priority="83">
      <formula>B11="Loss"</formula>
    </cfRule>
  </conditionalFormatting>
  <conditionalFormatting sqref="A3">
    <cfRule type="expression" dxfId="1" priority="84">
      <formula>A11="Loss"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86" t="s">
        <v>162</v>
      </c>
      <c r="B1" s="86" t="s">
        <v>163</v>
      </c>
      <c r="C1" s="87" t="s">
        <v>149</v>
      </c>
      <c r="D1" s="86" t="s">
        <v>164</v>
      </c>
      <c r="E1" s="88" t="s">
        <v>165</v>
      </c>
      <c r="F1" s="88" t="s">
        <v>166</v>
      </c>
      <c r="G1" s="88" t="s">
        <v>167</v>
      </c>
      <c r="H1" s="88" t="s">
        <v>168</v>
      </c>
      <c r="I1" s="88" t="s">
        <v>169</v>
      </c>
      <c r="J1" s="88" t="s">
        <v>170</v>
      </c>
      <c r="K1" s="87" t="s">
        <v>171</v>
      </c>
      <c r="L1" s="8"/>
      <c r="M1" s="89" t="s">
        <v>172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88" t="str">
        <f>Draft!B46</f>
        <v>Tyler</v>
      </c>
      <c r="B2" s="90">
        <f>iferror(vlookup($A2, 'Player Game Stats'!$A:$J, 2, False), "")</f>
        <v>4</v>
      </c>
      <c r="C2" s="91">
        <f>iferror(vlookup($A2, 'Player Game Stats'!$A:$J, 3, False), "")</f>
        <v>0.25</v>
      </c>
      <c r="D2" s="92">
        <f t="shared" ref="D2:D73" si="1">iferror(1.2*I2+1.1*H2+1.05*G2+1*F2, "")</f>
        <v>11.2</v>
      </c>
      <c r="E2" s="92">
        <f>iferror(vlookup($A2, 'Player Game Stats'!$A:$J, 4, False), "")</f>
        <v>10.75</v>
      </c>
      <c r="F2" s="92">
        <f>iferror(vlookup($A2, 'Player Game Stats'!$A:$J, 5, False), "")</f>
        <v>5.75</v>
      </c>
      <c r="G2" s="92">
        <f>iferror(vlookup($A2, 'Player Game Stats'!$A:$J, 6, False), "")</f>
        <v>1</v>
      </c>
      <c r="H2" s="92">
        <f>iferror(vlookup($A2, 'Player Game Stats'!$A:$J, 7, False), "")</f>
        <v>4</v>
      </c>
      <c r="I2" s="92">
        <f>IFERROR(vlookup($A2, 'Player Game Stats'!$A:$J, 8, False), "")</f>
        <v>0</v>
      </c>
      <c r="J2" s="92">
        <f>iferror(vlookup($A2, 'Player Game Stats'!$A:$J, 9, False), "")</f>
        <v>30.75</v>
      </c>
      <c r="K2" s="91">
        <f>iferror(vlookup($A2, 'Player Game Stats'!$A:$J, 10, False), "")</f>
        <v>0.2590361446</v>
      </c>
      <c r="L2" s="93">
        <f t="shared" ref="L2:L73" si="2">K2*D2</f>
        <v>2.901204819</v>
      </c>
      <c r="M2" s="92">
        <f t="shared" ref="M2:M73" si="3">iferror(L2*$L$75, "")</f>
        <v>7.474747477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88" t="str">
        <f>Draft!B48</f>
        <v>Lucas</v>
      </c>
      <c r="B3" s="90">
        <f>iferror(vlookup($A3, 'Player Game Stats'!$A:$J, 2, False), "")</f>
        <v>6</v>
      </c>
      <c r="C3" s="91">
        <f>iferror(vlookup($A3, 'Player Game Stats'!$A:$J, 3, False), "")</f>
        <v>0.3333333333</v>
      </c>
      <c r="D3" s="92">
        <f t="shared" si="1"/>
        <v>19.21666667</v>
      </c>
      <c r="E3" s="92">
        <f>iferror(vlookup($A3, 'Player Game Stats'!$A:$J, 4, False), "")</f>
        <v>17.83333333</v>
      </c>
      <c r="F3" s="92">
        <f>iferror(vlookup($A3, 'Player Game Stats'!$A:$J, 5, False), "")</f>
        <v>5.166666667</v>
      </c>
      <c r="G3" s="92">
        <f>iferror(vlookup($A3, 'Player Game Stats'!$A:$J, 6, False), "")</f>
        <v>1.333333333</v>
      </c>
      <c r="H3" s="92">
        <f>iferror(vlookup($A3, 'Player Game Stats'!$A:$J, 7, False), "")</f>
        <v>9.5</v>
      </c>
      <c r="I3" s="92">
        <f>IFERROR(vlookup($A3, 'Player Game Stats'!$A:$J, 8, False), "")</f>
        <v>1.833333333</v>
      </c>
      <c r="J3" s="92">
        <f>iferror(vlookup($A3, 'Player Game Stats'!$A:$J, 9, False), "")</f>
        <v>26.66666667</v>
      </c>
      <c r="K3" s="91">
        <f>iferror(vlookup($A3, 'Player Game Stats'!$A:$J, 10, False), "")</f>
        <v>0.4007490637</v>
      </c>
      <c r="L3" s="93">
        <f t="shared" si="2"/>
        <v>7.701061174</v>
      </c>
      <c r="M3" s="92">
        <f t="shared" si="3"/>
        <v>19.84123534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88" t="str">
        <f>Draft!B49</f>
        <v>Porco</v>
      </c>
      <c r="B4" s="90">
        <f>iferror(vlookup($A4, 'Player Game Stats'!$A:$J, 2, False), "")</f>
        <v>6</v>
      </c>
      <c r="C4" s="91">
        <f>iferror(vlookup($A4, 'Player Game Stats'!$A:$J, 3, False), "")</f>
        <v>0.3333333333</v>
      </c>
      <c r="D4" s="92">
        <f t="shared" si="1"/>
        <v>13.075</v>
      </c>
      <c r="E4" s="92">
        <f>iferror(vlookup($A4, 'Player Game Stats'!$A:$J, 4, False), "")</f>
        <v>12.16666667</v>
      </c>
      <c r="F4" s="92">
        <f>iferror(vlookup($A4, 'Player Game Stats'!$A:$J, 5, False), "")</f>
        <v>3.833333333</v>
      </c>
      <c r="G4" s="92">
        <f>iferror(vlookup($A4, 'Player Game Stats'!$A:$J, 6, False), "")</f>
        <v>0.5</v>
      </c>
      <c r="H4" s="92">
        <f>iferror(vlookup($A4, 'Player Game Stats'!$A:$J, 7, False), "")</f>
        <v>6.833333333</v>
      </c>
      <c r="I4" s="92">
        <f>IFERROR(vlookup($A4, 'Player Game Stats'!$A:$J, 8, False), "")</f>
        <v>1</v>
      </c>
      <c r="J4" s="92">
        <f>iferror(vlookup($A4, 'Player Game Stats'!$A:$J, 9, False), "")</f>
        <v>26.83333333</v>
      </c>
      <c r="K4" s="91">
        <f>iferror(vlookup($A4, 'Player Game Stats'!$A:$J, 10, False), "")</f>
        <v>0.311965812</v>
      </c>
      <c r="L4" s="93">
        <f t="shared" si="2"/>
        <v>4.078952991</v>
      </c>
      <c r="M4" s="92">
        <f t="shared" si="3"/>
        <v>10.50913172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88" t="str">
        <f>Draft!B50</f>
        <v>Andy Yu</v>
      </c>
      <c r="B5" s="90">
        <f>iferror(vlookup($A5, 'Player Game Stats'!$A:$J, 2, False), "")</f>
        <v>6</v>
      </c>
      <c r="C5" s="91">
        <f>iferror(vlookup($A5, 'Player Game Stats'!$A:$J, 3, False), "")</f>
        <v>0.3333333333</v>
      </c>
      <c r="D5" s="92">
        <f t="shared" si="1"/>
        <v>17.825</v>
      </c>
      <c r="E5" s="92">
        <f>iferror(vlookup($A5, 'Player Game Stats'!$A:$J, 4, False), "")</f>
        <v>16.66666667</v>
      </c>
      <c r="F5" s="92">
        <f>iferror(vlookup($A5, 'Player Game Stats'!$A:$J, 5, False), "")</f>
        <v>5.833333333</v>
      </c>
      <c r="G5" s="92">
        <f>iferror(vlookup($A5, 'Player Game Stats'!$A:$J, 6, False), "")</f>
        <v>2.166666667</v>
      </c>
      <c r="H5" s="92">
        <f>iferror(vlookup($A5, 'Player Game Stats'!$A:$J, 7, False), "")</f>
        <v>6.833333333</v>
      </c>
      <c r="I5" s="92">
        <f>IFERROR(vlookup($A5, 'Player Game Stats'!$A:$J, 8, False), "")</f>
        <v>1.833333333</v>
      </c>
      <c r="J5" s="92">
        <f>iferror(vlookup($A5, 'Player Game Stats'!$A:$J, 9, False), "")</f>
        <v>27</v>
      </c>
      <c r="K5" s="91">
        <f>iferror(vlookup($A5, 'Player Game Stats'!$A:$J, 10, False), "")</f>
        <v>0.3816793893</v>
      </c>
      <c r="L5" s="93">
        <f t="shared" si="2"/>
        <v>6.803435115</v>
      </c>
      <c r="M5" s="92">
        <f t="shared" si="3"/>
        <v>17.52856576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88" t="str">
        <f>Draft!B51</f>
        <v>Dli</v>
      </c>
      <c r="B6" s="90">
        <f>iferror(vlookup($A6, 'Player Game Stats'!$A:$J, 2, False), "")</f>
        <v>7</v>
      </c>
      <c r="C6" s="91">
        <f>iferror(vlookup($A6, 'Player Game Stats'!$A:$J, 3, False), "")</f>
        <v>0.4285714286</v>
      </c>
      <c r="D6" s="92">
        <f t="shared" si="1"/>
        <v>18.59285714</v>
      </c>
      <c r="E6" s="92">
        <f>iferror(vlookup($A6, 'Player Game Stats'!$A:$J, 4, False), "")</f>
        <v>17.85714286</v>
      </c>
      <c r="F6" s="92">
        <f>iferror(vlookup($A6, 'Player Game Stats'!$A:$J, 5, False), "")</f>
        <v>10.71428571</v>
      </c>
      <c r="G6" s="92">
        <f>iferror(vlookup($A6, 'Player Game Stats'!$A:$J, 6, False), "")</f>
        <v>0.7142857143</v>
      </c>
      <c r="H6" s="92">
        <f>iferror(vlookup($A6, 'Player Game Stats'!$A:$J, 7, False), "")</f>
        <v>5.857142857</v>
      </c>
      <c r="I6" s="92">
        <f>IFERROR(vlookup($A6, 'Player Game Stats'!$A:$J, 8, False), "")</f>
        <v>0.5714285714</v>
      </c>
      <c r="J6" s="92">
        <f>iferror(vlookup($A6, 'Player Game Stats'!$A:$J, 9, False), "")</f>
        <v>26.14285714</v>
      </c>
      <c r="K6" s="91">
        <f>iferror(vlookup($A6, 'Player Game Stats'!$A:$J, 10, False), "")</f>
        <v>0.4058441558</v>
      </c>
      <c r="L6" s="93">
        <f t="shared" si="2"/>
        <v>7.545802412</v>
      </c>
      <c r="M6" s="92">
        <f t="shared" si="3"/>
        <v>19.4412222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88" t="str">
        <f>Draft!B52</f>
        <v>Somil</v>
      </c>
      <c r="B7" s="90">
        <f>iferror(vlookup($A7, 'Player Game Stats'!$A:$J, 2, False), "")</f>
        <v>4</v>
      </c>
      <c r="C7" s="91">
        <f>iferror(vlookup($A7, 'Player Game Stats'!$A:$J, 3, False), "")</f>
        <v>0.25</v>
      </c>
      <c r="D7" s="92">
        <f t="shared" si="1"/>
        <v>15.8875</v>
      </c>
      <c r="E7" s="92">
        <f>iferror(vlookup($A7, 'Player Game Stats'!$A:$J, 4, False), "")</f>
        <v>15.25</v>
      </c>
      <c r="F7" s="92">
        <f>iferror(vlookup($A7, 'Player Game Stats'!$A:$J, 5, False), "")</f>
        <v>8.5</v>
      </c>
      <c r="G7" s="92">
        <f>iferror(vlookup($A7, 'Player Game Stats'!$A:$J, 6, False), "")</f>
        <v>0.75</v>
      </c>
      <c r="H7" s="92">
        <f>iferror(vlookup($A7, 'Player Game Stats'!$A:$J, 7, False), "")</f>
        <v>6</v>
      </c>
      <c r="I7" s="92">
        <f>IFERROR(vlookup($A7, 'Player Game Stats'!$A:$J, 8, False), "")</f>
        <v>0</v>
      </c>
      <c r="J7" s="92">
        <f>iferror(vlookup($A7, 'Player Game Stats'!$A:$J, 9, False), "")</f>
        <v>27.5</v>
      </c>
      <c r="K7" s="91">
        <f>iferror(vlookup($A7, 'Player Game Stats'!$A:$J, 10, False), "")</f>
        <v>0.3567251462</v>
      </c>
      <c r="L7" s="93">
        <f t="shared" si="2"/>
        <v>5.66747076</v>
      </c>
      <c r="M7" s="92">
        <f t="shared" si="3"/>
        <v>14.60183455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88" t="str">
        <f>Draft!B53</f>
        <v>Vishal</v>
      </c>
      <c r="B8" s="90">
        <f>iferror(vlookup($A8, 'Player Game Stats'!$A:$J, 2, False), "")</f>
        <v>5</v>
      </c>
      <c r="C8" s="91">
        <f>iferror(vlookup($A8, 'Player Game Stats'!$A:$J, 3, False), "")</f>
        <v>0.6</v>
      </c>
      <c r="D8" s="92">
        <f t="shared" si="1"/>
        <v>18.66</v>
      </c>
      <c r="E8" s="92">
        <f>iferror(vlookup($A8, 'Player Game Stats'!$A:$J, 4, False), "")</f>
        <v>17.6</v>
      </c>
      <c r="F8" s="92">
        <f>iferror(vlookup($A8, 'Player Game Stats'!$A:$J, 5, False), "")</f>
        <v>7.2</v>
      </c>
      <c r="G8" s="92">
        <f>iferror(vlookup($A8, 'Player Game Stats'!$A:$J, 6, False), "")</f>
        <v>2.4</v>
      </c>
      <c r="H8" s="92">
        <f>iferror(vlookup($A8, 'Player Game Stats'!$A:$J, 7, False), "")</f>
        <v>6.6</v>
      </c>
      <c r="I8" s="92">
        <f>IFERROR(vlookup($A8, 'Player Game Stats'!$A:$J, 8, False), "")</f>
        <v>1.4</v>
      </c>
      <c r="J8" s="92">
        <f>iferror(vlookup($A8, 'Player Game Stats'!$A:$J, 9, False), "")</f>
        <v>23</v>
      </c>
      <c r="K8" s="91">
        <f>iferror(vlookup($A8, 'Player Game Stats'!$A:$J, 10, False), "")</f>
        <v>0.4334975369</v>
      </c>
      <c r="L8" s="93">
        <f t="shared" si="2"/>
        <v>8.089064039</v>
      </c>
      <c r="M8" s="92">
        <f t="shared" si="3"/>
        <v>20.84089707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88" t="str">
        <f>Draft!B54</f>
        <v>Sam Ram</v>
      </c>
      <c r="B9" s="90">
        <f>iferror(vlookup($A9, 'Player Game Stats'!$A:$J, 2, False), "")</f>
        <v>0</v>
      </c>
      <c r="C9" s="91" t="str">
        <f>iferror(vlookup($A9, 'Player Game Stats'!$A:$J, 3, False), "")</f>
        <v/>
      </c>
      <c r="D9" s="92">
        <f t="shared" si="1"/>
        <v>0</v>
      </c>
      <c r="E9" s="92" t="str">
        <f>iferror(vlookup($A9, 'Player Game Stats'!$A:$J, 4, False), "")</f>
        <v/>
      </c>
      <c r="F9" s="92" t="str">
        <f>iferror(vlookup($A9, 'Player Game Stats'!$A:$J, 5, False), "")</f>
        <v/>
      </c>
      <c r="G9" s="92" t="str">
        <f>iferror(vlookup($A9, 'Player Game Stats'!$A:$J, 6, False), "")</f>
        <v/>
      </c>
      <c r="H9" s="92" t="str">
        <f>iferror(vlookup($A9, 'Player Game Stats'!$A:$J, 7, False), "")</f>
        <v/>
      </c>
      <c r="I9" s="92" t="str">
        <f>IFERROR(vlookup($A9, 'Player Game Stats'!$A:$J, 8, False), "")</f>
        <v/>
      </c>
      <c r="J9" s="92" t="str">
        <f>iferror(vlookup($A9, 'Player Game Stats'!$A:$J, 9, False), "")</f>
        <v/>
      </c>
      <c r="K9" s="91" t="str">
        <f>iferror(vlookup($A9, 'Player Game Stats'!$A:$J, 10, False), "")</f>
        <v/>
      </c>
      <c r="L9" s="93">
        <f t="shared" si="2"/>
        <v>0</v>
      </c>
      <c r="M9" s="92">
        <f t="shared" si="3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88" t="str">
        <f>Draft!B55</f>
        <v>Chubbs</v>
      </c>
      <c r="B10" s="90">
        <f>iferror(vlookup($A10, 'Player Game Stats'!$A:$J, 2, False), "")</f>
        <v>0</v>
      </c>
      <c r="C10" s="91" t="str">
        <f>iferror(vlookup($A10, 'Player Game Stats'!$A:$J, 3, False), "")</f>
        <v/>
      </c>
      <c r="D10" s="92">
        <f t="shared" si="1"/>
        <v>0</v>
      </c>
      <c r="E10" s="92" t="str">
        <f>iferror(vlookup($A10, 'Player Game Stats'!$A:$J, 4, False), "")</f>
        <v/>
      </c>
      <c r="F10" s="92" t="str">
        <f>iferror(vlookup($A10, 'Player Game Stats'!$A:$J, 5, False), "")</f>
        <v/>
      </c>
      <c r="G10" s="92" t="str">
        <f>iferror(vlookup($A10, 'Player Game Stats'!$A:$J, 6, False), "")</f>
        <v/>
      </c>
      <c r="H10" s="92" t="str">
        <f>iferror(vlookup($A10, 'Player Game Stats'!$A:$J, 7, False), "")</f>
        <v/>
      </c>
      <c r="I10" s="92" t="str">
        <f>IFERROR(vlookup($A10, 'Player Game Stats'!$A:$J, 8, False), "")</f>
        <v/>
      </c>
      <c r="J10" s="92" t="str">
        <f>iferror(vlookup($A10, 'Player Game Stats'!$A:$J, 9, False), "")</f>
        <v/>
      </c>
      <c r="K10" s="91" t="str">
        <f>iferror(vlookup($A10, 'Player Game Stats'!$A:$J, 10, False), "")</f>
        <v/>
      </c>
      <c r="L10" s="93">
        <f t="shared" si="2"/>
        <v>0</v>
      </c>
      <c r="M10" s="92">
        <f t="shared" si="3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88" t="str">
        <f>Draft!B56</f>
        <v>Daniel Mas</v>
      </c>
      <c r="B11" s="90">
        <f>iferror(vlookup($A11, 'Player Game Stats'!$A:$J, 2, False), "")</f>
        <v>0</v>
      </c>
      <c r="C11" s="94" t="str">
        <f>iferror(vlookup($A11, 'Player Game Stats'!$A:$J, 3, False), "")</f>
        <v/>
      </c>
      <c r="D11" s="92">
        <f t="shared" si="1"/>
        <v>0</v>
      </c>
      <c r="E11" s="95" t="str">
        <f>iferror(vlookup($A11, 'Player Game Stats'!$A:$J, 4, False), "")</f>
        <v/>
      </c>
      <c r="F11" s="95" t="str">
        <f>iferror(vlookup($A11, 'Player Game Stats'!$A:$J, 5, False), "")</f>
        <v/>
      </c>
      <c r="G11" s="95" t="str">
        <f>iferror(vlookup($A11, 'Player Game Stats'!$A:$J, 6, False), "")</f>
        <v/>
      </c>
      <c r="H11" s="95" t="str">
        <f>iferror(vlookup($A11, 'Player Game Stats'!$A:$J, 7, False), "")</f>
        <v/>
      </c>
      <c r="I11" s="95" t="str">
        <f>IFERROR(vlookup($A11, 'Player Game Stats'!$A:$J, 8, False), "")</f>
        <v/>
      </c>
      <c r="J11" s="95" t="str">
        <f>iferror(vlookup($A11, 'Player Game Stats'!$A:$J, 9, False), "")</f>
        <v/>
      </c>
      <c r="K11" s="94" t="str">
        <f>iferror(vlookup($A11, 'Player Game Stats'!$A:$J, 10, False), "")</f>
        <v/>
      </c>
      <c r="L11" s="93">
        <f t="shared" si="2"/>
        <v>0</v>
      </c>
      <c r="M11" s="92">
        <f t="shared" si="3"/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96" t="str">
        <f>Draft!B57</f>
        <v/>
      </c>
      <c r="B12" s="97" t="str">
        <f>iferror(vlookup($A12, 'Player Game Stats'!$A:$J, 2, False), "")</f>
        <v/>
      </c>
      <c r="C12" s="94" t="str">
        <f>iferror(vlookup($A12, 'Player Game Stats'!$A:$J, 3, False), "")</f>
        <v/>
      </c>
      <c r="D12" s="92">
        <f t="shared" si="1"/>
        <v>0</v>
      </c>
      <c r="E12" s="95" t="str">
        <f>iferror(vlookup($A12, 'Player Game Stats'!$A:$J, 4, False), "")</f>
        <v/>
      </c>
      <c r="F12" s="95" t="str">
        <f>iferror(vlookup($A12, 'Player Game Stats'!$A:$J, 5, False), "")</f>
        <v/>
      </c>
      <c r="G12" s="95" t="str">
        <f>iferror(vlookup($A12, 'Player Game Stats'!$A:$J, 6, False), "")</f>
        <v/>
      </c>
      <c r="H12" s="95" t="str">
        <f>iferror(vlookup($A12, 'Player Game Stats'!$A:$J, 7, False), "")</f>
        <v/>
      </c>
      <c r="I12" s="95" t="str">
        <f>IFERROR(vlookup($A12, 'Player Game Stats'!$A:$J, 8, False), "")</f>
        <v/>
      </c>
      <c r="J12" s="95" t="str">
        <f>iferror(vlookup($A12, 'Player Game Stats'!$A:$J, 9, False), "")</f>
        <v/>
      </c>
      <c r="K12" s="94" t="str">
        <f>iferror(vlookup($A12, 'Player Game Stats'!$A:$J, 10, False), "")</f>
        <v/>
      </c>
      <c r="L12" s="93">
        <f t="shared" si="2"/>
        <v>0</v>
      </c>
      <c r="M12" s="92">
        <f t="shared" si="3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96" t="str">
        <f>Draft!B58</f>
        <v/>
      </c>
      <c r="B13" s="97" t="str">
        <f>iferror(vlookup($A13, 'Player Game Stats'!$A:$J, 2, False), "")</f>
        <v/>
      </c>
      <c r="C13" s="94" t="str">
        <f>iferror(vlookup($A13, 'Player Game Stats'!$A:$J, 3, False), "")</f>
        <v/>
      </c>
      <c r="D13" s="92">
        <f t="shared" si="1"/>
        <v>0</v>
      </c>
      <c r="E13" s="95" t="str">
        <f>iferror(vlookup($A13, 'Player Game Stats'!$A:$J, 4, False), "")</f>
        <v/>
      </c>
      <c r="F13" s="95" t="str">
        <f>iferror(vlookup($A13, 'Player Game Stats'!$A:$J, 5, False), "")</f>
        <v/>
      </c>
      <c r="G13" s="95" t="str">
        <f>iferror(vlookup($A13, 'Player Game Stats'!$A:$J, 6, False), "")</f>
        <v/>
      </c>
      <c r="H13" s="95" t="str">
        <f>iferror(vlookup($A13, 'Player Game Stats'!$A:$J, 7, False), "")</f>
        <v/>
      </c>
      <c r="I13" s="95" t="str">
        <f>IFERROR(vlookup($A13, 'Player Game Stats'!$A:$J, 8, False), "")</f>
        <v/>
      </c>
      <c r="J13" s="95" t="str">
        <f>iferror(vlookup($A13, 'Player Game Stats'!$A:$J, 9, False), "")</f>
        <v/>
      </c>
      <c r="K13" s="94" t="str">
        <f>iferror(vlookup($A13, 'Player Game Stats'!$A:$J, 10, False), "")</f>
        <v/>
      </c>
      <c r="L13" s="93">
        <f t="shared" si="2"/>
        <v>0</v>
      </c>
      <c r="M13" s="92">
        <f t="shared" si="3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88" t="str">
        <f>Draft!C46</f>
        <v>Du</v>
      </c>
      <c r="B14" s="98">
        <f>iferror(vlookup($A14, 'Player Game Stats'!$K:$T, 2, False), "")</f>
        <v>7</v>
      </c>
      <c r="C14" s="99">
        <f>iferror(vlookup($A14, 'Player Game Stats'!$K:$T, 3, False), "")</f>
        <v>0.4285714286</v>
      </c>
      <c r="D14" s="100">
        <f t="shared" si="1"/>
        <v>14.85</v>
      </c>
      <c r="E14" s="100">
        <f>iferror(vlookup($A14, 'Player Game Stats'!$K:$T, 4, False), "")</f>
        <v>14</v>
      </c>
      <c r="F14" s="100">
        <f>iferror(vlookup($A14, 'Player Game Stats'!$K:$T, 5, False), "")</f>
        <v>5.428571429</v>
      </c>
      <c r="G14" s="100">
        <f>iferror(vlookup($A14, 'Player Game Stats'!$K:$T, 6, False), "")</f>
        <v>0.7142857143</v>
      </c>
      <c r="H14" s="100">
        <f>iferror(vlookup($A14, 'Player Game Stats'!$K:$T, 7, False), "")</f>
        <v>7.571428571</v>
      </c>
      <c r="I14" s="100">
        <f>iferror(vlookup($A14, 'Player Game Stats'!$K:$T, 8, False), "")</f>
        <v>0.2857142857</v>
      </c>
      <c r="J14" s="100">
        <f>iferror(vlookup($A14, 'Player Game Stats'!$K:$T, 9, False), "")</f>
        <v>26.14285714</v>
      </c>
      <c r="K14" s="99">
        <f>iferror(vlookup($A14, 'Player Game Stats'!$K:$T, 10, False), "")</f>
        <v>0.3487544484</v>
      </c>
      <c r="L14" s="93">
        <f t="shared" si="2"/>
        <v>5.179003559</v>
      </c>
      <c r="M14" s="100">
        <f t="shared" si="3"/>
        <v>13.34333361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88" t="str">
        <f>Draft!C48</f>
        <v>Neo</v>
      </c>
      <c r="B15" s="98">
        <f>iferror(vlookup($A15, 'Player Game Stats'!$K:$T, 2, False), "")</f>
        <v>5</v>
      </c>
      <c r="C15" s="99">
        <f>iferror(vlookup($A15, 'Player Game Stats'!$K:$T, 3, False), "")</f>
        <v>0.4</v>
      </c>
      <c r="D15" s="100">
        <f t="shared" si="1"/>
        <v>11.42</v>
      </c>
      <c r="E15" s="100">
        <f>iferror(vlookup($A15, 'Player Game Stats'!$K:$T, 4, False), "")</f>
        <v>11</v>
      </c>
      <c r="F15" s="100">
        <f>iferror(vlookup($A15, 'Player Game Stats'!$K:$T, 5, False), "")</f>
        <v>6.6</v>
      </c>
      <c r="G15" s="100">
        <f>iferror(vlookup($A15, 'Player Game Stats'!$K:$T, 6, False), "")</f>
        <v>0.8</v>
      </c>
      <c r="H15" s="100">
        <f>iferror(vlookup($A15, 'Player Game Stats'!$K:$T, 7, False), "")</f>
        <v>3.4</v>
      </c>
      <c r="I15" s="100">
        <f>iferror(vlookup($A15, 'Player Game Stats'!$K:$T, 8, False), "")</f>
        <v>0.2</v>
      </c>
      <c r="J15" s="100">
        <f>iferror(vlookup($A15, 'Player Game Stats'!$K:$T, 9, False), "")</f>
        <v>27.2</v>
      </c>
      <c r="K15" s="99">
        <f>iferror(vlookup($A15, 'Player Game Stats'!$K:$T, 10, False), "")</f>
        <v>0.2879581152</v>
      </c>
      <c r="L15" s="93">
        <f t="shared" si="2"/>
        <v>3.288481675</v>
      </c>
      <c r="M15" s="100">
        <f t="shared" si="3"/>
        <v>8.4725387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88" t="str">
        <f>Draft!C49</f>
        <v>Fritz</v>
      </c>
      <c r="B16" s="98">
        <f>iferror(vlookup($A16, 'Player Game Stats'!$K:$T, 2, False), "")</f>
        <v>7</v>
      </c>
      <c r="C16" s="99">
        <f>iferror(vlookup($A16, 'Player Game Stats'!$K:$T, 3, False), "")</f>
        <v>0.4285714286</v>
      </c>
      <c r="D16" s="100">
        <f t="shared" si="1"/>
        <v>22.49285714</v>
      </c>
      <c r="E16" s="100">
        <f>iferror(vlookup($A16, 'Player Game Stats'!$K:$T, 4, False), "")</f>
        <v>20.71428571</v>
      </c>
      <c r="F16" s="100">
        <f>iferror(vlookup($A16, 'Player Game Stats'!$K:$T, 5, False), "")</f>
        <v>4.571428571</v>
      </c>
      <c r="G16" s="100">
        <f>iferror(vlookup($A16, 'Player Game Stats'!$K:$T, 6, False), "")</f>
        <v>3.857142857</v>
      </c>
      <c r="H16" s="100">
        <f>iferror(vlookup($A16, 'Player Game Stats'!$K:$T, 7, False), "")</f>
        <v>8.714285714</v>
      </c>
      <c r="I16" s="100">
        <f>iferror(vlookup($A16, 'Player Game Stats'!$K:$T, 8, False), "")</f>
        <v>3.571428571</v>
      </c>
      <c r="J16" s="100">
        <f>iferror(vlookup($A16, 'Player Game Stats'!$K:$T, 9, False), "")</f>
        <v>23.14285714</v>
      </c>
      <c r="K16" s="99">
        <f>iferror(vlookup($A16, 'Player Game Stats'!$K:$T, 10, False), "")</f>
        <v>0.4723127036</v>
      </c>
      <c r="L16" s="93">
        <f t="shared" si="2"/>
        <v>10.62366217</v>
      </c>
      <c r="M16" s="100">
        <f t="shared" si="3"/>
        <v>27.37110854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88" t="str">
        <f>Draft!C50</f>
        <v>Eric</v>
      </c>
      <c r="B17" s="98">
        <f>iferror(vlookup($A17, 'Player Game Stats'!$K:$T, 2, False), "")</f>
        <v>7</v>
      </c>
      <c r="C17" s="99">
        <f>iferror(vlookup($A17, 'Player Game Stats'!$K:$T, 3, False), "")</f>
        <v>0.4285714286</v>
      </c>
      <c r="D17" s="100">
        <f t="shared" si="1"/>
        <v>16.71428571</v>
      </c>
      <c r="E17" s="100">
        <f>iferror(vlookup($A17, 'Player Game Stats'!$K:$T, 4, False), "")</f>
        <v>15.71428571</v>
      </c>
      <c r="F17" s="100">
        <f>iferror(vlookup($A17, 'Player Game Stats'!$K:$T, 5, False), "")</f>
        <v>6.285714286</v>
      </c>
      <c r="G17" s="100">
        <f>iferror(vlookup($A17, 'Player Game Stats'!$K:$T, 6, False), "")</f>
        <v>0.5714285714</v>
      </c>
      <c r="H17" s="100">
        <f>iferror(vlookup($A17, 'Player Game Stats'!$K:$T, 7, False), "")</f>
        <v>8</v>
      </c>
      <c r="I17" s="100">
        <f>iferror(vlookup($A17, 'Player Game Stats'!$K:$T, 8, False), "")</f>
        <v>0.8571428571</v>
      </c>
      <c r="J17" s="100">
        <f>iferror(vlookup($A17, 'Player Game Stats'!$K:$T, 9, False), "")</f>
        <v>25.14285714</v>
      </c>
      <c r="K17" s="99">
        <f>iferror(vlookup($A17, 'Player Game Stats'!$K:$T, 10, False), "")</f>
        <v>0.3846153846</v>
      </c>
      <c r="L17" s="93">
        <f t="shared" si="2"/>
        <v>6.428571429</v>
      </c>
      <c r="M17" s="100">
        <f t="shared" si="3"/>
        <v>16.56275619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88" t="str">
        <f>Draft!C51</f>
        <v>Ilt</v>
      </c>
      <c r="B18" s="98">
        <f>iferror(vlookup($A18, 'Player Game Stats'!$K:$T, 2, False), "")</f>
        <v>5</v>
      </c>
      <c r="C18" s="99">
        <f>iferror(vlookup($A18, 'Player Game Stats'!$K:$T, 3, False), "")</f>
        <v>0.4</v>
      </c>
      <c r="D18" s="100">
        <f t="shared" si="1"/>
        <v>12.01</v>
      </c>
      <c r="E18" s="100">
        <f>iferror(vlookup($A18, 'Player Game Stats'!$K:$T, 4, False), "")</f>
        <v>11.8</v>
      </c>
      <c r="F18" s="100">
        <f>iferror(vlookup($A18, 'Player Game Stats'!$K:$T, 5, False), "")</f>
        <v>9.8</v>
      </c>
      <c r="G18" s="100">
        <f>iferror(vlookup($A18, 'Player Game Stats'!$K:$T, 6, False), "")</f>
        <v>0.2</v>
      </c>
      <c r="H18" s="100">
        <f>iferror(vlookup($A18, 'Player Game Stats'!$K:$T, 7, False), "")</f>
        <v>1.6</v>
      </c>
      <c r="I18" s="100">
        <f>iferror(vlookup($A18, 'Player Game Stats'!$K:$T, 8, False), "")</f>
        <v>0.2</v>
      </c>
      <c r="J18" s="100">
        <f>iferror(vlookup($A18, 'Player Game Stats'!$K:$T, 9, False), "")</f>
        <v>27.4</v>
      </c>
      <c r="K18" s="99">
        <f>iferror(vlookup($A18, 'Player Game Stats'!$K:$T, 10, False), "")</f>
        <v>0.3010204082</v>
      </c>
      <c r="L18" s="93">
        <f t="shared" si="2"/>
        <v>3.615255102</v>
      </c>
      <c r="M18" s="100">
        <f t="shared" si="3"/>
        <v>9.314447148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88" t="str">
        <f>Draft!C52</f>
        <v>Matvey</v>
      </c>
      <c r="B19" s="98">
        <f>iferror(vlookup($A19, 'Player Game Stats'!$K:$T, 2, False), "")</f>
        <v>5</v>
      </c>
      <c r="C19" s="99">
        <f>iferror(vlookup($A19, 'Player Game Stats'!$K:$T, 3, False), "")</f>
        <v>0.4</v>
      </c>
      <c r="D19" s="100">
        <f t="shared" si="1"/>
        <v>16.4</v>
      </c>
      <c r="E19" s="100">
        <f>iferror(vlookup($A19, 'Player Game Stats'!$K:$T, 4, False), "")</f>
        <v>15.6</v>
      </c>
      <c r="F19" s="100">
        <f>iferror(vlookup($A19, 'Player Game Stats'!$K:$T, 5, False), "")</f>
        <v>7.8</v>
      </c>
      <c r="G19" s="100">
        <f>iferror(vlookup($A19, 'Player Game Stats'!$K:$T, 6, False), "")</f>
        <v>0.8</v>
      </c>
      <c r="H19" s="100">
        <f>iferror(vlookup($A19, 'Player Game Stats'!$K:$T, 7, False), "")</f>
        <v>6.4</v>
      </c>
      <c r="I19" s="100">
        <f>iferror(vlookup($A19, 'Player Game Stats'!$K:$T, 8, False), "")</f>
        <v>0.6</v>
      </c>
      <c r="J19" s="100">
        <f>iferror(vlookup($A19, 'Player Game Stats'!$K:$T, 9, False), "")</f>
        <v>25.6</v>
      </c>
      <c r="K19" s="99">
        <f>iferror(vlookup($A19, 'Player Game Stats'!$K:$T, 10, False), "")</f>
        <v>0.3786407767</v>
      </c>
      <c r="L19" s="93">
        <f t="shared" si="2"/>
        <v>6.209708738</v>
      </c>
      <c r="M19" s="100">
        <f t="shared" si="3"/>
        <v>15.99887206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88" t="str">
        <f>Draft!C53</f>
        <v>James</v>
      </c>
      <c r="B20" s="98">
        <f>iferror(vlookup($A20, 'Player Game Stats'!$K:$T, 2, False), "")</f>
        <v>1</v>
      </c>
      <c r="C20" s="99">
        <f>iferror(vlookup($A20, 'Player Game Stats'!$K:$T, 3, False), "")</f>
        <v>0</v>
      </c>
      <c r="D20" s="100">
        <f t="shared" si="1"/>
        <v>11.6</v>
      </c>
      <c r="E20" s="100">
        <f>iferror(vlookup($A20, 'Player Game Stats'!$K:$T, 4, False), "")</f>
        <v>11</v>
      </c>
      <c r="F20" s="100">
        <f>iferror(vlookup($A20, 'Player Game Stats'!$K:$T, 5, False), "")</f>
        <v>6</v>
      </c>
      <c r="G20" s="100">
        <f>iferror(vlookup($A20, 'Player Game Stats'!$K:$T, 6, False), "")</f>
        <v>0</v>
      </c>
      <c r="H20" s="100">
        <f>iferror(vlookup($A20, 'Player Game Stats'!$K:$T, 7, False), "")</f>
        <v>4</v>
      </c>
      <c r="I20" s="100">
        <f>iferror(vlookup($A20, 'Player Game Stats'!$K:$T, 8, False), "")</f>
        <v>1</v>
      </c>
      <c r="J20" s="100">
        <f>iferror(vlookup($A20, 'Player Game Stats'!$K:$T, 9, False), "")</f>
        <v>21</v>
      </c>
      <c r="K20" s="99">
        <f>iferror(vlookup($A20, 'Player Game Stats'!$K:$T, 10, False), "")</f>
        <v>0.34375</v>
      </c>
      <c r="L20" s="93">
        <f t="shared" si="2"/>
        <v>3.9875</v>
      </c>
      <c r="M20" s="100">
        <f t="shared" si="3"/>
        <v>10.2735096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88" t="str">
        <f>Draft!C54</f>
        <v>Sebastian F</v>
      </c>
      <c r="B21" s="98">
        <f>iferror(vlookup($A21, 'Player Game Stats'!$K:$T, 2, False), "")</f>
        <v>0</v>
      </c>
      <c r="C21" s="101" t="str">
        <f>iferror(vlookup($A21, 'Player Game Stats'!$K:$T, 3, False), "")</f>
        <v/>
      </c>
      <c r="D21" s="100">
        <f t="shared" si="1"/>
        <v>0</v>
      </c>
      <c r="E21" s="102" t="str">
        <f>iferror(vlookup($A21, 'Player Game Stats'!$K:$T, 4, False), "")</f>
        <v/>
      </c>
      <c r="F21" s="102" t="str">
        <f>iferror(vlookup($A21, 'Player Game Stats'!$K:$T, 5, False), "")</f>
        <v/>
      </c>
      <c r="G21" s="102" t="str">
        <f>iferror(vlookup($A21, 'Player Game Stats'!$K:$T, 6, False), "")</f>
        <v/>
      </c>
      <c r="H21" s="102" t="str">
        <f>iferror(vlookup($A21, 'Player Game Stats'!$K:$T, 7, False), "")</f>
        <v/>
      </c>
      <c r="I21" s="102" t="str">
        <f>iferror(vlookup($A21, 'Player Game Stats'!$K:$T, 8, False), "")</f>
        <v/>
      </c>
      <c r="J21" s="102" t="str">
        <f>iferror(vlookup($A21, 'Player Game Stats'!$K:$T, 9, False), "")</f>
        <v/>
      </c>
      <c r="K21" s="101" t="str">
        <f>iferror(vlookup($A21, 'Player Game Stats'!$K:$T, 10, False), "")</f>
        <v/>
      </c>
      <c r="L21" s="93">
        <f t="shared" si="2"/>
        <v>0</v>
      </c>
      <c r="M21" s="100">
        <f t="shared" si="3"/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88" t="str">
        <f>Draft!C55</f>
        <v>Erik</v>
      </c>
      <c r="B22" s="98">
        <f>iferror(vlookup($A22, 'Player Game Stats'!$K:$T, 2, False), "")</f>
        <v>0</v>
      </c>
      <c r="C22" s="101" t="str">
        <f>iferror(vlookup($A22, 'Player Game Stats'!$K:$T, 3, False), "")</f>
        <v/>
      </c>
      <c r="D22" s="100">
        <f t="shared" si="1"/>
        <v>0</v>
      </c>
      <c r="E22" s="102" t="str">
        <f>iferror(vlookup($A22, 'Player Game Stats'!$K:$T, 4, False), "")</f>
        <v/>
      </c>
      <c r="F22" s="102" t="str">
        <f>iferror(vlookup($A22, 'Player Game Stats'!$K:$T, 5, False), "")</f>
        <v/>
      </c>
      <c r="G22" s="102" t="str">
        <f>iferror(vlookup($A22, 'Player Game Stats'!$K:$T, 6, False), "")</f>
        <v/>
      </c>
      <c r="H22" s="102" t="str">
        <f>iferror(vlookup($A22, 'Player Game Stats'!$K:$T, 7, False), "")</f>
        <v/>
      </c>
      <c r="I22" s="102" t="str">
        <f>iferror(vlookup($A22, 'Player Game Stats'!$K:$T, 8, False), "")</f>
        <v/>
      </c>
      <c r="J22" s="102" t="str">
        <f>iferror(vlookup($A22, 'Player Game Stats'!$K:$T, 9, False), "")</f>
        <v/>
      </c>
      <c r="K22" s="101" t="str">
        <f>iferror(vlookup($A22, 'Player Game Stats'!$K:$T, 10, False), "")</f>
        <v/>
      </c>
      <c r="L22" s="93">
        <f t="shared" si="2"/>
        <v>0</v>
      </c>
      <c r="M22" s="100">
        <f t="shared" si="3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88" t="str">
        <f>Draft!C56</f>
        <v>Jack Flori</v>
      </c>
      <c r="B23" s="98">
        <f>iferror(vlookup($A23, 'Player Game Stats'!$K:$T, 2, False), "")</f>
        <v>0</v>
      </c>
      <c r="C23" s="101" t="str">
        <f>iferror(vlookup($A23, 'Player Game Stats'!$K:$T, 3, False), "")</f>
        <v/>
      </c>
      <c r="D23" s="100">
        <f t="shared" si="1"/>
        <v>0</v>
      </c>
      <c r="E23" s="102" t="str">
        <f>iferror(vlookup($A23, 'Player Game Stats'!$K:$T, 4, False), "")</f>
        <v/>
      </c>
      <c r="F23" s="102" t="str">
        <f>iferror(vlookup($A23, 'Player Game Stats'!$K:$T, 5, False), "")</f>
        <v/>
      </c>
      <c r="G23" s="102" t="str">
        <f>iferror(vlookup($A23, 'Player Game Stats'!$K:$T, 6, False), "")</f>
        <v/>
      </c>
      <c r="H23" s="102" t="str">
        <f>iferror(vlookup($A23, 'Player Game Stats'!$K:$T, 7, False), "")</f>
        <v/>
      </c>
      <c r="I23" s="102" t="str">
        <f>iferror(vlookup($A23, 'Player Game Stats'!$K:$T, 8, False), "")</f>
        <v/>
      </c>
      <c r="J23" s="102" t="str">
        <f>iferror(vlookup($A23, 'Player Game Stats'!$K:$T, 9, False), "")</f>
        <v/>
      </c>
      <c r="K23" s="101" t="str">
        <f>iferror(vlookup($A23, 'Player Game Stats'!$K:$T, 10, False), "")</f>
        <v/>
      </c>
      <c r="L23" s="93">
        <f t="shared" si="2"/>
        <v>0</v>
      </c>
      <c r="M23" s="100">
        <f t="shared" si="3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96" t="str">
        <f>Draft!C57</f>
        <v/>
      </c>
      <c r="B24" s="103" t="str">
        <f>iferror(vlookup($A24, 'Player Game Stats'!$K:$T, 2, False), "")</f>
        <v/>
      </c>
      <c r="C24" s="101" t="str">
        <f>iferror(vlookup($A24, 'Player Game Stats'!$K:$T, 3, False), "")</f>
        <v/>
      </c>
      <c r="D24" s="100">
        <f t="shared" si="1"/>
        <v>0</v>
      </c>
      <c r="E24" s="102" t="str">
        <f>iferror(vlookup($A24, 'Player Game Stats'!$K:$T, 4, False), "")</f>
        <v/>
      </c>
      <c r="F24" s="102" t="str">
        <f>iferror(vlookup($A24, 'Player Game Stats'!$K:$T, 5, False), "")</f>
        <v/>
      </c>
      <c r="G24" s="102" t="str">
        <f>iferror(vlookup($A24, 'Player Game Stats'!$K:$T, 6, False), "")</f>
        <v/>
      </c>
      <c r="H24" s="102" t="str">
        <f>iferror(vlookup($A24, 'Player Game Stats'!$K:$T, 7, False), "")</f>
        <v/>
      </c>
      <c r="I24" s="102" t="str">
        <f>iferror(vlookup($A24, 'Player Game Stats'!$K:$T, 8, False), "")</f>
        <v/>
      </c>
      <c r="J24" s="102" t="str">
        <f>iferror(vlookup($A24, 'Player Game Stats'!$K:$T, 9, False), "")</f>
        <v/>
      </c>
      <c r="K24" s="101" t="str">
        <f>iferror(vlookup($A24, 'Player Game Stats'!$K:$T, 10, False), "")</f>
        <v/>
      </c>
      <c r="L24" s="93">
        <f t="shared" si="2"/>
        <v>0</v>
      </c>
      <c r="M24" s="100">
        <f t="shared" si="3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96" t="str">
        <f>Draft!C58</f>
        <v/>
      </c>
      <c r="B25" s="103" t="str">
        <f>iferror(vlookup($A25, 'Player Game Stats'!$K:$T, 2, False), "")</f>
        <v/>
      </c>
      <c r="C25" s="101" t="str">
        <f>iferror(vlookup($A25, 'Player Game Stats'!$K:$T, 3, False), "")</f>
        <v/>
      </c>
      <c r="D25" s="100">
        <f t="shared" si="1"/>
        <v>0</v>
      </c>
      <c r="E25" s="102" t="str">
        <f>iferror(vlookup($A25, 'Player Game Stats'!$K:$T, 4, False), "")</f>
        <v/>
      </c>
      <c r="F25" s="102" t="str">
        <f>iferror(vlookup($A25, 'Player Game Stats'!$K:$T, 5, False), "")</f>
        <v/>
      </c>
      <c r="G25" s="102" t="str">
        <f>iferror(vlookup($A25, 'Player Game Stats'!$K:$T, 6, False), "")</f>
        <v/>
      </c>
      <c r="H25" s="102" t="str">
        <f>iferror(vlookup($A25, 'Player Game Stats'!$K:$T, 7, False), "")</f>
        <v/>
      </c>
      <c r="I25" s="102" t="str">
        <f>iferror(vlookup($A25, 'Player Game Stats'!$K:$T, 8, False), "")</f>
        <v/>
      </c>
      <c r="J25" s="102" t="str">
        <f>iferror(vlookup($A25, 'Player Game Stats'!$K:$T, 9, False), "")</f>
        <v/>
      </c>
      <c r="K25" s="101" t="str">
        <f>iferror(vlookup($A25, 'Player Game Stats'!$K:$T, 10, False), "")</f>
        <v/>
      </c>
      <c r="L25" s="93">
        <f t="shared" si="2"/>
        <v>0</v>
      </c>
      <c r="M25" s="100">
        <f t="shared" si="3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88" t="str">
        <f>Draft!D46</f>
        <v>John</v>
      </c>
      <c r="B26" s="104">
        <f>iferror(vlookup($A26, 'Player Game Stats'!$U:$AD, 2, False), "")</f>
        <v>7</v>
      </c>
      <c r="C26" s="105">
        <f>iferror(vlookup($A26, 'Player Game Stats'!$U:$AD, 3, False), "")</f>
        <v>0.4285714286</v>
      </c>
      <c r="D26" s="106">
        <f t="shared" si="1"/>
        <v>21.59285714</v>
      </c>
      <c r="E26" s="106">
        <f>iferror(vlookup($A26, 'Player Game Stats'!$U:$AD, 4, False), "")</f>
        <v>20.42857143</v>
      </c>
      <c r="F26" s="106">
        <f>iferror(vlookup($A26, 'Player Game Stats'!$U:$AD, 5, False), "")</f>
        <v>9.571428571</v>
      </c>
      <c r="G26" s="106">
        <f>iferror(vlookup($A26, 'Player Game Stats'!$U:$AD, 6, False), "")</f>
        <v>3.285714286</v>
      </c>
      <c r="H26" s="106">
        <f>iferror(vlookup($A26, 'Player Game Stats'!$U:$AD, 7, False), "")</f>
        <v>5.142857143</v>
      </c>
      <c r="I26" s="106">
        <f>iferror(vlookup($A26, 'Player Game Stats'!$U:$AD, 8, False), "")</f>
        <v>2.428571429</v>
      </c>
      <c r="J26" s="106">
        <f>iferror(vlookup($A26, 'Player Game Stats'!$U:$AD, 9, False), "")</f>
        <v>22</v>
      </c>
      <c r="K26" s="105">
        <f>iferror(vlookup($A26, 'Player Game Stats'!$U:$AD, 10, False), "")</f>
        <v>0.4814814815</v>
      </c>
      <c r="L26" s="93">
        <f t="shared" si="2"/>
        <v>10.39656085</v>
      </c>
      <c r="M26" s="106">
        <f t="shared" si="3"/>
        <v>26.78599816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88" t="str">
        <f>Draft!D48</f>
        <v>Cole</v>
      </c>
      <c r="B27" s="104">
        <f>iferror(vlookup($A27, 'Player Game Stats'!$U:$AD, 2, False), "")</f>
        <v>7</v>
      </c>
      <c r="C27" s="105">
        <f>iferror(vlookup($A27, 'Player Game Stats'!$U:$AD, 3, False), "")</f>
        <v>0.4285714286</v>
      </c>
      <c r="D27" s="106">
        <f t="shared" si="1"/>
        <v>20.94285714</v>
      </c>
      <c r="E27" s="106">
        <f>iferror(vlookup($A27, 'Player Game Stats'!$U:$AD, 4, False), "")</f>
        <v>19.85714286</v>
      </c>
      <c r="F27" s="106">
        <f>iferror(vlookup($A27, 'Player Game Stats'!$U:$AD, 5, False), "")</f>
        <v>9.428571429</v>
      </c>
      <c r="G27" s="106">
        <f>iferror(vlookup($A27, 'Player Game Stats'!$U:$AD, 6, False), "")</f>
        <v>1.142857143</v>
      </c>
      <c r="H27" s="106">
        <f>iferror(vlookup($A27, 'Player Game Stats'!$U:$AD, 7, False), "")</f>
        <v>8.285714286</v>
      </c>
      <c r="I27" s="106">
        <f>iferror(vlookup($A27, 'Player Game Stats'!$U:$AD, 8, False), "")</f>
        <v>1</v>
      </c>
      <c r="J27" s="106">
        <f>iferror(vlookup($A27, 'Player Game Stats'!$U:$AD, 9, False), "")</f>
        <v>22.57142857</v>
      </c>
      <c r="K27" s="105">
        <f>iferror(vlookup($A27, 'Player Game Stats'!$U:$AD, 10, False), "")</f>
        <v>0.468013468</v>
      </c>
      <c r="L27" s="93">
        <f t="shared" si="2"/>
        <v>9.801539202</v>
      </c>
      <c r="M27" s="106">
        <f t="shared" si="3"/>
        <v>25.2529673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88" t="str">
        <f>Draft!D49</f>
        <v>Dannegger</v>
      </c>
      <c r="B28" s="104">
        <f>iferror(vlookup($A28, 'Player Game Stats'!$U:$AD, 2, False), "")</f>
        <v>7</v>
      </c>
      <c r="C28" s="105">
        <f>iferror(vlookup($A28, 'Player Game Stats'!$U:$AD, 3, False), "")</f>
        <v>0.4285714286</v>
      </c>
      <c r="D28" s="106">
        <f t="shared" si="1"/>
        <v>17.62142857</v>
      </c>
      <c r="E28" s="106">
        <f>iferror(vlookup($A28, 'Player Game Stats'!$U:$AD, 4, False), "")</f>
        <v>16.57142857</v>
      </c>
      <c r="F28" s="106">
        <f>iferror(vlookup($A28, 'Player Game Stats'!$U:$AD, 5, False), "")</f>
        <v>6.857142857</v>
      </c>
      <c r="G28" s="106">
        <f>iferror(vlookup($A28, 'Player Game Stats'!$U:$AD, 6, False), "")</f>
        <v>1.571428571</v>
      </c>
      <c r="H28" s="106">
        <f>iferror(vlookup($A28, 'Player Game Stats'!$U:$AD, 7, False), "")</f>
        <v>6.571428571</v>
      </c>
      <c r="I28" s="106">
        <f>iferror(vlookup($A28, 'Player Game Stats'!$U:$AD, 8, False), "")</f>
        <v>1.571428571</v>
      </c>
      <c r="J28" s="106">
        <f>iferror(vlookup($A28, 'Player Game Stats'!$U:$AD, 9, False), "")</f>
        <v>23.42857143</v>
      </c>
      <c r="K28" s="105">
        <f>iferror(vlookup($A28, 'Player Game Stats'!$U:$AD, 10, False), "")</f>
        <v>0.4142857143</v>
      </c>
      <c r="L28" s="93">
        <f t="shared" si="2"/>
        <v>7.300306122</v>
      </c>
      <c r="M28" s="106">
        <f t="shared" si="3"/>
        <v>18.80871851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88" t="str">
        <f>Draft!D50</f>
        <v>KZ</v>
      </c>
      <c r="B29" s="104">
        <f>iferror(vlookup($A29, 'Player Game Stats'!$U:$AD, 2, False), "")</f>
        <v>6</v>
      </c>
      <c r="C29" s="105">
        <f>iferror(vlookup($A29, 'Player Game Stats'!$U:$AD, 3, False), "")</f>
        <v>0.5</v>
      </c>
      <c r="D29" s="106">
        <f t="shared" si="1"/>
        <v>14.78333333</v>
      </c>
      <c r="E29" s="106">
        <f>iferror(vlookup($A29, 'Player Game Stats'!$U:$AD, 4, False), "")</f>
        <v>14</v>
      </c>
      <c r="F29" s="106">
        <f>iferror(vlookup($A29, 'Player Game Stats'!$U:$AD, 5, False), "")</f>
        <v>6.333333333</v>
      </c>
      <c r="G29" s="106">
        <f>iferror(vlookup($A29, 'Player Game Stats'!$U:$AD, 6, False), "")</f>
        <v>0</v>
      </c>
      <c r="H29" s="106">
        <f>iferror(vlookup($A29, 'Player Game Stats'!$U:$AD, 7, False), "")</f>
        <v>7.5</v>
      </c>
      <c r="I29" s="106">
        <f>iferror(vlookup($A29, 'Player Game Stats'!$U:$AD, 8, False), "")</f>
        <v>0.1666666667</v>
      </c>
      <c r="J29" s="106">
        <f>iferror(vlookup($A29, 'Player Game Stats'!$U:$AD, 9, False), "")</f>
        <v>24</v>
      </c>
      <c r="K29" s="105">
        <f>iferror(vlookup($A29, 'Player Game Stats'!$U:$AD, 10, False), "")</f>
        <v>0.3684210526</v>
      </c>
      <c r="L29" s="93">
        <f t="shared" si="2"/>
        <v>5.446491228</v>
      </c>
      <c r="M29" s="106">
        <f t="shared" si="3"/>
        <v>14.03249653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88" t="str">
        <f>Draft!D51</f>
        <v>Adi</v>
      </c>
      <c r="B30" s="104">
        <f>iferror(vlookup($A30, 'Player Game Stats'!$U:$AD, 2, False), "")</f>
        <v>5</v>
      </c>
      <c r="C30" s="105">
        <f>iferror(vlookup($A30, 'Player Game Stats'!$U:$AD, 3, False), "")</f>
        <v>0.6</v>
      </c>
      <c r="D30" s="106">
        <f t="shared" si="1"/>
        <v>15.76</v>
      </c>
      <c r="E30" s="106">
        <f>iferror(vlookup($A30, 'Player Game Stats'!$U:$AD, 4, False), "")</f>
        <v>14.6</v>
      </c>
      <c r="F30" s="106">
        <f>iferror(vlookup($A30, 'Player Game Stats'!$U:$AD, 5, False), "")</f>
        <v>4</v>
      </c>
      <c r="G30" s="106">
        <f>iferror(vlookup($A30, 'Player Game Stats'!$U:$AD, 6, False), "")</f>
        <v>0</v>
      </c>
      <c r="H30" s="106">
        <f>iferror(vlookup($A30, 'Player Game Stats'!$U:$AD, 7, False), "")</f>
        <v>9.6</v>
      </c>
      <c r="I30" s="106">
        <f>iferror(vlookup($A30, 'Player Game Stats'!$U:$AD, 8, False), "")</f>
        <v>1</v>
      </c>
      <c r="J30" s="106">
        <f>iferror(vlookup($A30, 'Player Game Stats'!$U:$AD, 9, False), "")</f>
        <v>23.4</v>
      </c>
      <c r="K30" s="105">
        <f>iferror(vlookup($A30, 'Player Game Stats'!$U:$AD, 10, False), "")</f>
        <v>0.3842105263</v>
      </c>
      <c r="L30" s="93">
        <f t="shared" si="2"/>
        <v>6.055157895</v>
      </c>
      <c r="M30" s="106">
        <f t="shared" si="3"/>
        <v>15.60068283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88" t="str">
        <f>Draft!D52</f>
        <v>Gavin</v>
      </c>
      <c r="B31" s="104">
        <f>iferror(vlookup($A31, 'Player Game Stats'!$U:$AD, 2, False), "")</f>
        <v>3</v>
      </c>
      <c r="C31" s="105">
        <f>iferror(vlookup($A31, 'Player Game Stats'!$U:$AD, 3, False), "")</f>
        <v>0.6666666667</v>
      </c>
      <c r="D31" s="106">
        <f t="shared" si="1"/>
        <v>13.55</v>
      </c>
      <c r="E31" s="106">
        <f>iferror(vlookup($A31, 'Player Game Stats'!$U:$AD, 4, False), "")</f>
        <v>13</v>
      </c>
      <c r="F31" s="106">
        <f>iferror(vlookup($A31, 'Player Game Stats'!$U:$AD, 5, False), "")</f>
        <v>7.666666667</v>
      </c>
      <c r="G31" s="106">
        <f>iferror(vlookup($A31, 'Player Game Stats'!$U:$AD, 6, False), "")</f>
        <v>0.3333333333</v>
      </c>
      <c r="H31" s="106">
        <f>iferror(vlookup($A31, 'Player Game Stats'!$U:$AD, 7, False), "")</f>
        <v>4.666666667</v>
      </c>
      <c r="I31" s="106">
        <f>iferror(vlookup($A31, 'Player Game Stats'!$U:$AD, 8, False), "")</f>
        <v>0.3333333333</v>
      </c>
      <c r="J31" s="106">
        <f>iferror(vlookup($A31, 'Player Game Stats'!$U:$AD, 9, False), "")</f>
        <v>25.66666667</v>
      </c>
      <c r="K31" s="105">
        <f>iferror(vlookup($A31, 'Player Game Stats'!$U:$AD, 10, False), "")</f>
        <v>0.3362068966</v>
      </c>
      <c r="L31" s="93">
        <f t="shared" si="2"/>
        <v>4.555603448</v>
      </c>
      <c r="M31" s="106">
        <f t="shared" si="3"/>
        <v>11.73718765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88" t="str">
        <f>Draft!D53</f>
        <v>DPJ</v>
      </c>
      <c r="B32" s="104">
        <f>iferror(vlookup($A32, 'Player Game Stats'!$U:$AD, 2, False), "")</f>
        <v>0</v>
      </c>
      <c r="C32" s="105" t="str">
        <f>iferror(vlookup($A32, 'Player Game Stats'!$U:$AD, 3, False), "")</f>
        <v/>
      </c>
      <c r="D32" s="106">
        <f t="shared" si="1"/>
        <v>0</v>
      </c>
      <c r="E32" s="106" t="str">
        <f>iferror(vlookup($A32, 'Player Game Stats'!$U:$AD, 4, False), "")</f>
        <v/>
      </c>
      <c r="F32" s="106" t="str">
        <f>iferror(vlookup($A32, 'Player Game Stats'!$U:$AD, 5, False), "")</f>
        <v/>
      </c>
      <c r="G32" s="106" t="str">
        <f>iferror(vlookup($A32, 'Player Game Stats'!$U:$AD, 6, False), "")</f>
        <v/>
      </c>
      <c r="H32" s="106" t="str">
        <f>iferror(vlookup($A32, 'Player Game Stats'!$U:$AD, 7, False), "")</f>
        <v/>
      </c>
      <c r="I32" s="106" t="str">
        <f>iferror(vlookup($A32, 'Player Game Stats'!$U:$AD, 8, False), "")</f>
        <v/>
      </c>
      <c r="J32" s="106" t="str">
        <f>iferror(vlookup($A32, 'Player Game Stats'!$U:$AD, 9, False), "")</f>
        <v/>
      </c>
      <c r="K32" s="105" t="str">
        <f>iferror(vlookup($A32, 'Player Game Stats'!$U:$AD, 10, False), "")</f>
        <v/>
      </c>
      <c r="L32" s="93">
        <f t="shared" si="2"/>
        <v>0</v>
      </c>
      <c r="M32" s="106">
        <f t="shared" si="3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88" t="str">
        <f>Draft!D54</f>
        <v>Kento</v>
      </c>
      <c r="B33" s="104">
        <f>iferror(vlookup($A33, 'Player Game Stats'!$U:$AD, 2, False), "")</f>
        <v>4</v>
      </c>
      <c r="C33" s="105">
        <f>iferror(vlookup($A33, 'Player Game Stats'!$U:$AD, 3, False), "")</f>
        <v>0.25</v>
      </c>
      <c r="D33" s="106">
        <f t="shared" si="1"/>
        <v>15.0875</v>
      </c>
      <c r="E33" s="106">
        <f>iferror(vlookup($A33, 'Player Game Stats'!$U:$AD, 4, False), "")</f>
        <v>14.75</v>
      </c>
      <c r="F33" s="106">
        <f>iferror(vlookup($A33, 'Player Game Stats'!$U:$AD, 5, False), "")</f>
        <v>11.25</v>
      </c>
      <c r="G33" s="106">
        <f>iferror(vlookup($A33, 'Player Game Stats'!$U:$AD, 6, False), "")</f>
        <v>0.25</v>
      </c>
      <c r="H33" s="106">
        <f>iferror(vlookup($A33, 'Player Game Stats'!$U:$AD, 7, False), "")</f>
        <v>3.25</v>
      </c>
      <c r="I33" s="106">
        <f>iferror(vlookup($A33, 'Player Game Stats'!$U:$AD, 8, False), "")</f>
        <v>0</v>
      </c>
      <c r="J33" s="106">
        <f>iferror(vlookup($A33, 'Player Game Stats'!$U:$AD, 9, False), "")</f>
        <v>23.75</v>
      </c>
      <c r="K33" s="105">
        <f>iferror(vlookup($A33, 'Player Game Stats'!$U:$AD, 10, False), "")</f>
        <v>0.3831168831</v>
      </c>
      <c r="L33" s="93">
        <f t="shared" si="2"/>
        <v>5.780275974</v>
      </c>
      <c r="M33" s="106">
        <f t="shared" si="3"/>
        <v>14.89246915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88"/>
      <c r="B34" s="104" t="str">
        <f>iferror(vlookup($A34, 'Player Game Stats'!$U:$AD, 2, False), "")</f>
        <v/>
      </c>
      <c r="C34" s="105" t="str">
        <f>iferror(vlookup($A34, 'Player Game Stats'!$U:$AD, 3, False), "")</f>
        <v/>
      </c>
      <c r="D34" s="106">
        <f t="shared" si="1"/>
        <v>0</v>
      </c>
      <c r="E34" s="106" t="str">
        <f>iferror(vlookup($A34, 'Player Game Stats'!$U:$AD, 4, False), "")</f>
        <v/>
      </c>
      <c r="F34" s="106" t="str">
        <f>iferror(vlookup($A34, 'Player Game Stats'!$U:$AD, 5, False), "")</f>
        <v/>
      </c>
      <c r="G34" s="106" t="str">
        <f>iferror(vlookup($A34, 'Player Game Stats'!$U:$AD, 6, False), "")</f>
        <v/>
      </c>
      <c r="H34" s="106" t="str">
        <f>iferror(vlookup($A34, 'Player Game Stats'!$U:$AD, 7, False), "")</f>
        <v/>
      </c>
      <c r="I34" s="106" t="str">
        <f>iferror(vlookup($A34, 'Player Game Stats'!$U:$AD, 8, False), "")</f>
        <v/>
      </c>
      <c r="J34" s="106" t="str">
        <f>iferror(vlookup($A34, 'Player Game Stats'!$U:$AD, 9, False), "")</f>
        <v/>
      </c>
      <c r="K34" s="105" t="str">
        <f>iferror(vlookup($A34, 'Player Game Stats'!$U:$AD, 10, False), "")</f>
        <v/>
      </c>
      <c r="L34" s="93">
        <f t="shared" si="2"/>
        <v>0</v>
      </c>
      <c r="M34" s="106">
        <f t="shared" si="3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88" t="str">
        <f>Draft!D56</f>
        <v/>
      </c>
      <c r="B35" s="104" t="str">
        <f>iferror(vlookup($A35, 'Player Game Stats'!$U:$AD, 2, False), "")</f>
        <v/>
      </c>
      <c r="C35" s="107" t="str">
        <f>iferror(vlookup($A35, 'Player Game Stats'!$U:$AD, 3, False), "")</f>
        <v/>
      </c>
      <c r="D35" s="106">
        <f t="shared" si="1"/>
        <v>0</v>
      </c>
      <c r="E35" s="108" t="str">
        <f>iferror(vlookup($A35, 'Player Game Stats'!$U:$AD, 4, False), "")</f>
        <v/>
      </c>
      <c r="F35" s="108" t="str">
        <f>iferror(vlookup($A35, 'Player Game Stats'!$U:$AD, 5, False), "")</f>
        <v/>
      </c>
      <c r="G35" s="108" t="str">
        <f>iferror(vlookup($A35, 'Player Game Stats'!$U:$AD, 6, False), "")</f>
        <v/>
      </c>
      <c r="H35" s="108" t="str">
        <f>iferror(vlookup($A35, 'Player Game Stats'!$U:$AD, 7, False), "")</f>
        <v/>
      </c>
      <c r="I35" s="108" t="str">
        <f>iferror(vlookup($A35, 'Player Game Stats'!$U:$AD, 8, False), "")</f>
        <v/>
      </c>
      <c r="J35" s="108" t="str">
        <f>iferror(vlookup($A35, 'Player Game Stats'!$U:$AD, 9, False), "")</f>
        <v/>
      </c>
      <c r="K35" s="107" t="str">
        <f>iferror(vlookup($A35, 'Player Game Stats'!$U:$AD, 10, False), "")</f>
        <v/>
      </c>
      <c r="L35" s="93">
        <f t="shared" si="2"/>
        <v>0</v>
      </c>
      <c r="M35" s="106">
        <f t="shared" si="3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88" t="str">
        <f>Draft!D57</f>
        <v/>
      </c>
      <c r="B36" s="104" t="str">
        <f>iferror(vlookup($A36, 'Player Game Stats'!$U:$AD, 2, False), "")</f>
        <v/>
      </c>
      <c r="C36" s="105" t="str">
        <f>iferror(vlookup($A36, 'Player Game Stats'!$U:$AD, 3, False), "")</f>
        <v/>
      </c>
      <c r="D36" s="106">
        <f t="shared" si="1"/>
        <v>0</v>
      </c>
      <c r="E36" s="106" t="str">
        <f>iferror(vlookup($A36, 'Player Game Stats'!$U:$AD, 4, False), "")</f>
        <v/>
      </c>
      <c r="F36" s="106" t="str">
        <f>iferror(vlookup($A36, 'Player Game Stats'!$U:$AD, 5, False), "")</f>
        <v/>
      </c>
      <c r="G36" s="106" t="str">
        <f>iferror(vlookup($A36, 'Player Game Stats'!$U:$AD, 6, False), "")</f>
        <v/>
      </c>
      <c r="H36" s="106" t="str">
        <f>iferror(vlookup($A36, 'Player Game Stats'!$U:$AD, 7, False), "")</f>
        <v/>
      </c>
      <c r="I36" s="106" t="str">
        <f>iferror(vlookup($A36, 'Player Game Stats'!$U:$AD, 8, False), "")</f>
        <v/>
      </c>
      <c r="J36" s="106" t="str">
        <f>iferror(vlookup($A36, 'Player Game Stats'!$U:$AD, 9, False), "")</f>
        <v/>
      </c>
      <c r="K36" s="105" t="str">
        <f>iferror(vlookup($A36, 'Player Game Stats'!$U:$AD, 10, False), "")</f>
        <v/>
      </c>
      <c r="L36" s="93">
        <f t="shared" si="2"/>
        <v>0</v>
      </c>
      <c r="M36" s="106">
        <f t="shared" si="3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96" t="str">
        <f>Draft!D58</f>
        <v/>
      </c>
      <c r="B37" s="109" t="str">
        <f>iferror(vlookup($A37, 'Player Game Stats'!$U:$AD, 2, False), "")</f>
        <v/>
      </c>
      <c r="C37" s="107" t="str">
        <f>iferror(vlookup($A37, 'Player Game Stats'!$U:$AD, 3, False), "")</f>
        <v/>
      </c>
      <c r="D37" s="106">
        <f t="shared" si="1"/>
        <v>0</v>
      </c>
      <c r="E37" s="108" t="str">
        <f>iferror(vlookup($A37, 'Player Game Stats'!$U:$AD, 4, False), "")</f>
        <v/>
      </c>
      <c r="F37" s="108" t="str">
        <f>iferror(vlookup($A37, 'Player Game Stats'!$U:$AD, 5, False), "")</f>
        <v/>
      </c>
      <c r="G37" s="108" t="str">
        <f>iferror(vlookup($A37, 'Player Game Stats'!$U:$AD, 6, False), "")</f>
        <v/>
      </c>
      <c r="H37" s="108" t="str">
        <f>iferror(vlookup($A37, 'Player Game Stats'!$U:$AD, 7, False), "")</f>
        <v/>
      </c>
      <c r="I37" s="108" t="str">
        <f>iferror(vlookup($A37, 'Player Game Stats'!$U:$AD, 8, False), "")</f>
        <v/>
      </c>
      <c r="J37" s="108" t="str">
        <f>iferror(vlookup($A37, 'Player Game Stats'!$U:$AD, 9, False), "")</f>
        <v/>
      </c>
      <c r="K37" s="107" t="str">
        <f>iferror(vlookup($A37, 'Player Game Stats'!$U:$AD, 10, False), "")</f>
        <v/>
      </c>
      <c r="L37" s="93">
        <f t="shared" si="2"/>
        <v>0</v>
      </c>
      <c r="M37" s="106">
        <f t="shared" si="3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88" t="str">
        <f>Draft!E46</f>
        <v>Guel</v>
      </c>
      <c r="B38" s="110">
        <f>iferror(vlookup($A38, 'Player Game Stats'!$AE:$AN, 2, False), "")</f>
        <v>7</v>
      </c>
      <c r="C38" s="111">
        <f>iferror(vlookup($A38, 'Player Game Stats'!$AE:$AN, 3, False), "")</f>
        <v>0.4285714286</v>
      </c>
      <c r="D38" s="112">
        <f t="shared" si="1"/>
        <v>21.10714286</v>
      </c>
      <c r="E38" s="112">
        <f>iferror(vlookup($A38, 'Player Game Stats'!$AE:$AN, 4, False), "")</f>
        <v>19.85714286</v>
      </c>
      <c r="F38" s="112">
        <f>iferror(vlookup($A38, 'Player Game Stats'!$AE:$AN, 5, False), "")</f>
        <v>7.857142857</v>
      </c>
      <c r="G38" s="112">
        <f>iferror(vlookup($A38, 'Player Game Stats'!$AE:$AN, 6, False), "")</f>
        <v>3.285714286</v>
      </c>
      <c r="H38" s="112">
        <f>iferror(vlookup($A38, 'Player Game Stats'!$AE:$AN, 7, False), "")</f>
        <v>6.571428571</v>
      </c>
      <c r="I38" s="112">
        <f>iferror(vlookup($A38, 'Player Game Stats'!$AE:$AN, 8, False), "")</f>
        <v>2.142857143</v>
      </c>
      <c r="J38" s="112">
        <f>iferror(vlookup($A38, 'Player Game Stats'!$AE:$AN, 9, False), "")</f>
        <v>27.85714286</v>
      </c>
      <c r="K38" s="111">
        <f>iferror(vlookup($A38, 'Player Game Stats'!$AE:$AN, 10, False), "")</f>
        <v>0.4161676647</v>
      </c>
      <c r="L38" s="93">
        <f t="shared" si="2"/>
        <v>8.784110351</v>
      </c>
      <c r="M38" s="112">
        <f t="shared" si="3"/>
        <v>22.63163436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88" t="str">
        <f>Draft!E48</f>
        <v>Pasha</v>
      </c>
      <c r="B39" s="110">
        <f>iferror(vlookup($A39, 'Player Game Stats'!$AE:$AN, 2, False), "")</f>
        <v>7</v>
      </c>
      <c r="C39" s="111">
        <f>iferror(vlookup($A39, 'Player Game Stats'!$AE:$AN, 3, False), "")</f>
        <v>0.4285714286</v>
      </c>
      <c r="D39" s="112">
        <f t="shared" si="1"/>
        <v>19.62857143</v>
      </c>
      <c r="E39" s="112">
        <f>iferror(vlookup($A39, 'Player Game Stats'!$AE:$AN, 4, False), "")</f>
        <v>18.57142857</v>
      </c>
      <c r="F39" s="112">
        <f>iferror(vlookup($A39, 'Player Game Stats'!$AE:$AN, 5, False), "")</f>
        <v>8.285714286</v>
      </c>
      <c r="G39" s="112">
        <f>iferror(vlookup($A39, 'Player Game Stats'!$AE:$AN, 6, False), "")</f>
        <v>0</v>
      </c>
      <c r="H39" s="112">
        <f>iferror(vlookup($A39, 'Player Game Stats'!$AE:$AN, 7, False), "")</f>
        <v>10</v>
      </c>
      <c r="I39" s="112">
        <f>iferror(vlookup($A39, 'Player Game Stats'!$AE:$AN, 8, False), "")</f>
        <v>0.2857142857</v>
      </c>
      <c r="J39" s="112">
        <f>iferror(vlookup($A39, 'Player Game Stats'!$AE:$AN, 9, False), "")</f>
        <v>28.42857143</v>
      </c>
      <c r="K39" s="111">
        <f>iferror(vlookup($A39, 'Player Game Stats'!$AE:$AN, 10, False), "")</f>
        <v>0.3951367781</v>
      </c>
      <c r="L39" s="93">
        <f t="shared" si="2"/>
        <v>7.755970473</v>
      </c>
      <c r="M39" s="112">
        <f t="shared" si="3"/>
        <v>19.98270524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88" t="str">
        <f>Draft!E49</f>
        <v>Yost</v>
      </c>
      <c r="B40" s="110">
        <f>iferror(vlookup($A40, 'Player Game Stats'!$AE:$AN, 2, False), "")</f>
        <v>7</v>
      </c>
      <c r="C40" s="111">
        <f>iferror(vlookup($A40, 'Player Game Stats'!$AE:$AN, 3, False), "")</f>
        <v>0.4285714286</v>
      </c>
      <c r="D40" s="112">
        <f t="shared" si="1"/>
        <v>18</v>
      </c>
      <c r="E40" s="112">
        <f>iferror(vlookup($A40, 'Player Game Stats'!$AE:$AN, 4, False), "")</f>
        <v>16.57142857</v>
      </c>
      <c r="F40" s="112">
        <f>iferror(vlookup($A40, 'Player Game Stats'!$AE:$AN, 5, False), "")</f>
        <v>3.857142857</v>
      </c>
      <c r="G40" s="112">
        <f>iferror(vlookup($A40, 'Player Game Stats'!$AE:$AN, 6, False), "")</f>
        <v>1.428571429</v>
      </c>
      <c r="H40" s="112">
        <f>iferror(vlookup($A40, 'Player Game Stats'!$AE:$AN, 7, False), "")</f>
        <v>9</v>
      </c>
      <c r="I40" s="112">
        <f>iferror(vlookup($A40, 'Player Game Stats'!$AE:$AN, 8, False), "")</f>
        <v>2.285714286</v>
      </c>
      <c r="J40" s="112">
        <f>iferror(vlookup($A40, 'Player Game Stats'!$AE:$AN, 9, False), "")</f>
        <v>28.42857143</v>
      </c>
      <c r="K40" s="111">
        <f>iferror(vlookup($A40, 'Player Game Stats'!$AE:$AN, 10, False), "")</f>
        <v>0.3682539683</v>
      </c>
      <c r="L40" s="93">
        <f t="shared" si="2"/>
        <v>6.628571429</v>
      </c>
      <c r="M40" s="112">
        <f t="shared" si="3"/>
        <v>17.07804193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88" t="str">
        <f>Draft!E50</f>
        <v>Sean</v>
      </c>
      <c r="B41" s="110">
        <f>iferror(vlookup($A41, 'Player Game Stats'!$AE:$AN, 2, False), "")</f>
        <v>6</v>
      </c>
      <c r="C41" s="113">
        <f>iferror(vlookup($A41, 'Player Game Stats'!$AE:$AN, 3, False), "")</f>
        <v>0.5</v>
      </c>
      <c r="D41" s="112">
        <f t="shared" si="1"/>
        <v>13.54166667</v>
      </c>
      <c r="E41" s="114">
        <f>iferror(vlookup($A41, 'Player Game Stats'!$AE:$AN, 4, False), "")</f>
        <v>12.66666667</v>
      </c>
      <c r="F41" s="114">
        <f>iferror(vlookup($A41, 'Player Game Stats'!$AE:$AN, 5, False), "")</f>
        <v>4.333333333</v>
      </c>
      <c r="G41" s="114">
        <f>iferror(vlookup($A41, 'Player Game Stats'!$AE:$AN, 6, False), "")</f>
        <v>1.833333333</v>
      </c>
      <c r="H41" s="114">
        <f>iferror(vlookup($A41, 'Player Game Stats'!$AE:$AN, 7, False), "")</f>
        <v>5.166666667</v>
      </c>
      <c r="I41" s="114">
        <f>iferror(vlookup($A41, 'Player Game Stats'!$AE:$AN, 8, False), "")</f>
        <v>1.333333333</v>
      </c>
      <c r="J41" s="114">
        <f>iferror(vlookup($A41, 'Player Game Stats'!$AE:$AN, 9, False), "")</f>
        <v>29.5</v>
      </c>
      <c r="K41" s="113">
        <f>iferror(vlookup($A41, 'Player Game Stats'!$AE:$AN, 10, False), "")</f>
        <v>0.3003952569</v>
      </c>
      <c r="L41" s="93">
        <f t="shared" si="2"/>
        <v>4.067852437</v>
      </c>
      <c r="M41" s="112">
        <f t="shared" si="3"/>
        <v>10.48053193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88" t="str">
        <f>Draft!E51</f>
        <v>Samos</v>
      </c>
      <c r="B42" s="110">
        <f>iferror(vlookup($A42, 'Player Game Stats'!$AE:$AN, 2, False), "")</f>
        <v>7</v>
      </c>
      <c r="C42" s="111">
        <f>iferror(vlookup($A42, 'Player Game Stats'!$AE:$AN, 3, False), "")</f>
        <v>0.5714285714</v>
      </c>
      <c r="D42" s="112">
        <f t="shared" si="1"/>
        <v>17.2</v>
      </c>
      <c r="E42" s="112">
        <f>iferror(vlookup($A42, 'Player Game Stats'!$AE:$AN, 4, False), "")</f>
        <v>16.71428571</v>
      </c>
      <c r="F42" s="112">
        <f>iferror(vlookup($A42, 'Player Game Stats'!$AE:$AN, 5, False), "")</f>
        <v>11.57142857</v>
      </c>
      <c r="G42" s="112">
        <f>iferror(vlookup($A42, 'Player Game Stats'!$AE:$AN, 6, False), "")</f>
        <v>0.8571428571</v>
      </c>
      <c r="H42" s="112">
        <f>iferror(vlookup($A42, 'Player Game Stats'!$AE:$AN, 7, False), "")</f>
        <v>4.142857143</v>
      </c>
      <c r="I42" s="112">
        <f>iferror(vlookup($A42, 'Player Game Stats'!$AE:$AN, 8, False), "")</f>
        <v>0.1428571429</v>
      </c>
      <c r="J42" s="112">
        <f>iferror(vlookup($A42, 'Player Game Stats'!$AE:$AN, 9, False), "")</f>
        <v>28.14285714</v>
      </c>
      <c r="K42" s="111">
        <f>iferror(vlookup($A42, 'Player Game Stats'!$AE:$AN, 10, False), "")</f>
        <v>0.372611465</v>
      </c>
      <c r="L42" s="93">
        <f t="shared" si="2"/>
        <v>6.408917197</v>
      </c>
      <c r="M42" s="112">
        <f t="shared" si="3"/>
        <v>16.51211846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88" t="str">
        <f>Draft!E52</f>
        <v>Soho</v>
      </c>
      <c r="B43" s="110">
        <f>iferror(vlookup($A43, 'Player Game Stats'!$AE:$AN, 2, False), "")</f>
        <v>4</v>
      </c>
      <c r="C43" s="111">
        <f>iferror(vlookup($A43, 'Player Game Stats'!$AE:$AN, 3, False), "")</f>
        <v>0.5</v>
      </c>
      <c r="D43" s="112">
        <f t="shared" si="1"/>
        <v>14.775</v>
      </c>
      <c r="E43" s="112">
        <f>iferror(vlookup($A43, 'Player Game Stats'!$AE:$AN, 4, False), "")</f>
        <v>14.5</v>
      </c>
      <c r="F43" s="112">
        <f>iferror(vlookup($A43, 'Player Game Stats'!$AE:$AN, 5, False), "")</f>
        <v>11.5</v>
      </c>
      <c r="G43" s="112">
        <f>iferror(vlookup($A43, 'Player Game Stats'!$AE:$AN, 6, False), "")</f>
        <v>0.5</v>
      </c>
      <c r="H43" s="112">
        <f>iferror(vlookup($A43, 'Player Game Stats'!$AE:$AN, 7, False), "")</f>
        <v>2.5</v>
      </c>
      <c r="I43" s="112">
        <f>iferror(vlookup($A43, 'Player Game Stats'!$AE:$AN, 8, False), "")</f>
        <v>0</v>
      </c>
      <c r="J43" s="112">
        <f>iferror(vlookup($A43, 'Player Game Stats'!$AE:$AN, 9, False), "")</f>
        <v>31.25</v>
      </c>
      <c r="K43" s="111">
        <f>iferror(vlookup($A43, 'Player Game Stats'!$AE:$AN, 10, False), "")</f>
        <v>0.3169398907</v>
      </c>
      <c r="L43" s="93">
        <f t="shared" si="2"/>
        <v>4.682786885</v>
      </c>
      <c r="M43" s="112">
        <f t="shared" si="3"/>
        <v>12.06486672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88" t="str">
        <f>Draft!E53</f>
        <v>Haldar</v>
      </c>
      <c r="B44" s="110">
        <f>iferror(vlookup($A44, 'Player Game Stats'!$AE:$AN, 2, False), "")</f>
        <v>1</v>
      </c>
      <c r="C44" s="111">
        <f>iferror(vlookup($A44, 'Player Game Stats'!$AE:$AN, 3, False), "")</f>
        <v>0</v>
      </c>
      <c r="D44" s="112">
        <f t="shared" si="1"/>
        <v>20.2</v>
      </c>
      <c r="E44" s="112">
        <f>iferror(vlookup($A44, 'Player Game Stats'!$AE:$AN, 4, False), "")</f>
        <v>19</v>
      </c>
      <c r="F44" s="112">
        <f>iferror(vlookup($A44, 'Player Game Stats'!$AE:$AN, 5, False), "")</f>
        <v>7</v>
      </c>
      <c r="G44" s="112">
        <f>iferror(vlookup($A44, 'Player Game Stats'!$AE:$AN, 6, False), "")</f>
        <v>2</v>
      </c>
      <c r="H44" s="112">
        <f>iferror(vlookup($A44, 'Player Game Stats'!$AE:$AN, 7, False), "")</f>
        <v>9</v>
      </c>
      <c r="I44" s="112">
        <f>iferror(vlookup($A44, 'Player Game Stats'!$AE:$AN, 8, False), "")</f>
        <v>1</v>
      </c>
      <c r="J44" s="112">
        <f>iferror(vlookup($A44, 'Player Game Stats'!$AE:$AN, 9, False), "")</f>
        <v>29</v>
      </c>
      <c r="K44" s="111">
        <f>iferror(vlookup($A44, 'Player Game Stats'!$AE:$AN, 10, False), "")</f>
        <v>0.3958333333</v>
      </c>
      <c r="L44" s="93">
        <f t="shared" si="2"/>
        <v>7.995833333</v>
      </c>
      <c r="M44" s="112">
        <f t="shared" si="3"/>
        <v>20.6006948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88" t="str">
        <f>Draft!E54</f>
        <v>Dji</v>
      </c>
      <c r="B45" s="110">
        <f>iferror(vlookup($A45, 'Player Game Stats'!$AE:$AN, 2, False), "")</f>
        <v>4</v>
      </c>
      <c r="C45" s="111">
        <f>iferror(vlookup($A45, 'Player Game Stats'!$AE:$AN, 3, False), "")</f>
        <v>0.25</v>
      </c>
      <c r="D45" s="112">
        <f t="shared" si="1"/>
        <v>12.65</v>
      </c>
      <c r="E45" s="112">
        <f>iferror(vlookup($A45, 'Player Game Stats'!$AE:$AN, 4, False), "")</f>
        <v>12.25</v>
      </c>
      <c r="F45" s="112">
        <f>iferror(vlookup($A45, 'Player Game Stats'!$AE:$AN, 5, False), "")</f>
        <v>8.25</v>
      </c>
      <c r="G45" s="112">
        <f>iferror(vlookup($A45, 'Player Game Stats'!$AE:$AN, 6, False), "")</f>
        <v>0.5</v>
      </c>
      <c r="H45" s="112">
        <f>iferror(vlookup($A45, 'Player Game Stats'!$AE:$AN, 7, False), "")</f>
        <v>3.25</v>
      </c>
      <c r="I45" s="112">
        <f>iferror(vlookup($A45, 'Player Game Stats'!$AE:$AN, 8, False), "")</f>
        <v>0.25</v>
      </c>
      <c r="J45" s="112">
        <f>iferror(vlookup($A45, 'Player Game Stats'!$AE:$AN, 9, False), "")</f>
        <v>28.5</v>
      </c>
      <c r="K45" s="111">
        <f>iferror(vlookup($A45, 'Player Game Stats'!$AE:$AN, 10, False), "")</f>
        <v>0.3006134969</v>
      </c>
      <c r="L45" s="93">
        <f t="shared" si="2"/>
        <v>3.802760736</v>
      </c>
      <c r="M45" s="112">
        <f t="shared" si="3"/>
        <v>9.797542053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88" t="str">
        <f>Draft!E55</f>
        <v>Luebke</v>
      </c>
      <c r="B46" s="110">
        <f>iferror(vlookup($A46, 'Player Game Stats'!$AE:$AN, 2, False), "")</f>
        <v>0</v>
      </c>
      <c r="C46" s="111" t="str">
        <f>iferror(vlookup($A46, 'Player Game Stats'!$AE:$AN, 3, False), "")</f>
        <v/>
      </c>
      <c r="D46" s="112">
        <f t="shared" si="1"/>
        <v>0</v>
      </c>
      <c r="E46" s="112" t="str">
        <f>iferror(vlookup($A46, 'Player Game Stats'!$AE:$AN, 4, False), "")</f>
        <v/>
      </c>
      <c r="F46" s="112" t="str">
        <f>iferror(vlookup($A46, 'Player Game Stats'!$AE:$AN, 5, False), "")</f>
        <v/>
      </c>
      <c r="G46" s="112" t="str">
        <f>iferror(vlookup($A46, 'Player Game Stats'!$AE:$AN, 6, False), "")</f>
        <v/>
      </c>
      <c r="H46" s="112" t="str">
        <f>iferror(vlookup($A46, 'Player Game Stats'!$AE:$AN, 7, False), "")</f>
        <v/>
      </c>
      <c r="I46" s="112" t="str">
        <f>iferror(vlookup($A46, 'Player Game Stats'!$AE:$AN, 8, False), "")</f>
        <v/>
      </c>
      <c r="J46" s="112" t="str">
        <f>iferror(vlookup($A46, 'Player Game Stats'!$AE:$AN, 9, False), "")</f>
        <v/>
      </c>
      <c r="K46" s="111" t="str">
        <f>iferror(vlookup($A46, 'Player Game Stats'!$AE:$AN, 10, False), "")</f>
        <v/>
      </c>
      <c r="L46" s="93">
        <f t="shared" si="2"/>
        <v>0</v>
      </c>
      <c r="M46" s="112">
        <f t="shared" si="3"/>
        <v>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88" t="str">
        <f>Draft!E56</f>
        <v>David Cerrato</v>
      </c>
      <c r="B47" s="110">
        <f>iferror(vlookup($A47, 'Player Game Stats'!$AE:$AN, 2, False), "")</f>
        <v>0</v>
      </c>
      <c r="C47" s="113" t="str">
        <f>iferror(vlookup($A47, 'Player Game Stats'!$AE:$AN, 3, False), "")</f>
        <v/>
      </c>
      <c r="D47" s="112">
        <f t="shared" si="1"/>
        <v>0</v>
      </c>
      <c r="E47" s="114" t="str">
        <f>iferror(vlookup($A47, 'Player Game Stats'!$AE:$AN, 4, False), "")</f>
        <v/>
      </c>
      <c r="F47" s="114" t="str">
        <f>iferror(vlookup($A47, 'Player Game Stats'!$AE:$AN, 5, False), "")</f>
        <v/>
      </c>
      <c r="G47" s="114" t="str">
        <f>iferror(vlookup($A47, 'Player Game Stats'!$AE:$AN, 6, False), "")</f>
        <v/>
      </c>
      <c r="H47" s="114" t="str">
        <f>iferror(vlookup($A47, 'Player Game Stats'!$AE:$AN, 7, False), "")</f>
        <v/>
      </c>
      <c r="I47" s="114" t="str">
        <f>iferror(vlookup($A47, 'Player Game Stats'!$AE:$AN, 8, False), "")</f>
        <v/>
      </c>
      <c r="J47" s="114" t="str">
        <f>iferror(vlookup($A47, 'Player Game Stats'!$AE:$AN, 9, False), "")</f>
        <v/>
      </c>
      <c r="K47" s="113" t="str">
        <f>iferror(vlookup($A47, 'Player Game Stats'!$AE:$AN, 10, False), "")</f>
        <v/>
      </c>
      <c r="L47" s="93">
        <f t="shared" si="2"/>
        <v>0</v>
      </c>
      <c r="M47" s="112">
        <f t="shared" si="3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88" t="str">
        <f>Draft!E57</f>
        <v>Will He</v>
      </c>
      <c r="B48" s="110">
        <f>iferror(vlookup($A48, 'Player Game Stats'!$AE:$AN, 2, False), "")</f>
        <v>0</v>
      </c>
      <c r="C48" s="111" t="str">
        <f>iferror(vlookup($A48, 'Player Game Stats'!$AE:$AN, 3, False), "")</f>
        <v/>
      </c>
      <c r="D48" s="112">
        <f t="shared" si="1"/>
        <v>0</v>
      </c>
      <c r="E48" s="112" t="str">
        <f>iferror(vlookup($A48, 'Player Game Stats'!$AE:$AN, 4, False), "")</f>
        <v/>
      </c>
      <c r="F48" s="112" t="str">
        <f>iferror(vlookup($A48, 'Player Game Stats'!$AE:$AN, 5, False), "")</f>
        <v/>
      </c>
      <c r="G48" s="112" t="str">
        <f>iferror(vlookup($A48, 'Player Game Stats'!$AE:$AN, 6, False), "")</f>
        <v/>
      </c>
      <c r="H48" s="112" t="str">
        <f>iferror(vlookup($A48, 'Player Game Stats'!$AE:$AN, 7, False), "")</f>
        <v/>
      </c>
      <c r="I48" s="112" t="str">
        <f>iferror(vlookup($A48, 'Player Game Stats'!$AE:$AN, 8, False), "")</f>
        <v/>
      </c>
      <c r="J48" s="112" t="str">
        <f>iferror(vlookup($A48, 'Player Game Stats'!$AE:$AN, 9, False), "")</f>
        <v/>
      </c>
      <c r="K48" s="111" t="str">
        <f>iferror(vlookup($A48, 'Player Game Stats'!$AE:$AN, 10, False), "")</f>
        <v/>
      </c>
      <c r="L48" s="93">
        <f t="shared" si="2"/>
        <v>0</v>
      </c>
      <c r="M48" s="112">
        <f t="shared" si="3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96" t="str">
        <f>Draft!E58</f>
        <v/>
      </c>
      <c r="B49" s="115" t="str">
        <f>iferror(vlookup($A49, 'Player Game Stats'!$AE:$AN, 2, False), "")</f>
        <v/>
      </c>
      <c r="C49" s="113" t="str">
        <f>iferror(vlookup($A49, 'Player Game Stats'!$AE:$AN, 3, False), "")</f>
        <v/>
      </c>
      <c r="D49" s="112">
        <f t="shared" si="1"/>
        <v>0</v>
      </c>
      <c r="E49" s="114" t="str">
        <f>iferror(vlookup($A49, 'Player Game Stats'!$AE:$AN, 4, False), "")</f>
        <v/>
      </c>
      <c r="F49" s="114" t="str">
        <f>iferror(vlookup($A49, 'Player Game Stats'!$AE:$AN, 5, False), "")</f>
        <v/>
      </c>
      <c r="G49" s="114" t="str">
        <f>iferror(vlookup($A49, 'Player Game Stats'!$AE:$AN, 6, False), "")</f>
        <v/>
      </c>
      <c r="H49" s="114" t="str">
        <f>iferror(vlookup($A49, 'Player Game Stats'!$AE:$AN, 7, False), "")</f>
        <v/>
      </c>
      <c r="I49" s="114" t="str">
        <f>iferror(vlookup($A49, 'Player Game Stats'!$AE:$AN, 8, False), "")</f>
        <v/>
      </c>
      <c r="J49" s="114" t="str">
        <f>iferror(vlookup($A49, 'Player Game Stats'!$AE:$AN, 9, False), "")</f>
        <v/>
      </c>
      <c r="K49" s="113" t="str">
        <f>iferror(vlookup($A49, 'Player Game Stats'!$AE:$AN, 10, False), "")</f>
        <v/>
      </c>
      <c r="L49" s="93">
        <f t="shared" si="2"/>
        <v>0</v>
      </c>
      <c r="M49" s="112">
        <f t="shared" si="3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88" t="str">
        <f>Draft!F46</f>
        <v>Arnav</v>
      </c>
      <c r="B50" s="116">
        <f>iferror(vlookup($A50, 'Player Game Stats'!$AO:$AX, 2, False), "")</f>
        <v>7</v>
      </c>
      <c r="C50" s="117">
        <f>iferror(vlookup($A50, 'Player Game Stats'!$AO:$AX, 3, False), "")</f>
        <v>0.8571428571</v>
      </c>
      <c r="D50" s="118">
        <f t="shared" si="1"/>
        <v>24</v>
      </c>
      <c r="E50" s="118">
        <f>iferror(vlookup($A50, 'Player Game Stats'!$AO:$AX, 4, False), "")</f>
        <v>22.28571429</v>
      </c>
      <c r="F50" s="118">
        <f>iferror(vlookup($A50, 'Player Game Stats'!$AO:$AX, 5, False), "")</f>
        <v>8.428571429</v>
      </c>
      <c r="G50" s="118">
        <f>iferror(vlookup($A50, 'Player Game Stats'!$AO:$AX, 6, False), "")</f>
        <v>2</v>
      </c>
      <c r="H50" s="118">
        <f>iferror(vlookup($A50, 'Player Game Stats'!$AO:$AX, 7, False), "")</f>
        <v>7.571428571</v>
      </c>
      <c r="I50" s="118">
        <f>iferror(vlookup($A50, 'Player Game Stats'!$AO:$AX, 8, False), "")</f>
        <v>4.285714286</v>
      </c>
      <c r="J50" s="118">
        <f>iferror(vlookup($A50, 'Player Game Stats'!$AO:$AX, 9, False), "")</f>
        <v>21.57142857</v>
      </c>
      <c r="K50" s="117">
        <f>iferror(vlookup($A50, 'Player Game Stats'!$AO:$AX, 10, False), "")</f>
        <v>0.5081433225</v>
      </c>
      <c r="L50" s="93">
        <f t="shared" si="2"/>
        <v>12.19543974</v>
      </c>
      <c r="M50" s="118">
        <f t="shared" si="3"/>
        <v>31.42068144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88" t="str">
        <f>Draft!F48</f>
        <v>Blark</v>
      </c>
      <c r="B51" s="116">
        <f>iferror(vlookup($A51, 'Player Game Stats'!$AO:$AX, 2, False), "")</f>
        <v>0</v>
      </c>
      <c r="C51" s="117" t="str">
        <f>iferror(vlookup($A51, 'Player Game Stats'!$AO:$AX, 3, False), "")</f>
        <v/>
      </c>
      <c r="D51" s="118">
        <f t="shared" si="1"/>
        <v>0</v>
      </c>
      <c r="E51" s="118" t="str">
        <f>iferror(vlookup($A51, 'Player Game Stats'!$AO:$AX, 4, False), "")</f>
        <v/>
      </c>
      <c r="F51" s="118" t="str">
        <f>iferror(vlookup($A51, 'Player Game Stats'!$AO:$AX, 5, False), "")</f>
        <v/>
      </c>
      <c r="G51" s="118" t="str">
        <f>iferror(vlookup($A51, 'Player Game Stats'!$AO:$AX, 6, False), "")</f>
        <v/>
      </c>
      <c r="H51" s="118" t="str">
        <f>iferror(vlookup($A51, 'Player Game Stats'!$AO:$AX, 7, False), "")</f>
        <v/>
      </c>
      <c r="I51" s="118" t="str">
        <f>iferror(vlookup($A51, 'Player Game Stats'!$AO:$AX, 8, False), "")</f>
        <v/>
      </c>
      <c r="J51" s="118" t="str">
        <f>iferror(vlookup($A51, 'Player Game Stats'!$AO:$AX, 9, False), "")</f>
        <v/>
      </c>
      <c r="K51" s="117" t="str">
        <f>iferror(vlookup($A51, 'Player Game Stats'!$AO:$AX, 10, False), "")</f>
        <v/>
      </c>
      <c r="L51" s="93">
        <f t="shared" si="2"/>
        <v>0</v>
      </c>
      <c r="M51" s="118">
        <f t="shared" si="3"/>
        <v>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88" t="str">
        <f>Draft!F49</f>
        <v>Kumba</v>
      </c>
      <c r="B52" s="116">
        <f>iferror(vlookup($A52, 'Player Game Stats'!$AO:$AX, 2, False), "")</f>
        <v>0</v>
      </c>
      <c r="C52" s="117" t="str">
        <f>iferror(vlookup($A52, 'Player Game Stats'!$AO:$AX, 3, False), "")</f>
        <v/>
      </c>
      <c r="D52" s="118">
        <f t="shared" si="1"/>
        <v>0</v>
      </c>
      <c r="E52" s="118" t="str">
        <f>iferror(vlookup($A52, 'Player Game Stats'!$AO:$AX, 4, False), "")</f>
        <v/>
      </c>
      <c r="F52" s="118" t="str">
        <f>iferror(vlookup($A52, 'Player Game Stats'!$AO:$AX, 5, False), "")</f>
        <v/>
      </c>
      <c r="G52" s="118" t="str">
        <f>iferror(vlookup($A52, 'Player Game Stats'!$AO:$AX, 6, False), "")</f>
        <v/>
      </c>
      <c r="H52" s="118" t="str">
        <f>iferror(vlookup($A52, 'Player Game Stats'!$AO:$AX, 7, False), "")</f>
        <v/>
      </c>
      <c r="I52" s="118" t="str">
        <f>iferror(vlookup($A52, 'Player Game Stats'!$AO:$AX, 8, False), "")</f>
        <v/>
      </c>
      <c r="J52" s="118" t="str">
        <f>iferror(vlookup($A52, 'Player Game Stats'!$AO:$AX, 9, False), "")</f>
        <v/>
      </c>
      <c r="K52" s="117" t="str">
        <f>iferror(vlookup($A52, 'Player Game Stats'!$AO:$AX, 10, False), "")</f>
        <v/>
      </c>
      <c r="L52" s="93">
        <f t="shared" si="2"/>
        <v>0</v>
      </c>
      <c r="M52" s="118">
        <f t="shared" si="3"/>
        <v>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88" t="str">
        <f>Draft!F50</f>
        <v>Paul</v>
      </c>
      <c r="B53" s="116">
        <f>iferror(vlookup($A53, 'Player Game Stats'!$AO:$AX, 2, False), "")</f>
        <v>7</v>
      </c>
      <c r="C53" s="117">
        <f>iferror(vlookup($A53, 'Player Game Stats'!$AO:$AX, 3, False), "")</f>
        <v>0.8571428571</v>
      </c>
      <c r="D53" s="118">
        <f t="shared" si="1"/>
        <v>14.42857143</v>
      </c>
      <c r="E53" s="118">
        <f>iferror(vlookup($A53, 'Player Game Stats'!$AO:$AX, 4, False), "")</f>
        <v>13.71428571</v>
      </c>
      <c r="F53" s="118">
        <f>iferror(vlookup($A53, 'Player Game Stats'!$AO:$AX, 5, False), "")</f>
        <v>6.428571429</v>
      </c>
      <c r="G53" s="118">
        <f>iferror(vlookup($A53, 'Player Game Stats'!$AO:$AX, 6, False), "")</f>
        <v>0.5714285714</v>
      </c>
      <c r="H53" s="118">
        <f>iferror(vlookup($A53, 'Player Game Stats'!$AO:$AX, 7, False), "")</f>
        <v>6.571428571</v>
      </c>
      <c r="I53" s="118">
        <f>iferror(vlookup($A53, 'Player Game Stats'!$AO:$AX, 8, False), "")</f>
        <v>0.1428571429</v>
      </c>
      <c r="J53" s="118">
        <f>iferror(vlookup($A53, 'Player Game Stats'!$AO:$AX, 9, False), "")</f>
        <v>25.42857143</v>
      </c>
      <c r="K53" s="117">
        <f>iferror(vlookup($A53, 'Player Game Stats'!$AO:$AX, 10, False), "")</f>
        <v>0.3503649635</v>
      </c>
      <c r="L53" s="93">
        <f t="shared" si="2"/>
        <v>5.055265902</v>
      </c>
      <c r="M53" s="118">
        <f t="shared" si="3"/>
        <v>13.02453236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88" t="str">
        <f>Draft!F51</f>
        <v>Raymond</v>
      </c>
      <c r="B54" s="116">
        <f>iferror(vlookup($A54, 'Player Game Stats'!$AO:$AX, 2, False), "")</f>
        <v>6</v>
      </c>
      <c r="C54" s="117">
        <f>iferror(vlookup($A54, 'Player Game Stats'!$AO:$AX, 3, False), "")</f>
        <v>0.8333333333</v>
      </c>
      <c r="D54" s="118">
        <f t="shared" si="1"/>
        <v>16.11666667</v>
      </c>
      <c r="E54" s="118">
        <f>iferror(vlookup($A54, 'Player Game Stats'!$AO:$AX, 4, False), "")</f>
        <v>15.66666667</v>
      </c>
      <c r="F54" s="118">
        <f>iferror(vlookup($A54, 'Player Game Stats'!$AO:$AX, 5, False), "")</f>
        <v>10.83333333</v>
      </c>
      <c r="G54" s="118">
        <f>iferror(vlookup($A54, 'Player Game Stats'!$AO:$AX, 6, False), "")</f>
        <v>1</v>
      </c>
      <c r="H54" s="118">
        <f>iferror(vlookup($A54, 'Player Game Stats'!$AO:$AX, 7, False), "")</f>
        <v>3.666666667</v>
      </c>
      <c r="I54" s="118">
        <f>iferror(vlookup($A54, 'Player Game Stats'!$AO:$AX, 8, False), "")</f>
        <v>0.1666666667</v>
      </c>
      <c r="J54" s="118">
        <f>iferror(vlookup($A54, 'Player Game Stats'!$AO:$AX, 9, False), "")</f>
        <v>24.66666667</v>
      </c>
      <c r="K54" s="117">
        <f>iferror(vlookup($A54, 'Player Game Stats'!$AO:$AX, 10, False), "")</f>
        <v>0.3884297521</v>
      </c>
      <c r="L54" s="93">
        <f t="shared" si="2"/>
        <v>6.260192837</v>
      </c>
      <c r="M54" s="118">
        <f t="shared" si="3"/>
        <v>16.12894075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88" t="str">
        <f>Draft!F52</f>
        <v>TC</v>
      </c>
      <c r="B55" s="116">
        <f>iferror(vlookup($A55, 'Player Game Stats'!$AO:$AX, 2, False), "")</f>
        <v>7</v>
      </c>
      <c r="C55" s="117">
        <f>iferror(vlookup($A55, 'Player Game Stats'!$AO:$AX, 3, False), "")</f>
        <v>0.8571428571</v>
      </c>
      <c r="D55" s="118">
        <f t="shared" si="1"/>
        <v>17.40714286</v>
      </c>
      <c r="E55" s="118">
        <f>iferror(vlookup($A55, 'Player Game Stats'!$AO:$AX, 4, False), "")</f>
        <v>16.71428571</v>
      </c>
      <c r="F55" s="118">
        <f>iferror(vlookup($A55, 'Player Game Stats'!$AO:$AX, 5, False), "")</f>
        <v>9.714285714</v>
      </c>
      <c r="G55" s="118">
        <f>iferror(vlookup($A55, 'Player Game Stats'!$AO:$AX, 6, False), "")</f>
        <v>0.7142857143</v>
      </c>
      <c r="H55" s="118">
        <f>iferror(vlookup($A55, 'Player Game Stats'!$AO:$AX, 7, False), "")</f>
        <v>6</v>
      </c>
      <c r="I55" s="118">
        <f>iferror(vlookup($A55, 'Player Game Stats'!$AO:$AX, 8, False), "")</f>
        <v>0.2857142857</v>
      </c>
      <c r="J55" s="118">
        <f>iferror(vlookup($A55, 'Player Game Stats'!$AO:$AX, 9, False), "")</f>
        <v>24</v>
      </c>
      <c r="K55" s="117">
        <f>iferror(vlookup($A55, 'Player Game Stats'!$AO:$AX, 10, False), "")</f>
        <v>0.4105263158</v>
      </c>
      <c r="L55" s="93">
        <f t="shared" si="2"/>
        <v>7.146090226</v>
      </c>
      <c r="M55" s="118">
        <f t="shared" si="3"/>
        <v>18.41139224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88" t="str">
        <f>Draft!F53</f>
        <v>Kyi</v>
      </c>
      <c r="B56" s="116">
        <f>iferror(vlookup($A56, 'Player Game Stats'!$AO:$AX, 2, False), "")</f>
        <v>2</v>
      </c>
      <c r="C56" s="117">
        <f>iferror(vlookup($A56, 'Player Game Stats'!$AO:$AX, 3, False), "")</f>
        <v>1</v>
      </c>
      <c r="D56" s="118">
        <f t="shared" si="1"/>
        <v>15.775</v>
      </c>
      <c r="E56" s="118">
        <f>iferror(vlookup($A56, 'Player Game Stats'!$AO:$AX, 4, False), "")</f>
        <v>15</v>
      </c>
      <c r="F56" s="118">
        <f>iferror(vlookup($A56, 'Player Game Stats'!$AO:$AX, 5, False), "")</f>
        <v>7</v>
      </c>
      <c r="G56" s="118">
        <f>iferror(vlookup($A56, 'Player Game Stats'!$AO:$AX, 6, False), "")</f>
        <v>1.5</v>
      </c>
      <c r="H56" s="118">
        <f>iferror(vlookup($A56, 'Player Game Stats'!$AO:$AX, 7, False), "")</f>
        <v>6</v>
      </c>
      <c r="I56" s="118">
        <f>iferror(vlookup($A56, 'Player Game Stats'!$AO:$AX, 8, False), "")</f>
        <v>0.5</v>
      </c>
      <c r="J56" s="118">
        <f>iferror(vlookup($A56, 'Player Game Stats'!$AO:$AX, 9, False), "")</f>
        <v>25</v>
      </c>
      <c r="K56" s="117">
        <f>iferror(vlookup($A56, 'Player Game Stats'!$AO:$AX, 10, False), "")</f>
        <v>0.375</v>
      </c>
      <c r="L56" s="93">
        <f t="shared" si="2"/>
        <v>5.915625</v>
      </c>
      <c r="M56" s="118">
        <f t="shared" si="3"/>
        <v>15.24118627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88" t="str">
        <f>Draft!F54</f>
        <v>Jwu</v>
      </c>
      <c r="B57" s="116">
        <f>iferror(vlookup($A57, 'Player Game Stats'!$AO:$AX, 2, False), "")</f>
        <v>0</v>
      </c>
      <c r="C57" s="117" t="str">
        <f>iferror(vlookup($A57, 'Player Game Stats'!$AO:$AX, 3, False), "")</f>
        <v/>
      </c>
      <c r="D57" s="118">
        <f t="shared" si="1"/>
        <v>0</v>
      </c>
      <c r="E57" s="118" t="str">
        <f>iferror(vlookup($A57, 'Player Game Stats'!$AO:$AX, 4, False), "")</f>
        <v/>
      </c>
      <c r="F57" s="118" t="str">
        <f>iferror(vlookup($A57, 'Player Game Stats'!$AO:$AX, 5, False), "")</f>
        <v/>
      </c>
      <c r="G57" s="118" t="str">
        <f>iferror(vlookup($A57, 'Player Game Stats'!$AO:$AX, 6, False), "")</f>
        <v/>
      </c>
      <c r="H57" s="118" t="str">
        <f>iferror(vlookup($A57, 'Player Game Stats'!$AO:$AX, 7, False), "")</f>
        <v/>
      </c>
      <c r="I57" s="118" t="str">
        <f>iferror(vlookup($A57, 'Player Game Stats'!$AO:$AX, 8, False), "")</f>
        <v/>
      </c>
      <c r="J57" s="118" t="str">
        <f>iferror(vlookup($A57, 'Player Game Stats'!$AO:$AX, 9, False), "")</f>
        <v/>
      </c>
      <c r="K57" s="117" t="str">
        <f>iferror(vlookup($A57, 'Player Game Stats'!$AO:$AX, 10, False), "")</f>
        <v/>
      </c>
      <c r="L57" s="93">
        <f t="shared" si="2"/>
        <v>0</v>
      </c>
      <c r="M57" s="118">
        <f t="shared" si="3"/>
        <v>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88" t="str">
        <f>Draft!F55</f>
        <v>Parker</v>
      </c>
      <c r="B58" s="116">
        <f>iferror(vlookup($A58, 'Player Game Stats'!$AO:$AX, 2, False), "")</f>
        <v>0</v>
      </c>
      <c r="C58" s="119" t="str">
        <f>iferror(vlookup($A58, 'Player Game Stats'!$AO:$AX, 3, False), "")</f>
        <v/>
      </c>
      <c r="D58" s="118">
        <f t="shared" si="1"/>
        <v>0</v>
      </c>
      <c r="E58" s="120" t="str">
        <f>iferror(vlookup($A58, 'Player Game Stats'!$AO:$AX, 4, False), "")</f>
        <v/>
      </c>
      <c r="F58" s="120" t="str">
        <f>iferror(vlookup($A58, 'Player Game Stats'!$AO:$AX, 5, False), "")</f>
        <v/>
      </c>
      <c r="G58" s="120" t="str">
        <f>iferror(vlookup($A58, 'Player Game Stats'!$AO:$AX, 6, False), "")</f>
        <v/>
      </c>
      <c r="H58" s="120" t="str">
        <f>iferror(vlookup($A58, 'Player Game Stats'!$AO:$AX, 7, False), "")</f>
        <v/>
      </c>
      <c r="I58" s="120" t="str">
        <f>iferror(vlookup($A58, 'Player Game Stats'!$AO:$AX, 8, False), "")</f>
        <v/>
      </c>
      <c r="J58" s="120" t="str">
        <f>iferror(vlookup($A58, 'Player Game Stats'!$AO:$AX, 9, False), "")</f>
        <v/>
      </c>
      <c r="K58" s="119" t="str">
        <f>iferror(vlookup($A58, 'Player Game Stats'!$AO:$AX, 10, False), "")</f>
        <v/>
      </c>
      <c r="L58" s="93">
        <f t="shared" si="2"/>
        <v>0</v>
      </c>
      <c r="M58" s="118">
        <f t="shared" si="3"/>
        <v>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88" t="str">
        <f>Draft!F56</f>
        <v>Henry</v>
      </c>
      <c r="B59" s="116">
        <f>iferror(vlookup($A59, 'Player Game Stats'!$AO:$AX, 2, False), "")</f>
        <v>0</v>
      </c>
      <c r="C59" s="119" t="str">
        <f>iferror(vlookup($A59, 'Player Game Stats'!$AO:$AX, 3, False), "")</f>
        <v/>
      </c>
      <c r="D59" s="118">
        <f t="shared" si="1"/>
        <v>0</v>
      </c>
      <c r="E59" s="120" t="str">
        <f>iferror(vlookup($A59, 'Player Game Stats'!$AO:$AX, 4, False), "")</f>
        <v/>
      </c>
      <c r="F59" s="120" t="str">
        <f>iferror(vlookup($A59, 'Player Game Stats'!$AO:$AX, 5, False), "")</f>
        <v/>
      </c>
      <c r="G59" s="120" t="str">
        <f>iferror(vlookup($A59, 'Player Game Stats'!$AO:$AX, 6, False), "")</f>
        <v/>
      </c>
      <c r="H59" s="120" t="str">
        <f>iferror(vlookup($A59, 'Player Game Stats'!$AO:$AX, 7, False), "")</f>
        <v/>
      </c>
      <c r="I59" s="120" t="str">
        <f>iferror(vlookup($A59, 'Player Game Stats'!$AO:$AX, 8, False), "")</f>
        <v/>
      </c>
      <c r="J59" s="120" t="str">
        <f>iferror(vlookup($A59, 'Player Game Stats'!$AO:$AX, 9, False), "")</f>
        <v/>
      </c>
      <c r="K59" s="119" t="str">
        <f>iferror(vlookup($A59, 'Player Game Stats'!$AO:$AX, 10, False), "")</f>
        <v/>
      </c>
      <c r="L59" s="93">
        <f t="shared" si="2"/>
        <v>0</v>
      </c>
      <c r="M59" s="118">
        <f t="shared" si="3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88" t="str">
        <f>Draft!F57</f>
        <v>Ayush</v>
      </c>
      <c r="B60" s="116">
        <f>iferror(vlookup($A60, 'Player Game Stats'!$AO:$AX, 2, False), "")</f>
        <v>0</v>
      </c>
      <c r="C60" s="119" t="str">
        <f>iferror(vlookup($A60, 'Player Game Stats'!$AO:$AX, 3, False), "")</f>
        <v/>
      </c>
      <c r="D60" s="118">
        <f t="shared" si="1"/>
        <v>0</v>
      </c>
      <c r="E60" s="120" t="str">
        <f>iferror(vlookup($A60, 'Player Game Stats'!$AO:$AX, 4, False), "")</f>
        <v/>
      </c>
      <c r="F60" s="120" t="str">
        <f>iferror(vlookup($A60, 'Player Game Stats'!$AO:$AX, 5, False), "")</f>
        <v/>
      </c>
      <c r="G60" s="120" t="str">
        <f>iferror(vlookup($A60, 'Player Game Stats'!$AO:$AX, 6, False), "")</f>
        <v/>
      </c>
      <c r="H60" s="120" t="str">
        <f>iferror(vlookup($A60, 'Player Game Stats'!$AO:$AX, 7, False), "")</f>
        <v/>
      </c>
      <c r="I60" s="120" t="str">
        <f>iferror(vlookup($A60, 'Player Game Stats'!$AO:$AX, 8, False), "")</f>
        <v/>
      </c>
      <c r="J60" s="120" t="str">
        <f>iferror(vlookup($A60, 'Player Game Stats'!$AO:$AX, 9, False), "")</f>
        <v/>
      </c>
      <c r="K60" s="119" t="str">
        <f>iferror(vlookup($A60, 'Player Game Stats'!$AO:$AX, 10, False), "")</f>
        <v/>
      </c>
      <c r="L60" s="93">
        <f t="shared" si="2"/>
        <v>0</v>
      </c>
      <c r="M60" s="118">
        <f t="shared" si="3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96" t="str">
        <f>Draft!F58</f>
        <v/>
      </c>
      <c r="B61" s="121" t="str">
        <f>iferror(vlookup($A61, 'Player Game Stats'!$AO:$AX, 2, False), "")</f>
        <v/>
      </c>
      <c r="C61" s="119" t="str">
        <f>iferror(vlookup($A61, 'Player Game Stats'!$AO:$AX, 3, False), "")</f>
        <v/>
      </c>
      <c r="D61" s="118">
        <f t="shared" si="1"/>
        <v>0</v>
      </c>
      <c r="E61" s="120" t="str">
        <f>iferror(vlookup($A61, 'Player Game Stats'!$AO:$AX, 4, False), "")</f>
        <v/>
      </c>
      <c r="F61" s="120" t="str">
        <f>iferror(vlookup($A61, 'Player Game Stats'!$AO:$AX, 5, False), "")</f>
        <v/>
      </c>
      <c r="G61" s="120" t="str">
        <f>iferror(vlookup($A61, 'Player Game Stats'!$AO:$AX, 6, False), "")</f>
        <v/>
      </c>
      <c r="H61" s="120" t="str">
        <f>iferror(vlookup($A61, 'Player Game Stats'!$AO:$AX, 7, False), "")</f>
        <v/>
      </c>
      <c r="I61" s="120" t="str">
        <f>iferror(vlookup($A61, 'Player Game Stats'!$AO:$AX, 8, False), "")</f>
        <v/>
      </c>
      <c r="J61" s="120" t="str">
        <f>iferror(vlookup($A61, 'Player Game Stats'!$AO:$AX, 9, False), "")</f>
        <v/>
      </c>
      <c r="K61" s="119" t="str">
        <f>iferror(vlookup($A61, 'Player Game Stats'!$AO:$AX, 10, False), "")</f>
        <v/>
      </c>
      <c r="L61" s="93">
        <f t="shared" si="2"/>
        <v>0</v>
      </c>
      <c r="M61" s="118">
        <f t="shared" si="3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88" t="str">
        <f>Draft!G46</f>
        <v>Jay</v>
      </c>
      <c r="B62" s="122">
        <f>iferror(vlookup($A62, 'Player Game Stats'!$AY:$BH, 2, False), "")</f>
        <v>7</v>
      </c>
      <c r="C62" s="123">
        <f>iferror(vlookup($A62, 'Player Game Stats'!$AY:$BH, 3, False), "")</f>
        <v>0.4285714286</v>
      </c>
      <c r="D62" s="124">
        <f t="shared" si="1"/>
        <v>19.09285714</v>
      </c>
      <c r="E62" s="124">
        <f>iferror(vlookup($A62, 'Player Game Stats'!$AY:$BH, 4, False), "")</f>
        <v>17.85714286</v>
      </c>
      <c r="F62" s="124">
        <f>iferror(vlookup($A62, 'Player Game Stats'!$AY:$BH, 5, False), "")</f>
        <v>6.571428571</v>
      </c>
      <c r="G62" s="124">
        <f>iferror(vlookup($A62, 'Player Game Stats'!$AY:$BH, 6, False), "")</f>
        <v>0.7142857143</v>
      </c>
      <c r="H62" s="124">
        <f>iferror(vlookup($A62, 'Player Game Stats'!$AY:$BH, 7, False), "")</f>
        <v>9.142857143</v>
      </c>
      <c r="I62" s="124">
        <f>iferror(vlookup($A62, 'Player Game Stats'!$AY:$BH, 8, False), "")</f>
        <v>1.428571429</v>
      </c>
      <c r="J62" s="124">
        <f>iferror(vlookup($A62, 'Player Game Stats'!$AY:$BH, 9, False), "")</f>
        <v>24.14285714</v>
      </c>
      <c r="K62" s="123">
        <f>iferror(vlookup($A62, 'Player Game Stats'!$AY:$BH, 10, False), "")</f>
        <v>0.425170068</v>
      </c>
      <c r="L62" s="93">
        <f t="shared" si="2"/>
        <v>8.11771137</v>
      </c>
      <c r="M62" s="124">
        <f t="shared" si="3"/>
        <v>20.91470488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88" t="str">
        <f>Draft!G48</f>
        <v>Schmid</v>
      </c>
      <c r="B63" s="122">
        <f>iferror(vlookup($A63, 'Player Game Stats'!$AY:$BH, 2, False), "")</f>
        <v>3</v>
      </c>
      <c r="C63" s="123">
        <f>iferror(vlookup($A63, 'Player Game Stats'!$AY:$BH, 3, False), "")</f>
        <v>0.6666666667</v>
      </c>
      <c r="D63" s="124">
        <f t="shared" si="1"/>
        <v>15.81666667</v>
      </c>
      <c r="E63" s="124">
        <f>iferror(vlookup($A63, 'Player Game Stats'!$AY:$BH, 4, False), "")</f>
        <v>15</v>
      </c>
      <c r="F63" s="124">
        <f>iferror(vlookup($A63, 'Player Game Stats'!$AY:$BH, 5, False), "")</f>
        <v>6</v>
      </c>
      <c r="G63" s="124">
        <f>iferror(vlookup($A63, 'Player Game Stats'!$AY:$BH, 6, False), "")</f>
        <v>1.666666667</v>
      </c>
      <c r="H63" s="124">
        <f>iferror(vlookup($A63, 'Player Game Stats'!$AY:$BH, 7, False), "")</f>
        <v>7.333333333</v>
      </c>
      <c r="I63" s="124">
        <f>iferror(vlookup($A63, 'Player Game Stats'!$AY:$BH, 8, False), "")</f>
        <v>0</v>
      </c>
      <c r="J63" s="124">
        <f>iferror(vlookup($A63, 'Player Game Stats'!$AY:$BH, 9, False), "")</f>
        <v>23.66666667</v>
      </c>
      <c r="K63" s="123">
        <f>iferror(vlookup($A63, 'Player Game Stats'!$AY:$BH, 10, False), "")</f>
        <v>0.3879310345</v>
      </c>
      <c r="L63" s="93">
        <f t="shared" si="2"/>
        <v>6.135775862</v>
      </c>
      <c r="M63" s="124">
        <f t="shared" si="3"/>
        <v>15.80838927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88" t="str">
        <f>Draft!G49</f>
        <v>DC</v>
      </c>
      <c r="B64" s="122">
        <f>iferror(vlookup($A64, 'Player Game Stats'!$AY:$BH, 2, False), "")</f>
        <v>6</v>
      </c>
      <c r="C64" s="123">
        <f>iferror(vlookup($A64, 'Player Game Stats'!$AY:$BH, 3, False), "")</f>
        <v>0.5</v>
      </c>
      <c r="D64" s="124">
        <f t="shared" si="1"/>
        <v>20.45</v>
      </c>
      <c r="E64" s="124">
        <f>iferror(vlookup($A64, 'Player Game Stats'!$AY:$BH, 4, False), "")</f>
        <v>19.33333333</v>
      </c>
      <c r="F64" s="124">
        <f>iferror(vlookup($A64, 'Player Game Stats'!$AY:$BH, 5, False), "")</f>
        <v>8.166666667</v>
      </c>
      <c r="G64" s="124">
        <f>iferror(vlookup($A64, 'Player Game Stats'!$AY:$BH, 6, False), "")</f>
        <v>2</v>
      </c>
      <c r="H64" s="124">
        <f>iferror(vlookup($A64, 'Player Game Stats'!$AY:$BH, 7, False), "")</f>
        <v>8.166666667</v>
      </c>
      <c r="I64" s="124">
        <f>iferror(vlookup($A64, 'Player Game Stats'!$AY:$BH, 8, False), "")</f>
        <v>1</v>
      </c>
      <c r="J64" s="124">
        <f>iferror(vlookup($A64, 'Player Game Stats'!$AY:$BH, 9, False), "")</f>
        <v>24.16666667</v>
      </c>
      <c r="K64" s="123">
        <f>iferror(vlookup($A64, 'Player Game Stats'!$AY:$BH, 10, False), "")</f>
        <v>0.4444444444</v>
      </c>
      <c r="L64" s="93">
        <f t="shared" si="2"/>
        <v>9.088888889</v>
      </c>
      <c r="M64" s="124">
        <f t="shared" si="3"/>
        <v>23.41687455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88" t="str">
        <f>Draft!G50</f>
        <v>Steven</v>
      </c>
      <c r="B65" s="122">
        <f>iferror(vlookup($A65, 'Player Game Stats'!$AY:$BH, 2, False), "")</f>
        <v>6</v>
      </c>
      <c r="C65" s="123">
        <f>iferror(vlookup($A65, 'Player Game Stats'!$AY:$BH, 3, False), "")</f>
        <v>0.5</v>
      </c>
      <c r="D65" s="124">
        <f t="shared" si="1"/>
        <v>16.5</v>
      </c>
      <c r="E65" s="124">
        <f>iferror(vlookup($A65, 'Player Game Stats'!$AY:$BH, 4, False), "")</f>
        <v>16</v>
      </c>
      <c r="F65" s="124">
        <f>iferror(vlookup($A65, 'Player Game Stats'!$AY:$BH, 5, False), "")</f>
        <v>11.33333333</v>
      </c>
      <c r="G65" s="124">
        <f>iferror(vlookup($A65, 'Player Game Stats'!$AY:$BH, 6, False), "")</f>
        <v>0.6666666667</v>
      </c>
      <c r="H65" s="124">
        <f>iferror(vlookup($A65, 'Player Game Stats'!$AY:$BH, 7, False), "")</f>
        <v>3.333333333</v>
      </c>
      <c r="I65" s="124">
        <f>iferror(vlookup($A65, 'Player Game Stats'!$AY:$BH, 8, False), "")</f>
        <v>0.6666666667</v>
      </c>
      <c r="J65" s="124">
        <f>iferror(vlookup($A65, 'Player Game Stats'!$AY:$BH, 9, False), "")</f>
        <v>26.16666667</v>
      </c>
      <c r="K65" s="123">
        <f>iferror(vlookup($A65, 'Player Game Stats'!$AY:$BH, 10, False), "")</f>
        <v>0.3794466403</v>
      </c>
      <c r="L65" s="93">
        <f t="shared" si="2"/>
        <v>6.260869565</v>
      </c>
      <c r="M65" s="124">
        <f t="shared" si="3"/>
        <v>16.13068429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88" t="str">
        <f>Draft!G51</f>
        <v>Dave</v>
      </c>
      <c r="B66" s="122">
        <f>iferror(vlookup($A66, 'Player Game Stats'!$AY:$BH, 2, False), "")</f>
        <v>6</v>
      </c>
      <c r="C66" s="123">
        <f>iferror(vlookup($A66, 'Player Game Stats'!$AY:$BH, 3, False), "")</f>
        <v>0.5</v>
      </c>
      <c r="D66" s="124">
        <f t="shared" si="1"/>
        <v>18.425</v>
      </c>
      <c r="E66" s="124">
        <f>iferror(vlookup($A66, 'Player Game Stats'!$AY:$BH, 4, False), "")</f>
        <v>17</v>
      </c>
      <c r="F66" s="124">
        <f>iferror(vlookup($A66, 'Player Game Stats'!$AY:$BH, 5, False), "")</f>
        <v>4</v>
      </c>
      <c r="G66" s="124">
        <f>iferror(vlookup($A66, 'Player Game Stats'!$AY:$BH, 6, False), "")</f>
        <v>0.5</v>
      </c>
      <c r="H66" s="124">
        <f>iferror(vlookup($A66, 'Player Game Stats'!$AY:$BH, 7, False), "")</f>
        <v>11</v>
      </c>
      <c r="I66" s="124">
        <f>iferror(vlookup($A66, 'Player Game Stats'!$AY:$BH, 8, False), "")</f>
        <v>1.5</v>
      </c>
      <c r="J66" s="124">
        <f>iferror(vlookup($A66, 'Player Game Stats'!$AY:$BH, 9, False), "")</f>
        <v>25.5</v>
      </c>
      <c r="K66" s="123">
        <f>iferror(vlookup($A66, 'Player Game Stats'!$AY:$BH, 10, False), "")</f>
        <v>0.4</v>
      </c>
      <c r="L66" s="93">
        <f t="shared" si="2"/>
        <v>7.37</v>
      </c>
      <c r="M66" s="124">
        <f t="shared" si="3"/>
        <v>18.98827981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88" t="str">
        <f>Draft!G52</f>
        <v>Lulu</v>
      </c>
      <c r="B67" s="122">
        <f>iferror(vlookup($A67, 'Player Game Stats'!$AY:$BH, 2, False), "")</f>
        <v>4</v>
      </c>
      <c r="C67" s="123">
        <f>iferror(vlookup($A67, 'Player Game Stats'!$AY:$BH, 3, False), "")</f>
        <v>0.5</v>
      </c>
      <c r="D67" s="124">
        <f t="shared" si="1"/>
        <v>9.775</v>
      </c>
      <c r="E67" s="124">
        <f>iferror(vlookup($A67, 'Player Game Stats'!$AY:$BH, 4, False), "")</f>
        <v>9.25</v>
      </c>
      <c r="F67" s="124">
        <f>iferror(vlookup($A67, 'Player Game Stats'!$AY:$BH, 5, False), "")</f>
        <v>4.25</v>
      </c>
      <c r="G67" s="124">
        <f>iferror(vlookup($A67, 'Player Game Stats'!$AY:$BH, 6, False), "")</f>
        <v>0</v>
      </c>
      <c r="H67" s="124">
        <f>iferror(vlookup($A67, 'Player Game Stats'!$AY:$BH, 7, False), "")</f>
        <v>4.75</v>
      </c>
      <c r="I67" s="124">
        <f>iferror(vlookup($A67, 'Player Game Stats'!$AY:$BH, 8, False), "")</f>
        <v>0.25</v>
      </c>
      <c r="J67" s="124">
        <f>iferror(vlookup($A67, 'Player Game Stats'!$AY:$BH, 9, False), "")</f>
        <v>25.75</v>
      </c>
      <c r="K67" s="123">
        <f>iferror(vlookup($A67, 'Player Game Stats'!$AY:$BH, 10, False), "")</f>
        <v>0.2642857143</v>
      </c>
      <c r="L67" s="93">
        <f t="shared" si="2"/>
        <v>2.583392857</v>
      </c>
      <c r="M67" s="124">
        <f t="shared" si="3"/>
        <v>6.655927604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88" t="str">
        <f>Draft!G53</f>
        <v>Will Blankenship</v>
      </c>
      <c r="B68" s="122">
        <f>iferror(vlookup($A68, 'Player Game Stats'!$AY:$BH, 2, False), "")</f>
        <v>0</v>
      </c>
      <c r="C68" s="123" t="str">
        <f>iferror(vlookup($A68, 'Player Game Stats'!$AY:$BH, 3, False), "")</f>
        <v/>
      </c>
      <c r="D68" s="124">
        <f t="shared" si="1"/>
        <v>0</v>
      </c>
      <c r="E68" s="124" t="str">
        <f>iferror(vlookup($A68, 'Player Game Stats'!$AY:$BH, 4, False), "")</f>
        <v/>
      </c>
      <c r="F68" s="124" t="str">
        <f>iferror(vlookup($A68, 'Player Game Stats'!$AY:$BH, 5, False), "")</f>
        <v/>
      </c>
      <c r="G68" s="124" t="str">
        <f>iferror(vlookup($A68, 'Player Game Stats'!$AY:$BH, 6, False), "")</f>
        <v/>
      </c>
      <c r="H68" s="124" t="str">
        <f>iferror(vlookup($A68, 'Player Game Stats'!$AY:$BH, 7, False), "")</f>
        <v/>
      </c>
      <c r="I68" s="124" t="str">
        <f>iferror(vlookup($A68, 'Player Game Stats'!$AY:$BH, 8, False), "")</f>
        <v/>
      </c>
      <c r="J68" s="124" t="str">
        <f>iferror(vlookup($A68, 'Player Game Stats'!$AY:$BH, 9, False), "")</f>
        <v/>
      </c>
      <c r="K68" s="123" t="str">
        <f>iferror(vlookup($A68, 'Player Game Stats'!$AY:$BH, 10, False), "")</f>
        <v/>
      </c>
      <c r="L68" s="93">
        <f t="shared" si="2"/>
        <v>0</v>
      </c>
      <c r="M68" s="124">
        <f t="shared" si="3"/>
        <v>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88" t="str">
        <f>Draft!G54</f>
        <v>Hershey</v>
      </c>
      <c r="B69" s="122">
        <f>iferror(vlookup($A69, 'Player Game Stats'!$AY:$BH, 2, False), "")</f>
        <v>3</v>
      </c>
      <c r="C69" s="123">
        <f>iferror(vlookup($A69, 'Player Game Stats'!$AY:$BH, 3, False), "")</f>
        <v>0</v>
      </c>
      <c r="D69" s="124">
        <f t="shared" si="1"/>
        <v>20.75</v>
      </c>
      <c r="E69" s="124">
        <f>iferror(vlookup($A69, 'Player Game Stats'!$AY:$BH, 4, False), "")</f>
        <v>20.33333333</v>
      </c>
      <c r="F69" s="124">
        <f>iferror(vlookup($A69, 'Player Game Stats'!$AY:$BH, 5, False), "")</f>
        <v>16.33333333</v>
      </c>
      <c r="G69" s="124">
        <f>iferror(vlookup($A69, 'Player Game Stats'!$AY:$BH, 6, False), "")</f>
        <v>0.3333333333</v>
      </c>
      <c r="H69" s="124">
        <f>iferror(vlookup($A69, 'Player Game Stats'!$AY:$BH, 7, False), "")</f>
        <v>3.333333333</v>
      </c>
      <c r="I69" s="124">
        <f>iferror(vlookup($A69, 'Player Game Stats'!$AY:$BH, 8, False), "")</f>
        <v>0.3333333333</v>
      </c>
      <c r="J69" s="124">
        <f>iferror(vlookup($A69, 'Player Game Stats'!$AY:$BH, 9, False), "")</f>
        <v>23.66666667</v>
      </c>
      <c r="K69" s="123">
        <f>iferror(vlookup($A69, 'Player Game Stats'!$AY:$BH, 10, False), "")</f>
        <v>0.4621212121</v>
      </c>
      <c r="L69" s="93">
        <f t="shared" si="2"/>
        <v>9.589015152</v>
      </c>
      <c r="M69" s="124">
        <f t="shared" si="3"/>
        <v>24.70541423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88" t="str">
        <f>Draft!G55</f>
        <v/>
      </c>
      <c r="B70" s="122" t="str">
        <f>iferror(vlookup($A70, 'Player Game Stats'!$AY:$BH, 2, False), "")</f>
        <v/>
      </c>
      <c r="C70" s="125" t="str">
        <f>iferror(vlookup($A70, 'Player Game Stats'!$AY:$BH, 3, False), "")</f>
        <v/>
      </c>
      <c r="D70" s="124">
        <f t="shared" si="1"/>
        <v>0</v>
      </c>
      <c r="E70" s="126" t="str">
        <f>iferror(vlookup($A70, 'Player Game Stats'!$AY:$BH, 4, False), "")</f>
        <v/>
      </c>
      <c r="F70" s="126" t="str">
        <f>iferror(vlookup($A70, 'Player Game Stats'!$AY:$BH, 5, False), "")</f>
        <v/>
      </c>
      <c r="G70" s="126" t="str">
        <f>iferror(vlookup($A70, 'Player Game Stats'!$AY:$BH, 6, False), "")</f>
        <v/>
      </c>
      <c r="H70" s="126" t="str">
        <f>iferror(vlookup($A70, 'Player Game Stats'!$AY:$BH, 7, False), "")</f>
        <v/>
      </c>
      <c r="I70" s="126" t="str">
        <f>iferror(vlookup($A70, 'Player Game Stats'!$AY:$BH, 8, False), "")</f>
        <v/>
      </c>
      <c r="J70" s="126" t="str">
        <f>iferror(vlookup($A70, 'Player Game Stats'!$AY:$BH, 9, False), "")</f>
        <v/>
      </c>
      <c r="K70" s="125" t="str">
        <f>iferror(vlookup($A70, 'Player Game Stats'!$AY:$BH, 10, False), "")</f>
        <v/>
      </c>
      <c r="L70" s="93">
        <f t="shared" si="2"/>
        <v>0</v>
      </c>
      <c r="M70" s="124">
        <f t="shared" si="3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88" t="str">
        <f>Draft!G56</f>
        <v>Ted</v>
      </c>
      <c r="B71" s="122">
        <f>iferror(vlookup($A71, 'Player Game Stats'!$AY:$BH, 2, False), "")</f>
        <v>2</v>
      </c>
      <c r="C71" s="123">
        <f>iferror(vlookup($A71, 'Player Game Stats'!$AY:$BH, 3, False), "")</f>
        <v>0</v>
      </c>
      <c r="D71" s="124">
        <f t="shared" si="1"/>
        <v>9.45</v>
      </c>
      <c r="E71" s="124">
        <f>iferror(vlookup($A71, 'Player Game Stats'!$AY:$BH, 4, False), "")</f>
        <v>9</v>
      </c>
      <c r="F71" s="124">
        <f>iferror(vlookup($A71, 'Player Game Stats'!$AY:$BH, 5, False), "")</f>
        <v>5</v>
      </c>
      <c r="G71" s="124">
        <f>iferror(vlookup($A71, 'Player Game Stats'!$AY:$BH, 6, False), "")</f>
        <v>0</v>
      </c>
      <c r="H71" s="124">
        <f>iferror(vlookup($A71, 'Player Game Stats'!$AY:$BH, 7, False), "")</f>
        <v>3.5</v>
      </c>
      <c r="I71" s="124">
        <f>iferror(vlookup($A71, 'Player Game Stats'!$AY:$BH, 8, False), "")</f>
        <v>0.5</v>
      </c>
      <c r="J71" s="124">
        <f>iferror(vlookup($A71, 'Player Game Stats'!$AY:$BH, 9, False), "")</f>
        <v>29.5</v>
      </c>
      <c r="K71" s="123">
        <f>iferror(vlookup($A71, 'Player Game Stats'!$AY:$BH, 10, False), "")</f>
        <v>0.2337662338</v>
      </c>
      <c r="L71" s="93">
        <f t="shared" si="2"/>
        <v>2.209090909</v>
      </c>
      <c r="M71" s="124">
        <f t="shared" si="3"/>
        <v>5.691565308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88" t="str">
        <f>Draft!G57</f>
        <v>Gio</v>
      </c>
      <c r="B72" s="122">
        <f>iferror(vlookup($A72, 'Player Game Stats'!$AY:$BH, 2, False), "")</f>
        <v>0</v>
      </c>
      <c r="C72" s="125" t="str">
        <f>iferror(vlookup($A72, 'Player Game Stats'!$AY:$BH, 3, False), "")</f>
        <v/>
      </c>
      <c r="D72" s="124">
        <f t="shared" si="1"/>
        <v>0</v>
      </c>
      <c r="E72" s="126" t="str">
        <f>iferror(vlookup($A72, 'Player Game Stats'!$AY:$BH, 4, False), "")</f>
        <v/>
      </c>
      <c r="F72" s="126" t="str">
        <f>iferror(vlookup($A72, 'Player Game Stats'!$AY:$BH, 5, False), "")</f>
        <v/>
      </c>
      <c r="G72" s="126" t="str">
        <f>iferror(vlookup($A72, 'Player Game Stats'!$AY:$BH, 6, False), "")</f>
        <v/>
      </c>
      <c r="H72" s="126" t="str">
        <f>iferror(vlookup($A72, 'Player Game Stats'!$AY:$BH, 7, False), "")</f>
        <v/>
      </c>
      <c r="I72" s="126" t="str">
        <f>iferror(vlookup($A72, 'Player Game Stats'!$AY:$BH, 8, False), "")</f>
        <v/>
      </c>
      <c r="J72" s="126" t="str">
        <f>iferror(vlookup($A72, 'Player Game Stats'!$AY:$BH, 9, False), "")</f>
        <v/>
      </c>
      <c r="K72" s="125" t="str">
        <f>iferror(vlookup($A72, 'Player Game Stats'!$AY:$BH, 10, False), "")</f>
        <v/>
      </c>
      <c r="L72" s="93">
        <f t="shared" si="2"/>
        <v>0</v>
      </c>
      <c r="M72" s="124">
        <f t="shared" si="3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96" t="str">
        <f>Draft!G58</f>
        <v/>
      </c>
      <c r="B73" s="127" t="str">
        <f>iferror(vlookup($A73, 'Player Game Stats'!$AY:$BH, 2, False), "")</f>
        <v/>
      </c>
      <c r="C73" s="125" t="str">
        <f>iferror(vlookup($A73, 'Player Game Stats'!$AY:$BH, 3, False), "")</f>
        <v/>
      </c>
      <c r="D73" s="124">
        <f t="shared" si="1"/>
        <v>0</v>
      </c>
      <c r="E73" s="126" t="str">
        <f>iferror(vlookup($A73, 'Player Game Stats'!$AY:$BH, 4, False), "")</f>
        <v/>
      </c>
      <c r="F73" s="126" t="str">
        <f>iferror(vlookup($A73, 'Player Game Stats'!$AY:$BH, 5, False), "")</f>
        <v/>
      </c>
      <c r="G73" s="126" t="str">
        <f>iferror(vlookup($A73, 'Player Game Stats'!$AY:$BH, 6, False), "")</f>
        <v/>
      </c>
      <c r="H73" s="126" t="str">
        <f>iferror(vlookup($A73, 'Player Game Stats'!$AY:$BH, 7, False), "")</f>
        <v/>
      </c>
      <c r="I73" s="126" t="str">
        <f>iferror(vlookup($A73, 'Player Game Stats'!$AY:$BH, 8, False), "")</f>
        <v/>
      </c>
      <c r="J73" s="126" t="str">
        <f>iferror(vlookup($A73, 'Player Game Stats'!$AY:$BH, 9, False), "")</f>
        <v/>
      </c>
      <c r="K73" s="125" t="str">
        <f>iferror(vlookup($A73, 'Player Game Stats'!$AY:$BH, 10, False), "")</f>
        <v/>
      </c>
      <c r="L73" s="93">
        <f t="shared" si="2"/>
        <v>0</v>
      </c>
      <c r="M73" s="124">
        <f t="shared" si="3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128"/>
      <c r="D74" s="129">
        <f>averageif(D2:D73, "&gt;0")</f>
        <v>16.53265306</v>
      </c>
      <c r="E74" s="2"/>
      <c r="F74" s="2"/>
      <c r="G74" s="2"/>
      <c r="H74" s="2"/>
      <c r="I74" s="2"/>
      <c r="J74" s="2"/>
      <c r="K74" s="128"/>
      <c r="L74" s="93">
        <f>averageif(L2:L73, "&gt;0")</f>
        <v>6.416887377</v>
      </c>
      <c r="M74" s="130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128"/>
      <c r="D75" s="2"/>
      <c r="E75" s="2"/>
      <c r="F75" s="2"/>
      <c r="G75" s="2"/>
      <c r="H75" s="2"/>
      <c r="I75" s="2"/>
      <c r="J75" s="2"/>
      <c r="K75" s="128"/>
      <c r="L75" s="93">
        <f>D74/L74</f>
        <v>2.57642874</v>
      </c>
      <c r="M75" s="130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128"/>
      <c r="D76" s="2"/>
      <c r="E76" s="2"/>
      <c r="F76" s="2"/>
      <c r="G76" s="2"/>
      <c r="H76" s="2"/>
      <c r="I76" s="2"/>
      <c r="J76" s="2"/>
      <c r="K76" s="128"/>
      <c r="L76" s="8"/>
      <c r="M76" s="130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128"/>
      <c r="D77" s="2"/>
      <c r="E77" s="2"/>
      <c r="F77" s="2"/>
      <c r="G77" s="2"/>
      <c r="H77" s="2"/>
      <c r="I77" s="2"/>
      <c r="J77" s="2"/>
      <c r="K77" s="128"/>
      <c r="L77" s="8"/>
      <c r="M77" s="130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128"/>
      <c r="D78" s="2"/>
      <c r="E78" s="2"/>
      <c r="F78" s="2"/>
      <c r="G78" s="2"/>
      <c r="H78" s="2"/>
      <c r="I78" s="2"/>
      <c r="J78" s="2"/>
      <c r="K78" s="128"/>
      <c r="L78" s="8"/>
      <c r="M78" s="130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128"/>
      <c r="D79" s="2"/>
      <c r="E79" s="2"/>
      <c r="F79" s="2"/>
      <c r="G79" s="2"/>
      <c r="H79" s="2"/>
      <c r="I79" s="2"/>
      <c r="J79" s="2"/>
      <c r="K79" s="128"/>
      <c r="L79" s="8"/>
      <c r="M79" s="130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128"/>
      <c r="D80" s="2"/>
      <c r="E80" s="2"/>
      <c r="F80" s="2"/>
      <c r="G80" s="2"/>
      <c r="H80" s="2"/>
      <c r="I80" s="2"/>
      <c r="J80" s="2"/>
      <c r="K80" s="128"/>
      <c r="L80" s="8"/>
      <c r="M80" s="130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128"/>
      <c r="D81" s="2"/>
      <c r="E81" s="2"/>
      <c r="F81" s="2"/>
      <c r="G81" s="2"/>
      <c r="H81" s="2"/>
      <c r="I81" s="2"/>
      <c r="J81" s="2"/>
      <c r="K81" s="128"/>
      <c r="L81" s="8"/>
      <c r="M81" s="130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128"/>
      <c r="D82" s="2"/>
      <c r="E82" s="2"/>
      <c r="F82" s="2"/>
      <c r="G82" s="2"/>
      <c r="H82" s="2"/>
      <c r="I82" s="2"/>
      <c r="J82" s="2"/>
      <c r="K82" s="128"/>
      <c r="L82" s="8"/>
      <c r="M82" s="130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128"/>
      <c r="D83" s="2"/>
      <c r="E83" s="2"/>
      <c r="F83" s="2"/>
      <c r="G83" s="2"/>
      <c r="H83" s="2"/>
      <c r="I83" s="2"/>
      <c r="J83" s="2"/>
      <c r="K83" s="128"/>
      <c r="L83" s="8"/>
      <c r="M83" s="130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128"/>
      <c r="D84" s="2"/>
      <c r="E84" s="2"/>
      <c r="F84" s="2"/>
      <c r="G84" s="2"/>
      <c r="H84" s="2"/>
      <c r="I84" s="2"/>
      <c r="J84" s="2"/>
      <c r="K84" s="128"/>
      <c r="L84" s="8"/>
      <c r="M84" s="130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128"/>
      <c r="D85" s="2"/>
      <c r="E85" s="2"/>
      <c r="F85" s="2"/>
      <c r="G85" s="2"/>
      <c r="H85" s="2"/>
      <c r="I85" s="2"/>
      <c r="J85" s="2"/>
      <c r="K85" s="128"/>
      <c r="L85" s="8"/>
      <c r="M85" s="130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128"/>
      <c r="D86" s="2"/>
      <c r="E86" s="2"/>
      <c r="F86" s="2"/>
      <c r="G86" s="2"/>
      <c r="H86" s="2"/>
      <c r="I86" s="2"/>
      <c r="J86" s="2"/>
      <c r="K86" s="128"/>
      <c r="L86" s="8"/>
      <c r="M86" s="130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128"/>
      <c r="D87" s="2"/>
      <c r="E87" s="2"/>
      <c r="F87" s="2"/>
      <c r="G87" s="2"/>
      <c r="H87" s="2"/>
      <c r="I87" s="2"/>
      <c r="J87" s="2"/>
      <c r="K87" s="128"/>
      <c r="L87" s="8"/>
      <c r="M87" s="130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128"/>
      <c r="D88" s="2"/>
      <c r="E88" s="2"/>
      <c r="F88" s="2"/>
      <c r="G88" s="2"/>
      <c r="H88" s="2"/>
      <c r="I88" s="2"/>
      <c r="J88" s="2"/>
      <c r="K88" s="128"/>
      <c r="L88" s="8"/>
      <c r="M88" s="130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128"/>
      <c r="D89" s="2"/>
      <c r="E89" s="2"/>
      <c r="F89" s="2"/>
      <c r="G89" s="2"/>
      <c r="H89" s="2"/>
      <c r="I89" s="2"/>
      <c r="J89" s="2"/>
      <c r="K89" s="128"/>
      <c r="L89" s="8"/>
      <c r="M89" s="130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128"/>
      <c r="D90" s="2"/>
      <c r="E90" s="2"/>
      <c r="F90" s="2"/>
      <c r="G90" s="2"/>
      <c r="H90" s="2"/>
      <c r="I90" s="2"/>
      <c r="J90" s="2"/>
      <c r="K90" s="128"/>
      <c r="L90" s="8"/>
      <c r="M90" s="130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128"/>
      <c r="D91" s="2"/>
      <c r="E91" s="2"/>
      <c r="F91" s="2"/>
      <c r="G91" s="2"/>
      <c r="H91" s="2"/>
      <c r="I91" s="2"/>
      <c r="J91" s="2"/>
      <c r="K91" s="128"/>
      <c r="L91" s="8"/>
      <c r="M91" s="130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128"/>
      <c r="D92" s="2"/>
      <c r="E92" s="2"/>
      <c r="F92" s="2"/>
      <c r="G92" s="2"/>
      <c r="H92" s="2"/>
      <c r="I92" s="2"/>
      <c r="J92" s="2"/>
      <c r="K92" s="128"/>
      <c r="L92" s="8"/>
      <c r="M92" s="130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128"/>
      <c r="D93" s="2"/>
      <c r="E93" s="2"/>
      <c r="F93" s="2"/>
      <c r="G93" s="2"/>
      <c r="H93" s="2"/>
      <c r="I93" s="2"/>
      <c r="J93" s="2"/>
      <c r="K93" s="128"/>
      <c r="L93" s="8"/>
      <c r="M93" s="130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128"/>
      <c r="D94" s="2"/>
      <c r="E94" s="2"/>
      <c r="F94" s="2"/>
      <c r="G94" s="2"/>
      <c r="H94" s="2"/>
      <c r="I94" s="2"/>
      <c r="J94" s="2"/>
      <c r="K94" s="128"/>
      <c r="L94" s="8"/>
      <c r="M94" s="130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128"/>
      <c r="D95" s="2"/>
      <c r="E95" s="2"/>
      <c r="F95" s="2"/>
      <c r="G95" s="2"/>
      <c r="H95" s="2"/>
      <c r="I95" s="2"/>
      <c r="J95" s="2"/>
      <c r="K95" s="128"/>
      <c r="L95" s="8"/>
      <c r="M95" s="130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128"/>
      <c r="D96" s="2"/>
      <c r="E96" s="2"/>
      <c r="F96" s="2"/>
      <c r="G96" s="2"/>
      <c r="H96" s="2"/>
      <c r="I96" s="2"/>
      <c r="J96" s="2"/>
      <c r="K96" s="128"/>
      <c r="L96" s="8"/>
      <c r="M96" s="130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128"/>
      <c r="D97" s="2"/>
      <c r="E97" s="2"/>
      <c r="F97" s="2"/>
      <c r="G97" s="2"/>
      <c r="H97" s="2"/>
      <c r="I97" s="2"/>
      <c r="J97" s="2"/>
      <c r="K97" s="128"/>
      <c r="L97" s="8"/>
      <c r="M97" s="13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128"/>
      <c r="D98" s="2"/>
      <c r="E98" s="2"/>
      <c r="F98" s="2"/>
      <c r="G98" s="2"/>
      <c r="H98" s="2"/>
      <c r="I98" s="2"/>
      <c r="J98" s="2"/>
      <c r="K98" s="128"/>
      <c r="L98" s="8"/>
      <c r="M98" s="13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128"/>
      <c r="D99" s="2"/>
      <c r="E99" s="2"/>
      <c r="F99" s="2"/>
      <c r="G99" s="2"/>
      <c r="H99" s="2"/>
      <c r="I99" s="2"/>
      <c r="J99" s="2"/>
      <c r="K99" s="128"/>
      <c r="L99" s="8"/>
      <c r="M99" s="13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128"/>
      <c r="D100" s="2"/>
      <c r="E100" s="2"/>
      <c r="F100" s="2"/>
      <c r="G100" s="2"/>
      <c r="H100" s="2"/>
      <c r="I100" s="2"/>
      <c r="J100" s="2"/>
      <c r="K100" s="128"/>
      <c r="L100" s="8"/>
      <c r="M100" s="13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128"/>
      <c r="D101" s="2"/>
      <c r="E101" s="2"/>
      <c r="F101" s="2"/>
      <c r="G101" s="2"/>
      <c r="H101" s="2"/>
      <c r="I101" s="2"/>
      <c r="J101" s="2"/>
      <c r="K101" s="128"/>
      <c r="L101" s="8"/>
      <c r="M101" s="13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128"/>
      <c r="D102" s="2"/>
      <c r="E102" s="2"/>
      <c r="F102" s="2"/>
      <c r="G102" s="2"/>
      <c r="H102" s="2"/>
      <c r="I102" s="2"/>
      <c r="J102" s="2"/>
      <c r="K102" s="128"/>
      <c r="L102" s="8"/>
      <c r="M102" s="13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128"/>
      <c r="D103" s="2"/>
      <c r="E103" s="2"/>
      <c r="F103" s="2"/>
      <c r="G103" s="2"/>
      <c r="H103" s="2"/>
      <c r="I103" s="2"/>
      <c r="J103" s="2"/>
      <c r="K103" s="128"/>
      <c r="L103" s="8"/>
      <c r="M103" s="13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128"/>
      <c r="D104" s="2"/>
      <c r="E104" s="2"/>
      <c r="F104" s="2"/>
      <c r="G104" s="2"/>
      <c r="H104" s="2"/>
      <c r="I104" s="2"/>
      <c r="J104" s="2"/>
      <c r="K104" s="128"/>
      <c r="L104" s="8"/>
      <c r="M104" s="13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128"/>
      <c r="D105" s="2"/>
      <c r="E105" s="2"/>
      <c r="F105" s="2"/>
      <c r="G105" s="2"/>
      <c r="H105" s="2"/>
      <c r="I105" s="2"/>
      <c r="J105" s="2"/>
      <c r="K105" s="128"/>
      <c r="L105" s="8"/>
      <c r="M105" s="13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128"/>
      <c r="D106" s="2"/>
      <c r="E106" s="2"/>
      <c r="F106" s="2"/>
      <c r="G106" s="2"/>
      <c r="H106" s="2"/>
      <c r="I106" s="2"/>
      <c r="J106" s="2"/>
      <c r="K106" s="128"/>
      <c r="L106" s="8"/>
      <c r="M106" s="13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128"/>
      <c r="D107" s="2"/>
      <c r="E107" s="2"/>
      <c r="F107" s="2"/>
      <c r="G107" s="2"/>
      <c r="H107" s="2"/>
      <c r="I107" s="2"/>
      <c r="J107" s="2"/>
      <c r="K107" s="128"/>
      <c r="L107" s="8"/>
      <c r="M107" s="13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128"/>
      <c r="D108" s="2"/>
      <c r="E108" s="2"/>
      <c r="F108" s="2"/>
      <c r="G108" s="2"/>
      <c r="H108" s="2"/>
      <c r="I108" s="2"/>
      <c r="J108" s="2"/>
      <c r="K108" s="128"/>
      <c r="L108" s="8"/>
      <c r="M108" s="13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128"/>
      <c r="D109" s="2"/>
      <c r="E109" s="2"/>
      <c r="F109" s="2"/>
      <c r="G109" s="2"/>
      <c r="H109" s="2"/>
      <c r="I109" s="2"/>
      <c r="J109" s="2"/>
      <c r="K109" s="128"/>
      <c r="L109" s="8"/>
      <c r="M109" s="13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128"/>
      <c r="D110" s="2"/>
      <c r="E110" s="2"/>
      <c r="F110" s="2"/>
      <c r="G110" s="2"/>
      <c r="H110" s="2"/>
      <c r="I110" s="2"/>
      <c r="J110" s="2"/>
      <c r="K110" s="128"/>
      <c r="L110" s="8"/>
      <c r="M110" s="13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128"/>
      <c r="D111" s="2"/>
      <c r="E111" s="2"/>
      <c r="F111" s="2"/>
      <c r="G111" s="2"/>
      <c r="H111" s="2"/>
      <c r="I111" s="2"/>
      <c r="J111" s="2"/>
      <c r="K111" s="128"/>
      <c r="L111" s="8"/>
      <c r="M111" s="13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128"/>
      <c r="D112" s="2"/>
      <c r="E112" s="2"/>
      <c r="F112" s="2"/>
      <c r="G112" s="2"/>
      <c r="H112" s="2"/>
      <c r="I112" s="2"/>
      <c r="J112" s="2"/>
      <c r="K112" s="128"/>
      <c r="L112" s="8"/>
      <c r="M112" s="13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128"/>
      <c r="D113" s="2"/>
      <c r="E113" s="2"/>
      <c r="F113" s="2"/>
      <c r="G113" s="2"/>
      <c r="H113" s="2"/>
      <c r="I113" s="2"/>
      <c r="J113" s="2"/>
      <c r="K113" s="128"/>
      <c r="L113" s="8"/>
      <c r="M113" s="13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128"/>
      <c r="D114" s="2"/>
      <c r="E114" s="2"/>
      <c r="F114" s="2"/>
      <c r="G114" s="2"/>
      <c r="H114" s="2"/>
      <c r="I114" s="2"/>
      <c r="J114" s="2"/>
      <c r="K114" s="128"/>
      <c r="L114" s="8"/>
      <c r="M114" s="13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128"/>
      <c r="D115" s="2"/>
      <c r="E115" s="2"/>
      <c r="F115" s="2"/>
      <c r="G115" s="2"/>
      <c r="H115" s="2"/>
      <c r="I115" s="2"/>
      <c r="J115" s="2"/>
      <c r="K115" s="128"/>
      <c r="L115" s="8"/>
      <c r="M115" s="13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128"/>
      <c r="D116" s="2"/>
      <c r="E116" s="2"/>
      <c r="F116" s="2"/>
      <c r="G116" s="2"/>
      <c r="H116" s="2"/>
      <c r="I116" s="2"/>
      <c r="J116" s="2"/>
      <c r="K116" s="128"/>
      <c r="L116" s="8"/>
      <c r="M116" s="13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128"/>
      <c r="D117" s="2"/>
      <c r="E117" s="2"/>
      <c r="F117" s="2"/>
      <c r="G117" s="2"/>
      <c r="H117" s="2"/>
      <c r="I117" s="2"/>
      <c r="J117" s="2"/>
      <c r="K117" s="128"/>
      <c r="L117" s="8"/>
      <c r="M117" s="13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128"/>
      <c r="D118" s="2"/>
      <c r="E118" s="2"/>
      <c r="F118" s="2"/>
      <c r="G118" s="2"/>
      <c r="H118" s="2"/>
      <c r="I118" s="2"/>
      <c r="J118" s="2"/>
      <c r="K118" s="128"/>
      <c r="L118" s="8"/>
      <c r="M118" s="13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128"/>
      <c r="D119" s="2"/>
      <c r="E119" s="2"/>
      <c r="F119" s="2"/>
      <c r="G119" s="2"/>
      <c r="H119" s="2"/>
      <c r="I119" s="2"/>
      <c r="J119" s="2"/>
      <c r="K119" s="128"/>
      <c r="L119" s="8"/>
      <c r="M119" s="13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128"/>
      <c r="D120" s="2"/>
      <c r="E120" s="2"/>
      <c r="F120" s="2"/>
      <c r="G120" s="2"/>
      <c r="H120" s="2"/>
      <c r="I120" s="2"/>
      <c r="J120" s="2"/>
      <c r="K120" s="128"/>
      <c r="L120" s="8"/>
      <c r="M120" s="13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128"/>
      <c r="D121" s="2"/>
      <c r="E121" s="2"/>
      <c r="F121" s="2"/>
      <c r="G121" s="2"/>
      <c r="H121" s="2"/>
      <c r="I121" s="2"/>
      <c r="J121" s="2"/>
      <c r="K121" s="128"/>
      <c r="L121" s="8"/>
      <c r="M121" s="13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128"/>
      <c r="D122" s="2"/>
      <c r="E122" s="2"/>
      <c r="F122" s="2"/>
      <c r="G122" s="2"/>
      <c r="H122" s="2"/>
      <c r="I122" s="2"/>
      <c r="J122" s="2"/>
      <c r="K122" s="128"/>
      <c r="L122" s="8"/>
      <c r="M122" s="13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128"/>
      <c r="D123" s="2"/>
      <c r="E123" s="2"/>
      <c r="F123" s="2"/>
      <c r="G123" s="2"/>
      <c r="H123" s="2"/>
      <c r="I123" s="2"/>
      <c r="J123" s="2"/>
      <c r="K123" s="128"/>
      <c r="L123" s="8"/>
      <c r="M123" s="13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128"/>
      <c r="D124" s="2"/>
      <c r="E124" s="2"/>
      <c r="F124" s="2"/>
      <c r="G124" s="2"/>
      <c r="H124" s="2"/>
      <c r="I124" s="2"/>
      <c r="J124" s="2"/>
      <c r="K124" s="128"/>
      <c r="L124" s="8"/>
      <c r="M124" s="13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128"/>
      <c r="D125" s="2"/>
      <c r="E125" s="2"/>
      <c r="F125" s="2"/>
      <c r="G125" s="2"/>
      <c r="H125" s="2"/>
      <c r="I125" s="2"/>
      <c r="J125" s="2"/>
      <c r="K125" s="128"/>
      <c r="L125" s="8"/>
      <c r="M125" s="13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128"/>
      <c r="D126" s="2"/>
      <c r="E126" s="2"/>
      <c r="F126" s="2"/>
      <c r="G126" s="2"/>
      <c r="H126" s="2"/>
      <c r="I126" s="2"/>
      <c r="J126" s="2"/>
      <c r="K126" s="128"/>
      <c r="L126" s="8"/>
      <c r="M126" s="13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128"/>
      <c r="D127" s="2"/>
      <c r="E127" s="2"/>
      <c r="F127" s="2"/>
      <c r="G127" s="2"/>
      <c r="H127" s="2"/>
      <c r="I127" s="2"/>
      <c r="J127" s="2"/>
      <c r="K127" s="128"/>
      <c r="L127" s="8"/>
      <c r="M127" s="13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128"/>
      <c r="D128" s="2"/>
      <c r="E128" s="2"/>
      <c r="F128" s="2"/>
      <c r="G128" s="2"/>
      <c r="H128" s="2"/>
      <c r="I128" s="2"/>
      <c r="J128" s="2"/>
      <c r="K128" s="128"/>
      <c r="L128" s="8"/>
      <c r="M128" s="13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128"/>
      <c r="D129" s="2"/>
      <c r="E129" s="2"/>
      <c r="F129" s="2"/>
      <c r="G129" s="2"/>
      <c r="H129" s="2"/>
      <c r="I129" s="2"/>
      <c r="J129" s="2"/>
      <c r="K129" s="128"/>
      <c r="L129" s="8"/>
      <c r="M129" s="13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128"/>
      <c r="D130" s="2"/>
      <c r="E130" s="2"/>
      <c r="F130" s="2"/>
      <c r="G130" s="2"/>
      <c r="H130" s="2"/>
      <c r="I130" s="2"/>
      <c r="J130" s="2"/>
      <c r="K130" s="128"/>
      <c r="L130" s="8"/>
      <c r="M130" s="13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128"/>
      <c r="D131" s="2"/>
      <c r="E131" s="2"/>
      <c r="F131" s="2"/>
      <c r="G131" s="2"/>
      <c r="H131" s="2"/>
      <c r="I131" s="2"/>
      <c r="J131" s="2"/>
      <c r="K131" s="128"/>
      <c r="L131" s="8"/>
      <c r="M131" s="13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128"/>
      <c r="D132" s="2"/>
      <c r="E132" s="2"/>
      <c r="F132" s="2"/>
      <c r="G132" s="2"/>
      <c r="H132" s="2"/>
      <c r="I132" s="2"/>
      <c r="J132" s="2"/>
      <c r="K132" s="128"/>
      <c r="L132" s="8"/>
      <c r="M132" s="13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128"/>
      <c r="D133" s="2"/>
      <c r="E133" s="2"/>
      <c r="F133" s="2"/>
      <c r="G133" s="2"/>
      <c r="H133" s="2"/>
      <c r="I133" s="2"/>
      <c r="J133" s="2"/>
      <c r="K133" s="128"/>
      <c r="L133" s="8"/>
      <c r="M133" s="13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128"/>
      <c r="D134" s="2"/>
      <c r="E134" s="2"/>
      <c r="F134" s="2"/>
      <c r="G134" s="2"/>
      <c r="H134" s="2"/>
      <c r="I134" s="2"/>
      <c r="J134" s="2"/>
      <c r="K134" s="128"/>
      <c r="L134" s="8"/>
      <c r="M134" s="13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128"/>
      <c r="D135" s="2"/>
      <c r="E135" s="2"/>
      <c r="F135" s="2"/>
      <c r="G135" s="2"/>
      <c r="H135" s="2"/>
      <c r="I135" s="2"/>
      <c r="J135" s="2"/>
      <c r="K135" s="128"/>
      <c r="L135" s="8"/>
      <c r="M135" s="13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128"/>
      <c r="D136" s="2"/>
      <c r="E136" s="2"/>
      <c r="F136" s="2"/>
      <c r="G136" s="2"/>
      <c r="H136" s="2"/>
      <c r="I136" s="2"/>
      <c r="J136" s="2"/>
      <c r="K136" s="128"/>
      <c r="L136" s="8"/>
      <c r="M136" s="13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128"/>
      <c r="D137" s="2"/>
      <c r="E137" s="2"/>
      <c r="F137" s="2"/>
      <c r="G137" s="2"/>
      <c r="H137" s="2"/>
      <c r="I137" s="2"/>
      <c r="J137" s="2"/>
      <c r="K137" s="128"/>
      <c r="L137" s="8"/>
      <c r="M137" s="13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128"/>
      <c r="D138" s="2"/>
      <c r="E138" s="2"/>
      <c r="F138" s="2"/>
      <c r="G138" s="2"/>
      <c r="H138" s="2"/>
      <c r="I138" s="2"/>
      <c r="J138" s="2"/>
      <c r="K138" s="128"/>
      <c r="L138" s="8"/>
      <c r="M138" s="13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128"/>
      <c r="D139" s="2"/>
      <c r="E139" s="2"/>
      <c r="F139" s="2"/>
      <c r="G139" s="2"/>
      <c r="H139" s="2"/>
      <c r="I139" s="2"/>
      <c r="J139" s="2"/>
      <c r="K139" s="128"/>
      <c r="L139" s="8"/>
      <c r="M139" s="13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128"/>
      <c r="D140" s="2"/>
      <c r="E140" s="2"/>
      <c r="F140" s="2"/>
      <c r="G140" s="2"/>
      <c r="H140" s="2"/>
      <c r="I140" s="2"/>
      <c r="J140" s="2"/>
      <c r="K140" s="128"/>
      <c r="L140" s="8"/>
      <c r="M140" s="13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128"/>
      <c r="D141" s="2"/>
      <c r="E141" s="2"/>
      <c r="F141" s="2"/>
      <c r="G141" s="2"/>
      <c r="H141" s="2"/>
      <c r="I141" s="2"/>
      <c r="J141" s="2"/>
      <c r="K141" s="128"/>
      <c r="L141" s="8"/>
      <c r="M141" s="13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128"/>
      <c r="D142" s="2"/>
      <c r="E142" s="2"/>
      <c r="F142" s="2"/>
      <c r="G142" s="2"/>
      <c r="H142" s="2"/>
      <c r="I142" s="2"/>
      <c r="J142" s="2"/>
      <c r="K142" s="128"/>
      <c r="L142" s="8"/>
      <c r="M142" s="13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128"/>
      <c r="D143" s="2"/>
      <c r="E143" s="2"/>
      <c r="F143" s="2"/>
      <c r="G143" s="2"/>
      <c r="H143" s="2"/>
      <c r="I143" s="2"/>
      <c r="J143" s="2"/>
      <c r="K143" s="128"/>
      <c r="L143" s="8"/>
      <c r="M143" s="13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128"/>
      <c r="D144" s="2"/>
      <c r="E144" s="2"/>
      <c r="F144" s="2"/>
      <c r="G144" s="2"/>
      <c r="H144" s="2"/>
      <c r="I144" s="2"/>
      <c r="J144" s="2"/>
      <c r="K144" s="128"/>
      <c r="L144" s="8"/>
      <c r="M144" s="13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128"/>
      <c r="D145" s="2"/>
      <c r="E145" s="2"/>
      <c r="F145" s="2"/>
      <c r="G145" s="2"/>
      <c r="H145" s="2"/>
      <c r="I145" s="2"/>
      <c r="J145" s="2"/>
      <c r="K145" s="128"/>
      <c r="L145" s="8"/>
      <c r="M145" s="13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128"/>
      <c r="D146" s="2"/>
      <c r="E146" s="2"/>
      <c r="F146" s="2"/>
      <c r="G146" s="2"/>
      <c r="H146" s="2"/>
      <c r="I146" s="2"/>
      <c r="J146" s="2"/>
      <c r="K146" s="128"/>
      <c r="L146" s="8"/>
      <c r="M146" s="13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128"/>
      <c r="D147" s="2"/>
      <c r="E147" s="2"/>
      <c r="F147" s="2"/>
      <c r="G147" s="2"/>
      <c r="H147" s="2"/>
      <c r="I147" s="2"/>
      <c r="J147" s="2"/>
      <c r="K147" s="128"/>
      <c r="L147" s="8"/>
      <c r="M147" s="13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128"/>
      <c r="D148" s="2"/>
      <c r="E148" s="2"/>
      <c r="F148" s="2"/>
      <c r="G148" s="2"/>
      <c r="H148" s="2"/>
      <c r="I148" s="2"/>
      <c r="J148" s="2"/>
      <c r="K148" s="128"/>
      <c r="L148" s="8"/>
      <c r="M148" s="13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128"/>
      <c r="D149" s="2"/>
      <c r="E149" s="2"/>
      <c r="F149" s="2"/>
      <c r="G149" s="2"/>
      <c r="H149" s="2"/>
      <c r="I149" s="2"/>
      <c r="J149" s="2"/>
      <c r="K149" s="128"/>
      <c r="L149" s="8"/>
      <c r="M149" s="13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128"/>
      <c r="D150" s="2"/>
      <c r="E150" s="2"/>
      <c r="F150" s="2"/>
      <c r="G150" s="2"/>
      <c r="H150" s="2"/>
      <c r="I150" s="2"/>
      <c r="J150" s="2"/>
      <c r="K150" s="128"/>
      <c r="L150" s="8"/>
      <c r="M150" s="13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128"/>
      <c r="D151" s="2"/>
      <c r="E151" s="2"/>
      <c r="F151" s="2"/>
      <c r="G151" s="2"/>
      <c r="H151" s="2"/>
      <c r="I151" s="2"/>
      <c r="J151" s="2"/>
      <c r="K151" s="128"/>
      <c r="L151" s="8"/>
      <c r="M151" s="13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128"/>
      <c r="D152" s="2"/>
      <c r="E152" s="2"/>
      <c r="F152" s="2"/>
      <c r="G152" s="2"/>
      <c r="H152" s="2"/>
      <c r="I152" s="2"/>
      <c r="J152" s="2"/>
      <c r="K152" s="128"/>
      <c r="L152" s="8"/>
      <c r="M152" s="13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128"/>
      <c r="D153" s="2"/>
      <c r="E153" s="2"/>
      <c r="F153" s="2"/>
      <c r="G153" s="2"/>
      <c r="H153" s="2"/>
      <c r="I153" s="2"/>
      <c r="J153" s="2"/>
      <c r="K153" s="128"/>
      <c r="L153" s="8"/>
      <c r="M153" s="13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128"/>
      <c r="D154" s="2"/>
      <c r="E154" s="2"/>
      <c r="F154" s="2"/>
      <c r="G154" s="2"/>
      <c r="H154" s="2"/>
      <c r="I154" s="2"/>
      <c r="J154" s="2"/>
      <c r="K154" s="128"/>
      <c r="L154" s="8"/>
      <c r="M154" s="13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128"/>
      <c r="D155" s="2"/>
      <c r="E155" s="2"/>
      <c r="F155" s="2"/>
      <c r="G155" s="2"/>
      <c r="H155" s="2"/>
      <c r="I155" s="2"/>
      <c r="J155" s="2"/>
      <c r="K155" s="128"/>
      <c r="L155" s="8"/>
      <c r="M155" s="13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128"/>
      <c r="D156" s="2"/>
      <c r="E156" s="2"/>
      <c r="F156" s="2"/>
      <c r="G156" s="2"/>
      <c r="H156" s="2"/>
      <c r="I156" s="2"/>
      <c r="J156" s="2"/>
      <c r="K156" s="128"/>
      <c r="L156" s="8"/>
      <c r="M156" s="130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128"/>
      <c r="D157" s="2"/>
      <c r="E157" s="2"/>
      <c r="F157" s="2"/>
      <c r="G157" s="2"/>
      <c r="H157" s="2"/>
      <c r="I157" s="2"/>
      <c r="J157" s="2"/>
      <c r="K157" s="128"/>
      <c r="L157" s="8"/>
      <c r="M157" s="13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128"/>
      <c r="D158" s="2"/>
      <c r="E158" s="2"/>
      <c r="F158" s="2"/>
      <c r="G158" s="2"/>
      <c r="H158" s="2"/>
      <c r="I158" s="2"/>
      <c r="J158" s="2"/>
      <c r="K158" s="128"/>
      <c r="L158" s="8"/>
      <c r="M158" s="13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128"/>
      <c r="D159" s="2"/>
      <c r="E159" s="2"/>
      <c r="F159" s="2"/>
      <c r="G159" s="2"/>
      <c r="H159" s="2"/>
      <c r="I159" s="2"/>
      <c r="J159" s="2"/>
      <c r="K159" s="128"/>
      <c r="L159" s="8"/>
      <c r="M159" s="13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128"/>
      <c r="D160" s="2"/>
      <c r="E160" s="2"/>
      <c r="F160" s="2"/>
      <c r="G160" s="2"/>
      <c r="H160" s="2"/>
      <c r="I160" s="2"/>
      <c r="J160" s="2"/>
      <c r="K160" s="128"/>
      <c r="L160" s="8"/>
      <c r="M160" s="13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128"/>
      <c r="D161" s="2"/>
      <c r="E161" s="2"/>
      <c r="F161" s="2"/>
      <c r="G161" s="2"/>
      <c r="H161" s="2"/>
      <c r="I161" s="2"/>
      <c r="J161" s="2"/>
      <c r="K161" s="128"/>
      <c r="L161" s="8"/>
      <c r="M161" s="13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128"/>
      <c r="D162" s="2"/>
      <c r="E162" s="2"/>
      <c r="F162" s="2"/>
      <c r="G162" s="2"/>
      <c r="H162" s="2"/>
      <c r="I162" s="2"/>
      <c r="J162" s="2"/>
      <c r="K162" s="128"/>
      <c r="L162" s="8"/>
      <c r="M162" s="13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128"/>
      <c r="D163" s="2"/>
      <c r="E163" s="2"/>
      <c r="F163" s="2"/>
      <c r="G163" s="2"/>
      <c r="H163" s="2"/>
      <c r="I163" s="2"/>
      <c r="J163" s="2"/>
      <c r="K163" s="128"/>
      <c r="L163" s="8"/>
      <c r="M163" s="13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128"/>
      <c r="D164" s="2"/>
      <c r="E164" s="2"/>
      <c r="F164" s="2"/>
      <c r="G164" s="2"/>
      <c r="H164" s="2"/>
      <c r="I164" s="2"/>
      <c r="J164" s="2"/>
      <c r="K164" s="128"/>
      <c r="L164" s="8"/>
      <c r="M164" s="13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128"/>
      <c r="D165" s="2"/>
      <c r="E165" s="2"/>
      <c r="F165" s="2"/>
      <c r="G165" s="2"/>
      <c r="H165" s="2"/>
      <c r="I165" s="2"/>
      <c r="J165" s="2"/>
      <c r="K165" s="128"/>
      <c r="L165" s="8"/>
      <c r="M165" s="13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128"/>
      <c r="D166" s="2"/>
      <c r="E166" s="2"/>
      <c r="F166" s="2"/>
      <c r="G166" s="2"/>
      <c r="H166" s="2"/>
      <c r="I166" s="2"/>
      <c r="J166" s="2"/>
      <c r="K166" s="128"/>
      <c r="L166" s="8"/>
      <c r="M166" s="13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128"/>
      <c r="D167" s="2"/>
      <c r="E167" s="2"/>
      <c r="F167" s="2"/>
      <c r="G167" s="2"/>
      <c r="H167" s="2"/>
      <c r="I167" s="2"/>
      <c r="J167" s="2"/>
      <c r="K167" s="128"/>
      <c r="L167" s="8"/>
      <c r="M167" s="13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128"/>
      <c r="D168" s="2"/>
      <c r="E168" s="2"/>
      <c r="F168" s="2"/>
      <c r="G168" s="2"/>
      <c r="H168" s="2"/>
      <c r="I168" s="2"/>
      <c r="J168" s="2"/>
      <c r="K168" s="128"/>
      <c r="L168" s="8"/>
      <c r="M168" s="13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128"/>
      <c r="D169" s="2"/>
      <c r="E169" s="2"/>
      <c r="F169" s="2"/>
      <c r="G169" s="2"/>
      <c r="H169" s="2"/>
      <c r="I169" s="2"/>
      <c r="J169" s="2"/>
      <c r="K169" s="128"/>
      <c r="L169" s="8"/>
      <c r="M169" s="13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128"/>
      <c r="D170" s="2"/>
      <c r="E170" s="2"/>
      <c r="F170" s="2"/>
      <c r="G170" s="2"/>
      <c r="H170" s="2"/>
      <c r="I170" s="2"/>
      <c r="J170" s="2"/>
      <c r="K170" s="128"/>
      <c r="L170" s="8"/>
      <c r="M170" s="13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128"/>
      <c r="D171" s="2"/>
      <c r="E171" s="2"/>
      <c r="F171" s="2"/>
      <c r="G171" s="2"/>
      <c r="H171" s="2"/>
      <c r="I171" s="2"/>
      <c r="J171" s="2"/>
      <c r="K171" s="128"/>
      <c r="L171" s="8"/>
      <c r="M171" s="13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128"/>
      <c r="D172" s="2"/>
      <c r="E172" s="2"/>
      <c r="F172" s="2"/>
      <c r="G172" s="2"/>
      <c r="H172" s="2"/>
      <c r="I172" s="2"/>
      <c r="J172" s="2"/>
      <c r="K172" s="128"/>
      <c r="L172" s="8"/>
      <c r="M172" s="13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128"/>
      <c r="D173" s="2"/>
      <c r="E173" s="2"/>
      <c r="F173" s="2"/>
      <c r="G173" s="2"/>
      <c r="H173" s="2"/>
      <c r="I173" s="2"/>
      <c r="J173" s="2"/>
      <c r="K173" s="128"/>
      <c r="L173" s="8"/>
      <c r="M173" s="13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128"/>
      <c r="D174" s="2"/>
      <c r="E174" s="2"/>
      <c r="F174" s="2"/>
      <c r="G174" s="2"/>
      <c r="H174" s="2"/>
      <c r="I174" s="2"/>
      <c r="J174" s="2"/>
      <c r="K174" s="128"/>
      <c r="L174" s="8"/>
      <c r="M174" s="13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128"/>
      <c r="D175" s="2"/>
      <c r="E175" s="2"/>
      <c r="F175" s="2"/>
      <c r="G175" s="2"/>
      <c r="H175" s="2"/>
      <c r="I175" s="2"/>
      <c r="J175" s="2"/>
      <c r="K175" s="128"/>
      <c r="L175" s="8"/>
      <c r="M175" s="13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128"/>
      <c r="D176" s="2"/>
      <c r="E176" s="2"/>
      <c r="F176" s="2"/>
      <c r="G176" s="2"/>
      <c r="H176" s="2"/>
      <c r="I176" s="2"/>
      <c r="J176" s="2"/>
      <c r="K176" s="128"/>
      <c r="L176" s="8"/>
      <c r="M176" s="13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128"/>
      <c r="D177" s="2"/>
      <c r="E177" s="2"/>
      <c r="F177" s="2"/>
      <c r="G177" s="2"/>
      <c r="H177" s="2"/>
      <c r="I177" s="2"/>
      <c r="J177" s="2"/>
      <c r="K177" s="128"/>
      <c r="L177" s="8"/>
      <c r="M177" s="13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128"/>
      <c r="D178" s="2"/>
      <c r="E178" s="2"/>
      <c r="F178" s="2"/>
      <c r="G178" s="2"/>
      <c r="H178" s="2"/>
      <c r="I178" s="2"/>
      <c r="J178" s="2"/>
      <c r="K178" s="128"/>
      <c r="L178" s="8"/>
      <c r="M178" s="13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128"/>
      <c r="D179" s="2"/>
      <c r="E179" s="2"/>
      <c r="F179" s="2"/>
      <c r="G179" s="2"/>
      <c r="H179" s="2"/>
      <c r="I179" s="2"/>
      <c r="J179" s="2"/>
      <c r="K179" s="128"/>
      <c r="L179" s="8"/>
      <c r="M179" s="13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128"/>
      <c r="D180" s="2"/>
      <c r="E180" s="2"/>
      <c r="F180" s="2"/>
      <c r="G180" s="2"/>
      <c r="H180" s="2"/>
      <c r="I180" s="2"/>
      <c r="J180" s="2"/>
      <c r="K180" s="128"/>
      <c r="L180" s="8"/>
      <c r="M180" s="13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128"/>
      <c r="D181" s="2"/>
      <c r="E181" s="2"/>
      <c r="F181" s="2"/>
      <c r="G181" s="2"/>
      <c r="H181" s="2"/>
      <c r="I181" s="2"/>
      <c r="J181" s="2"/>
      <c r="K181" s="128"/>
      <c r="L181" s="8"/>
      <c r="M181" s="13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128"/>
      <c r="D182" s="2"/>
      <c r="E182" s="2"/>
      <c r="F182" s="2"/>
      <c r="G182" s="2"/>
      <c r="H182" s="2"/>
      <c r="I182" s="2"/>
      <c r="J182" s="2"/>
      <c r="K182" s="128"/>
      <c r="L182" s="8"/>
      <c r="M182" s="13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128"/>
      <c r="D183" s="2"/>
      <c r="E183" s="2"/>
      <c r="F183" s="2"/>
      <c r="G183" s="2"/>
      <c r="H183" s="2"/>
      <c r="I183" s="2"/>
      <c r="J183" s="2"/>
      <c r="K183" s="128"/>
      <c r="L183" s="8"/>
      <c r="M183" s="13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128"/>
      <c r="D184" s="2"/>
      <c r="E184" s="2"/>
      <c r="F184" s="2"/>
      <c r="G184" s="2"/>
      <c r="H184" s="2"/>
      <c r="I184" s="2"/>
      <c r="J184" s="2"/>
      <c r="K184" s="128"/>
      <c r="L184" s="8"/>
      <c r="M184" s="13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128"/>
      <c r="D185" s="2"/>
      <c r="E185" s="2"/>
      <c r="F185" s="2"/>
      <c r="G185" s="2"/>
      <c r="H185" s="2"/>
      <c r="I185" s="2"/>
      <c r="J185" s="2"/>
      <c r="K185" s="128"/>
      <c r="L185" s="8"/>
      <c r="M185" s="13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128"/>
      <c r="D186" s="2"/>
      <c r="E186" s="2"/>
      <c r="F186" s="2"/>
      <c r="G186" s="2"/>
      <c r="H186" s="2"/>
      <c r="I186" s="2"/>
      <c r="J186" s="2"/>
      <c r="K186" s="128"/>
      <c r="L186" s="8"/>
      <c r="M186" s="13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128"/>
      <c r="D187" s="2"/>
      <c r="E187" s="2"/>
      <c r="F187" s="2"/>
      <c r="G187" s="2"/>
      <c r="H187" s="2"/>
      <c r="I187" s="2"/>
      <c r="J187" s="2"/>
      <c r="K187" s="128"/>
      <c r="L187" s="8"/>
      <c r="M187" s="13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128"/>
      <c r="D188" s="2"/>
      <c r="E188" s="2"/>
      <c r="F188" s="2"/>
      <c r="G188" s="2"/>
      <c r="H188" s="2"/>
      <c r="I188" s="2"/>
      <c r="J188" s="2"/>
      <c r="K188" s="128"/>
      <c r="L188" s="8"/>
      <c r="M188" s="13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128"/>
      <c r="D189" s="2"/>
      <c r="E189" s="2"/>
      <c r="F189" s="2"/>
      <c r="G189" s="2"/>
      <c r="H189" s="2"/>
      <c r="I189" s="2"/>
      <c r="J189" s="2"/>
      <c r="K189" s="128"/>
      <c r="L189" s="8"/>
      <c r="M189" s="13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128"/>
      <c r="D190" s="2"/>
      <c r="E190" s="2"/>
      <c r="F190" s="2"/>
      <c r="G190" s="2"/>
      <c r="H190" s="2"/>
      <c r="I190" s="2"/>
      <c r="J190" s="2"/>
      <c r="K190" s="128"/>
      <c r="L190" s="8"/>
      <c r="M190" s="13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128"/>
      <c r="D191" s="2"/>
      <c r="E191" s="2"/>
      <c r="F191" s="2"/>
      <c r="G191" s="2"/>
      <c r="H191" s="2"/>
      <c r="I191" s="2"/>
      <c r="J191" s="2"/>
      <c r="K191" s="128"/>
      <c r="L191" s="8"/>
      <c r="M191" s="13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128"/>
      <c r="D192" s="2"/>
      <c r="E192" s="2"/>
      <c r="F192" s="2"/>
      <c r="G192" s="2"/>
      <c r="H192" s="2"/>
      <c r="I192" s="2"/>
      <c r="J192" s="2"/>
      <c r="K192" s="128"/>
      <c r="L192" s="8"/>
      <c r="M192" s="13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128"/>
      <c r="D193" s="2"/>
      <c r="E193" s="2"/>
      <c r="F193" s="2"/>
      <c r="G193" s="2"/>
      <c r="H193" s="2"/>
      <c r="I193" s="2"/>
      <c r="J193" s="2"/>
      <c r="K193" s="128"/>
      <c r="L193" s="8"/>
      <c r="M193" s="13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128"/>
      <c r="D194" s="2"/>
      <c r="E194" s="2"/>
      <c r="F194" s="2"/>
      <c r="G194" s="2"/>
      <c r="H194" s="2"/>
      <c r="I194" s="2"/>
      <c r="J194" s="2"/>
      <c r="K194" s="128"/>
      <c r="L194" s="8"/>
      <c r="M194" s="13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128"/>
      <c r="D195" s="2"/>
      <c r="E195" s="2"/>
      <c r="F195" s="2"/>
      <c r="G195" s="2"/>
      <c r="H195" s="2"/>
      <c r="I195" s="2"/>
      <c r="J195" s="2"/>
      <c r="K195" s="128"/>
      <c r="L195" s="8"/>
      <c r="M195" s="13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128"/>
      <c r="D196" s="2"/>
      <c r="E196" s="2"/>
      <c r="F196" s="2"/>
      <c r="G196" s="2"/>
      <c r="H196" s="2"/>
      <c r="I196" s="2"/>
      <c r="J196" s="2"/>
      <c r="K196" s="128"/>
      <c r="L196" s="8"/>
      <c r="M196" s="13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128"/>
      <c r="D197" s="2"/>
      <c r="E197" s="2"/>
      <c r="F197" s="2"/>
      <c r="G197" s="2"/>
      <c r="H197" s="2"/>
      <c r="I197" s="2"/>
      <c r="J197" s="2"/>
      <c r="K197" s="128"/>
      <c r="L197" s="8"/>
      <c r="M197" s="13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128"/>
      <c r="D198" s="2"/>
      <c r="E198" s="2"/>
      <c r="F198" s="2"/>
      <c r="G198" s="2"/>
      <c r="H198" s="2"/>
      <c r="I198" s="2"/>
      <c r="J198" s="2"/>
      <c r="K198" s="128"/>
      <c r="L198" s="8"/>
      <c r="M198" s="13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128"/>
      <c r="D199" s="2"/>
      <c r="E199" s="2"/>
      <c r="F199" s="2"/>
      <c r="G199" s="2"/>
      <c r="H199" s="2"/>
      <c r="I199" s="2"/>
      <c r="J199" s="2"/>
      <c r="K199" s="128"/>
      <c r="L199" s="8"/>
      <c r="M199" s="13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128"/>
      <c r="D200" s="2"/>
      <c r="E200" s="2"/>
      <c r="F200" s="2"/>
      <c r="G200" s="2"/>
      <c r="H200" s="2"/>
      <c r="I200" s="2"/>
      <c r="J200" s="2"/>
      <c r="K200" s="128"/>
      <c r="L200" s="8"/>
      <c r="M200" s="13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128"/>
      <c r="D201" s="2"/>
      <c r="E201" s="2"/>
      <c r="F201" s="2"/>
      <c r="G201" s="2"/>
      <c r="H201" s="2"/>
      <c r="I201" s="2"/>
      <c r="J201" s="2"/>
      <c r="K201" s="128"/>
      <c r="L201" s="8"/>
      <c r="M201" s="13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128"/>
      <c r="D202" s="2"/>
      <c r="E202" s="2"/>
      <c r="F202" s="2"/>
      <c r="G202" s="2"/>
      <c r="H202" s="2"/>
      <c r="I202" s="2"/>
      <c r="J202" s="2"/>
      <c r="K202" s="128"/>
      <c r="L202" s="8"/>
      <c r="M202" s="13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128"/>
      <c r="D203" s="2"/>
      <c r="E203" s="2"/>
      <c r="F203" s="2"/>
      <c r="G203" s="2"/>
      <c r="H203" s="2"/>
      <c r="I203" s="2"/>
      <c r="J203" s="2"/>
      <c r="K203" s="128"/>
      <c r="L203" s="8"/>
      <c r="M203" s="13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128"/>
      <c r="D204" s="2"/>
      <c r="E204" s="2"/>
      <c r="F204" s="2"/>
      <c r="G204" s="2"/>
      <c r="H204" s="2"/>
      <c r="I204" s="2"/>
      <c r="J204" s="2"/>
      <c r="K204" s="128"/>
      <c r="L204" s="8"/>
      <c r="M204" s="13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128"/>
      <c r="D205" s="2"/>
      <c r="E205" s="2"/>
      <c r="F205" s="2"/>
      <c r="G205" s="2"/>
      <c r="H205" s="2"/>
      <c r="I205" s="2"/>
      <c r="J205" s="2"/>
      <c r="K205" s="128"/>
      <c r="L205" s="8"/>
      <c r="M205" s="13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128"/>
      <c r="D206" s="2"/>
      <c r="E206" s="2"/>
      <c r="F206" s="2"/>
      <c r="G206" s="2"/>
      <c r="H206" s="2"/>
      <c r="I206" s="2"/>
      <c r="J206" s="2"/>
      <c r="K206" s="128"/>
      <c r="L206" s="8"/>
      <c r="M206" s="13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128"/>
      <c r="D207" s="2"/>
      <c r="E207" s="2"/>
      <c r="F207" s="2"/>
      <c r="G207" s="2"/>
      <c r="H207" s="2"/>
      <c r="I207" s="2"/>
      <c r="J207" s="2"/>
      <c r="K207" s="128"/>
      <c r="L207" s="8"/>
      <c r="M207" s="13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128"/>
      <c r="D208" s="2"/>
      <c r="E208" s="2"/>
      <c r="F208" s="2"/>
      <c r="G208" s="2"/>
      <c r="H208" s="2"/>
      <c r="I208" s="2"/>
      <c r="J208" s="2"/>
      <c r="K208" s="128"/>
      <c r="L208" s="8"/>
      <c r="M208" s="13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128"/>
      <c r="D209" s="2"/>
      <c r="E209" s="2"/>
      <c r="F209" s="2"/>
      <c r="G209" s="2"/>
      <c r="H209" s="2"/>
      <c r="I209" s="2"/>
      <c r="J209" s="2"/>
      <c r="K209" s="128"/>
      <c r="L209" s="8"/>
      <c r="M209" s="13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128"/>
      <c r="D210" s="2"/>
      <c r="E210" s="2"/>
      <c r="F210" s="2"/>
      <c r="G210" s="2"/>
      <c r="H210" s="2"/>
      <c r="I210" s="2"/>
      <c r="J210" s="2"/>
      <c r="K210" s="128"/>
      <c r="L210" s="8"/>
      <c r="M210" s="13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128"/>
      <c r="D211" s="2"/>
      <c r="E211" s="2"/>
      <c r="F211" s="2"/>
      <c r="G211" s="2"/>
      <c r="H211" s="2"/>
      <c r="I211" s="2"/>
      <c r="J211" s="2"/>
      <c r="K211" s="128"/>
      <c r="L211" s="8"/>
      <c r="M211" s="13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128"/>
      <c r="D212" s="2"/>
      <c r="E212" s="2"/>
      <c r="F212" s="2"/>
      <c r="G212" s="2"/>
      <c r="H212" s="2"/>
      <c r="I212" s="2"/>
      <c r="J212" s="2"/>
      <c r="K212" s="128"/>
      <c r="L212" s="8"/>
      <c r="M212" s="13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128"/>
      <c r="D213" s="2"/>
      <c r="E213" s="2"/>
      <c r="F213" s="2"/>
      <c r="G213" s="2"/>
      <c r="H213" s="2"/>
      <c r="I213" s="2"/>
      <c r="J213" s="2"/>
      <c r="K213" s="128"/>
      <c r="L213" s="8"/>
      <c r="M213" s="13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128"/>
      <c r="D214" s="2"/>
      <c r="E214" s="2"/>
      <c r="F214" s="2"/>
      <c r="G214" s="2"/>
      <c r="H214" s="2"/>
      <c r="I214" s="2"/>
      <c r="J214" s="2"/>
      <c r="K214" s="128"/>
      <c r="L214" s="8"/>
      <c r="M214" s="13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128"/>
      <c r="D215" s="2"/>
      <c r="E215" s="2"/>
      <c r="F215" s="2"/>
      <c r="G215" s="2"/>
      <c r="H215" s="2"/>
      <c r="I215" s="2"/>
      <c r="J215" s="2"/>
      <c r="K215" s="128"/>
      <c r="L215" s="8"/>
      <c r="M215" s="13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128"/>
      <c r="D216" s="2"/>
      <c r="E216" s="2"/>
      <c r="F216" s="2"/>
      <c r="G216" s="2"/>
      <c r="H216" s="2"/>
      <c r="I216" s="2"/>
      <c r="J216" s="2"/>
      <c r="K216" s="128"/>
      <c r="L216" s="8"/>
      <c r="M216" s="13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128"/>
      <c r="D217" s="2"/>
      <c r="E217" s="2"/>
      <c r="F217" s="2"/>
      <c r="G217" s="2"/>
      <c r="H217" s="2"/>
      <c r="I217" s="2"/>
      <c r="J217" s="2"/>
      <c r="K217" s="128"/>
      <c r="L217" s="8"/>
      <c r="M217" s="13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128"/>
      <c r="D218" s="2"/>
      <c r="E218" s="2"/>
      <c r="F218" s="2"/>
      <c r="G218" s="2"/>
      <c r="H218" s="2"/>
      <c r="I218" s="2"/>
      <c r="J218" s="2"/>
      <c r="K218" s="128"/>
      <c r="L218" s="8"/>
      <c r="M218" s="13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128"/>
      <c r="D219" s="2"/>
      <c r="E219" s="2"/>
      <c r="F219" s="2"/>
      <c r="G219" s="2"/>
      <c r="H219" s="2"/>
      <c r="I219" s="2"/>
      <c r="J219" s="2"/>
      <c r="K219" s="128"/>
      <c r="L219" s="8"/>
      <c r="M219" s="13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128"/>
      <c r="D220" s="2"/>
      <c r="E220" s="2"/>
      <c r="F220" s="2"/>
      <c r="G220" s="2"/>
      <c r="H220" s="2"/>
      <c r="I220" s="2"/>
      <c r="J220" s="2"/>
      <c r="K220" s="128"/>
      <c r="L220" s="8"/>
      <c r="M220" s="13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128"/>
      <c r="D221" s="2"/>
      <c r="E221" s="2"/>
      <c r="F221" s="2"/>
      <c r="G221" s="2"/>
      <c r="H221" s="2"/>
      <c r="I221" s="2"/>
      <c r="J221" s="2"/>
      <c r="K221" s="128"/>
      <c r="L221" s="8"/>
      <c r="M221" s="13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128"/>
      <c r="D222" s="2"/>
      <c r="E222" s="2"/>
      <c r="F222" s="2"/>
      <c r="G222" s="2"/>
      <c r="H222" s="2"/>
      <c r="I222" s="2"/>
      <c r="J222" s="2"/>
      <c r="K222" s="128"/>
      <c r="L222" s="8"/>
      <c r="M222" s="13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128"/>
      <c r="D223" s="2"/>
      <c r="E223" s="2"/>
      <c r="F223" s="2"/>
      <c r="G223" s="2"/>
      <c r="H223" s="2"/>
      <c r="I223" s="2"/>
      <c r="J223" s="2"/>
      <c r="K223" s="128"/>
      <c r="L223" s="8"/>
      <c r="M223" s="13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128"/>
      <c r="D224" s="2"/>
      <c r="E224" s="2"/>
      <c r="F224" s="2"/>
      <c r="G224" s="2"/>
      <c r="H224" s="2"/>
      <c r="I224" s="2"/>
      <c r="J224" s="2"/>
      <c r="K224" s="128"/>
      <c r="L224" s="8"/>
      <c r="M224" s="13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128"/>
      <c r="D225" s="2"/>
      <c r="E225" s="2"/>
      <c r="F225" s="2"/>
      <c r="G225" s="2"/>
      <c r="H225" s="2"/>
      <c r="I225" s="2"/>
      <c r="J225" s="2"/>
      <c r="K225" s="128"/>
      <c r="L225" s="8"/>
      <c r="M225" s="13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128"/>
      <c r="D226" s="2"/>
      <c r="E226" s="2"/>
      <c r="F226" s="2"/>
      <c r="G226" s="2"/>
      <c r="H226" s="2"/>
      <c r="I226" s="2"/>
      <c r="J226" s="2"/>
      <c r="K226" s="128"/>
      <c r="L226" s="8"/>
      <c r="M226" s="13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128"/>
      <c r="D227" s="2"/>
      <c r="E227" s="2"/>
      <c r="F227" s="2"/>
      <c r="G227" s="2"/>
      <c r="H227" s="2"/>
      <c r="I227" s="2"/>
      <c r="J227" s="2"/>
      <c r="K227" s="128"/>
      <c r="L227" s="8"/>
      <c r="M227" s="13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128"/>
      <c r="D228" s="2"/>
      <c r="E228" s="2"/>
      <c r="F228" s="2"/>
      <c r="G228" s="2"/>
      <c r="H228" s="2"/>
      <c r="I228" s="2"/>
      <c r="J228" s="2"/>
      <c r="K228" s="128"/>
      <c r="L228" s="8"/>
      <c r="M228" s="130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128"/>
      <c r="D229" s="2"/>
      <c r="E229" s="2"/>
      <c r="F229" s="2"/>
      <c r="G229" s="2"/>
      <c r="H229" s="2"/>
      <c r="I229" s="2"/>
      <c r="J229" s="2"/>
      <c r="K229" s="128"/>
      <c r="L229" s="8"/>
      <c r="M229" s="130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128"/>
      <c r="D230" s="2"/>
      <c r="E230" s="2"/>
      <c r="F230" s="2"/>
      <c r="G230" s="2"/>
      <c r="H230" s="2"/>
      <c r="I230" s="2"/>
      <c r="J230" s="2"/>
      <c r="K230" s="128"/>
      <c r="L230" s="8"/>
      <c r="M230" s="130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128"/>
      <c r="D231" s="2"/>
      <c r="E231" s="2"/>
      <c r="F231" s="2"/>
      <c r="G231" s="2"/>
      <c r="H231" s="2"/>
      <c r="I231" s="2"/>
      <c r="J231" s="2"/>
      <c r="K231" s="128"/>
      <c r="L231" s="8"/>
      <c r="M231" s="130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128"/>
      <c r="D232" s="2"/>
      <c r="E232" s="2"/>
      <c r="F232" s="2"/>
      <c r="G232" s="2"/>
      <c r="H232" s="2"/>
      <c r="I232" s="2"/>
      <c r="J232" s="2"/>
      <c r="K232" s="128"/>
      <c r="L232" s="8"/>
      <c r="M232" s="130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128"/>
      <c r="D233" s="2"/>
      <c r="E233" s="2"/>
      <c r="F233" s="2"/>
      <c r="G233" s="2"/>
      <c r="H233" s="2"/>
      <c r="I233" s="2"/>
      <c r="J233" s="2"/>
      <c r="K233" s="128"/>
      <c r="L233" s="8"/>
      <c r="M233" s="130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128"/>
      <c r="D234" s="2"/>
      <c r="E234" s="2"/>
      <c r="F234" s="2"/>
      <c r="G234" s="2"/>
      <c r="H234" s="2"/>
      <c r="I234" s="2"/>
      <c r="J234" s="2"/>
      <c r="K234" s="128"/>
      <c r="L234" s="8"/>
      <c r="M234" s="130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128"/>
      <c r="D235" s="2"/>
      <c r="E235" s="2"/>
      <c r="F235" s="2"/>
      <c r="G235" s="2"/>
      <c r="H235" s="2"/>
      <c r="I235" s="2"/>
      <c r="J235" s="2"/>
      <c r="K235" s="128"/>
      <c r="L235" s="8"/>
      <c r="M235" s="130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128"/>
      <c r="D236" s="2"/>
      <c r="E236" s="2"/>
      <c r="F236" s="2"/>
      <c r="G236" s="2"/>
      <c r="H236" s="2"/>
      <c r="I236" s="2"/>
      <c r="J236" s="2"/>
      <c r="K236" s="128"/>
      <c r="L236" s="8"/>
      <c r="M236" s="130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128"/>
      <c r="D237" s="2"/>
      <c r="E237" s="2"/>
      <c r="F237" s="2"/>
      <c r="G237" s="2"/>
      <c r="H237" s="2"/>
      <c r="I237" s="2"/>
      <c r="J237" s="2"/>
      <c r="K237" s="128"/>
      <c r="L237" s="8"/>
      <c r="M237" s="130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128"/>
      <c r="D238" s="2"/>
      <c r="E238" s="2"/>
      <c r="F238" s="2"/>
      <c r="G238" s="2"/>
      <c r="H238" s="2"/>
      <c r="I238" s="2"/>
      <c r="J238" s="2"/>
      <c r="K238" s="128"/>
      <c r="L238" s="8"/>
      <c r="M238" s="130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128"/>
      <c r="D239" s="2"/>
      <c r="E239" s="2"/>
      <c r="F239" s="2"/>
      <c r="G239" s="2"/>
      <c r="H239" s="2"/>
      <c r="I239" s="2"/>
      <c r="J239" s="2"/>
      <c r="K239" s="128"/>
      <c r="L239" s="8"/>
      <c r="M239" s="130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128"/>
      <c r="D240" s="2"/>
      <c r="E240" s="2"/>
      <c r="F240" s="2"/>
      <c r="G240" s="2"/>
      <c r="H240" s="2"/>
      <c r="I240" s="2"/>
      <c r="J240" s="2"/>
      <c r="K240" s="128"/>
      <c r="L240" s="8"/>
      <c r="M240" s="130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128"/>
      <c r="D241" s="2"/>
      <c r="E241" s="2"/>
      <c r="F241" s="2"/>
      <c r="G241" s="2"/>
      <c r="H241" s="2"/>
      <c r="I241" s="2"/>
      <c r="J241" s="2"/>
      <c r="K241" s="128"/>
      <c r="L241" s="8"/>
      <c r="M241" s="130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128"/>
      <c r="D242" s="2"/>
      <c r="E242" s="2"/>
      <c r="F242" s="2"/>
      <c r="G242" s="2"/>
      <c r="H242" s="2"/>
      <c r="I242" s="2"/>
      <c r="J242" s="2"/>
      <c r="K242" s="128"/>
      <c r="L242" s="8"/>
      <c r="M242" s="130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128"/>
      <c r="D243" s="2"/>
      <c r="E243" s="2"/>
      <c r="F243" s="2"/>
      <c r="G243" s="2"/>
      <c r="H243" s="2"/>
      <c r="I243" s="2"/>
      <c r="J243" s="2"/>
      <c r="K243" s="128"/>
      <c r="L243" s="8"/>
      <c r="M243" s="130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128"/>
      <c r="D244" s="2"/>
      <c r="E244" s="2"/>
      <c r="F244" s="2"/>
      <c r="G244" s="2"/>
      <c r="H244" s="2"/>
      <c r="I244" s="2"/>
      <c r="J244" s="2"/>
      <c r="K244" s="128"/>
      <c r="L244" s="8"/>
      <c r="M244" s="130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128"/>
      <c r="D245" s="2"/>
      <c r="E245" s="2"/>
      <c r="F245" s="2"/>
      <c r="G245" s="2"/>
      <c r="H245" s="2"/>
      <c r="I245" s="2"/>
      <c r="J245" s="2"/>
      <c r="K245" s="128"/>
      <c r="L245" s="8"/>
      <c r="M245" s="130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128"/>
      <c r="D246" s="2"/>
      <c r="E246" s="2"/>
      <c r="F246" s="2"/>
      <c r="G246" s="2"/>
      <c r="H246" s="2"/>
      <c r="I246" s="2"/>
      <c r="J246" s="2"/>
      <c r="K246" s="128"/>
      <c r="L246" s="8"/>
      <c r="M246" s="130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128"/>
      <c r="D247" s="2"/>
      <c r="E247" s="2"/>
      <c r="F247" s="2"/>
      <c r="G247" s="2"/>
      <c r="H247" s="2"/>
      <c r="I247" s="2"/>
      <c r="J247" s="2"/>
      <c r="K247" s="128"/>
      <c r="L247" s="8"/>
      <c r="M247" s="130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128"/>
      <c r="D248" s="2"/>
      <c r="E248" s="2"/>
      <c r="F248" s="2"/>
      <c r="G248" s="2"/>
      <c r="H248" s="2"/>
      <c r="I248" s="2"/>
      <c r="J248" s="2"/>
      <c r="K248" s="128"/>
      <c r="L248" s="8"/>
      <c r="M248" s="130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128"/>
      <c r="D249" s="2"/>
      <c r="E249" s="2"/>
      <c r="F249" s="2"/>
      <c r="G249" s="2"/>
      <c r="H249" s="2"/>
      <c r="I249" s="2"/>
      <c r="J249" s="2"/>
      <c r="K249" s="128"/>
      <c r="L249" s="8"/>
      <c r="M249" s="130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128"/>
      <c r="D250" s="2"/>
      <c r="E250" s="2"/>
      <c r="F250" s="2"/>
      <c r="G250" s="2"/>
      <c r="H250" s="2"/>
      <c r="I250" s="2"/>
      <c r="J250" s="2"/>
      <c r="K250" s="128"/>
      <c r="L250" s="8"/>
      <c r="M250" s="130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128"/>
      <c r="D251" s="2"/>
      <c r="E251" s="2"/>
      <c r="F251" s="2"/>
      <c r="G251" s="2"/>
      <c r="H251" s="2"/>
      <c r="I251" s="2"/>
      <c r="J251" s="2"/>
      <c r="K251" s="128"/>
      <c r="L251" s="8"/>
      <c r="M251" s="130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128"/>
      <c r="D252" s="2"/>
      <c r="E252" s="2"/>
      <c r="F252" s="2"/>
      <c r="G252" s="2"/>
      <c r="H252" s="2"/>
      <c r="I252" s="2"/>
      <c r="J252" s="2"/>
      <c r="K252" s="128"/>
      <c r="L252" s="8"/>
      <c r="M252" s="130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128"/>
      <c r="D253" s="2"/>
      <c r="E253" s="2"/>
      <c r="F253" s="2"/>
      <c r="G253" s="2"/>
      <c r="H253" s="2"/>
      <c r="I253" s="2"/>
      <c r="J253" s="2"/>
      <c r="K253" s="128"/>
      <c r="L253" s="8"/>
      <c r="M253" s="130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128"/>
      <c r="D254" s="2"/>
      <c r="E254" s="2"/>
      <c r="F254" s="2"/>
      <c r="G254" s="2"/>
      <c r="H254" s="2"/>
      <c r="I254" s="2"/>
      <c r="J254" s="2"/>
      <c r="K254" s="128"/>
      <c r="L254" s="8"/>
      <c r="M254" s="130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128"/>
      <c r="D255" s="2"/>
      <c r="E255" s="2"/>
      <c r="F255" s="2"/>
      <c r="G255" s="2"/>
      <c r="H255" s="2"/>
      <c r="I255" s="2"/>
      <c r="J255" s="2"/>
      <c r="K255" s="128"/>
      <c r="L255" s="8"/>
      <c r="M255" s="130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128"/>
      <c r="D256" s="2"/>
      <c r="E256" s="2"/>
      <c r="F256" s="2"/>
      <c r="G256" s="2"/>
      <c r="H256" s="2"/>
      <c r="I256" s="2"/>
      <c r="J256" s="2"/>
      <c r="K256" s="128"/>
      <c r="L256" s="8"/>
      <c r="M256" s="130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128"/>
      <c r="D257" s="2"/>
      <c r="E257" s="2"/>
      <c r="F257" s="2"/>
      <c r="G257" s="2"/>
      <c r="H257" s="2"/>
      <c r="I257" s="2"/>
      <c r="J257" s="2"/>
      <c r="K257" s="128"/>
      <c r="L257" s="8"/>
      <c r="M257" s="130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128"/>
      <c r="D258" s="2"/>
      <c r="E258" s="2"/>
      <c r="F258" s="2"/>
      <c r="G258" s="2"/>
      <c r="H258" s="2"/>
      <c r="I258" s="2"/>
      <c r="J258" s="2"/>
      <c r="K258" s="128"/>
      <c r="L258" s="8"/>
      <c r="M258" s="130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128"/>
      <c r="D259" s="2"/>
      <c r="E259" s="2"/>
      <c r="F259" s="2"/>
      <c r="G259" s="2"/>
      <c r="H259" s="2"/>
      <c r="I259" s="2"/>
      <c r="J259" s="2"/>
      <c r="K259" s="128"/>
      <c r="L259" s="8"/>
      <c r="M259" s="130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128"/>
      <c r="D260" s="2"/>
      <c r="E260" s="2"/>
      <c r="F260" s="2"/>
      <c r="G260" s="2"/>
      <c r="H260" s="2"/>
      <c r="I260" s="2"/>
      <c r="J260" s="2"/>
      <c r="K260" s="128"/>
      <c r="L260" s="8"/>
      <c r="M260" s="130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128"/>
      <c r="D261" s="2"/>
      <c r="E261" s="2"/>
      <c r="F261" s="2"/>
      <c r="G261" s="2"/>
      <c r="H261" s="2"/>
      <c r="I261" s="2"/>
      <c r="J261" s="2"/>
      <c r="K261" s="128"/>
      <c r="L261" s="8"/>
      <c r="M261" s="130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128"/>
      <c r="D262" s="2"/>
      <c r="E262" s="2"/>
      <c r="F262" s="2"/>
      <c r="G262" s="2"/>
      <c r="H262" s="2"/>
      <c r="I262" s="2"/>
      <c r="J262" s="2"/>
      <c r="K262" s="128"/>
      <c r="L262" s="8"/>
      <c r="M262" s="130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128"/>
      <c r="D263" s="2"/>
      <c r="E263" s="2"/>
      <c r="F263" s="2"/>
      <c r="G263" s="2"/>
      <c r="H263" s="2"/>
      <c r="I263" s="2"/>
      <c r="J263" s="2"/>
      <c r="K263" s="128"/>
      <c r="L263" s="8"/>
      <c r="M263" s="130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128"/>
      <c r="D264" s="2"/>
      <c r="E264" s="2"/>
      <c r="F264" s="2"/>
      <c r="G264" s="2"/>
      <c r="H264" s="2"/>
      <c r="I264" s="2"/>
      <c r="J264" s="2"/>
      <c r="K264" s="128"/>
      <c r="L264" s="8"/>
      <c r="M264" s="130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128"/>
      <c r="D265" s="2"/>
      <c r="E265" s="2"/>
      <c r="F265" s="2"/>
      <c r="G265" s="2"/>
      <c r="H265" s="2"/>
      <c r="I265" s="2"/>
      <c r="J265" s="2"/>
      <c r="K265" s="128"/>
      <c r="L265" s="8"/>
      <c r="M265" s="130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128"/>
      <c r="D266" s="2"/>
      <c r="E266" s="2"/>
      <c r="F266" s="2"/>
      <c r="G266" s="2"/>
      <c r="H266" s="2"/>
      <c r="I266" s="2"/>
      <c r="J266" s="2"/>
      <c r="K266" s="128"/>
      <c r="L266" s="8"/>
      <c r="M266" s="130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128"/>
      <c r="D267" s="2"/>
      <c r="E267" s="2"/>
      <c r="F267" s="2"/>
      <c r="G267" s="2"/>
      <c r="H267" s="2"/>
      <c r="I267" s="2"/>
      <c r="J267" s="2"/>
      <c r="K267" s="128"/>
      <c r="L267" s="8"/>
      <c r="M267" s="130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128"/>
      <c r="D268" s="2"/>
      <c r="E268" s="2"/>
      <c r="F268" s="2"/>
      <c r="G268" s="2"/>
      <c r="H268" s="2"/>
      <c r="I268" s="2"/>
      <c r="J268" s="2"/>
      <c r="K268" s="128"/>
      <c r="L268" s="8"/>
      <c r="M268" s="130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128"/>
      <c r="D269" s="2"/>
      <c r="E269" s="2"/>
      <c r="F269" s="2"/>
      <c r="G269" s="2"/>
      <c r="H269" s="2"/>
      <c r="I269" s="2"/>
      <c r="J269" s="2"/>
      <c r="K269" s="128"/>
      <c r="L269" s="8"/>
      <c r="M269" s="130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128"/>
      <c r="D270" s="2"/>
      <c r="E270" s="2"/>
      <c r="F270" s="2"/>
      <c r="G270" s="2"/>
      <c r="H270" s="2"/>
      <c r="I270" s="2"/>
      <c r="J270" s="2"/>
      <c r="K270" s="128"/>
      <c r="L270" s="8"/>
      <c r="M270" s="130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128"/>
      <c r="D271" s="2"/>
      <c r="E271" s="2"/>
      <c r="F271" s="2"/>
      <c r="G271" s="2"/>
      <c r="H271" s="2"/>
      <c r="I271" s="2"/>
      <c r="J271" s="2"/>
      <c r="K271" s="128"/>
      <c r="L271" s="8"/>
      <c r="M271" s="130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128"/>
      <c r="D272" s="2"/>
      <c r="E272" s="2"/>
      <c r="F272" s="2"/>
      <c r="G272" s="2"/>
      <c r="H272" s="2"/>
      <c r="I272" s="2"/>
      <c r="J272" s="2"/>
      <c r="K272" s="128"/>
      <c r="L272" s="8"/>
      <c r="M272" s="130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128"/>
      <c r="D273" s="2"/>
      <c r="E273" s="2"/>
      <c r="F273" s="2"/>
      <c r="G273" s="2"/>
      <c r="H273" s="2"/>
      <c r="I273" s="2"/>
      <c r="J273" s="2"/>
      <c r="K273" s="128"/>
      <c r="L273" s="8"/>
      <c r="M273" s="130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128"/>
      <c r="D274" s="2"/>
      <c r="E274" s="2"/>
      <c r="F274" s="2"/>
      <c r="G274" s="2"/>
      <c r="H274" s="2"/>
      <c r="I274" s="2"/>
      <c r="J274" s="2"/>
      <c r="K274" s="128"/>
      <c r="L274" s="8"/>
      <c r="M274" s="130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128"/>
      <c r="D275" s="2"/>
      <c r="E275" s="2"/>
      <c r="F275" s="2"/>
      <c r="G275" s="2"/>
      <c r="H275" s="2"/>
      <c r="I275" s="2"/>
      <c r="J275" s="2"/>
      <c r="K275" s="128"/>
      <c r="L275" s="8"/>
      <c r="M275" s="130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128"/>
      <c r="D276" s="2"/>
      <c r="E276" s="2"/>
      <c r="F276" s="2"/>
      <c r="G276" s="2"/>
      <c r="H276" s="2"/>
      <c r="I276" s="2"/>
      <c r="J276" s="2"/>
      <c r="K276" s="128"/>
      <c r="L276" s="8"/>
      <c r="M276" s="130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128"/>
      <c r="D277" s="2"/>
      <c r="E277" s="2"/>
      <c r="F277" s="2"/>
      <c r="G277" s="2"/>
      <c r="H277" s="2"/>
      <c r="I277" s="2"/>
      <c r="J277" s="2"/>
      <c r="K277" s="128"/>
      <c r="L277" s="8"/>
      <c r="M277" s="130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128"/>
      <c r="D278" s="2"/>
      <c r="E278" s="2"/>
      <c r="F278" s="2"/>
      <c r="G278" s="2"/>
      <c r="H278" s="2"/>
      <c r="I278" s="2"/>
      <c r="J278" s="2"/>
      <c r="K278" s="128"/>
      <c r="L278" s="8"/>
      <c r="M278" s="130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128"/>
      <c r="D279" s="2"/>
      <c r="E279" s="2"/>
      <c r="F279" s="2"/>
      <c r="G279" s="2"/>
      <c r="H279" s="2"/>
      <c r="I279" s="2"/>
      <c r="J279" s="2"/>
      <c r="K279" s="128"/>
      <c r="L279" s="8"/>
      <c r="M279" s="130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128"/>
      <c r="D280" s="2"/>
      <c r="E280" s="2"/>
      <c r="F280" s="2"/>
      <c r="G280" s="2"/>
      <c r="H280" s="2"/>
      <c r="I280" s="2"/>
      <c r="J280" s="2"/>
      <c r="K280" s="128"/>
      <c r="L280" s="8"/>
      <c r="M280" s="130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128"/>
      <c r="D281" s="2"/>
      <c r="E281" s="2"/>
      <c r="F281" s="2"/>
      <c r="G281" s="2"/>
      <c r="H281" s="2"/>
      <c r="I281" s="2"/>
      <c r="J281" s="2"/>
      <c r="K281" s="128"/>
      <c r="L281" s="8"/>
      <c r="M281" s="130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128"/>
      <c r="D282" s="2"/>
      <c r="E282" s="2"/>
      <c r="F282" s="2"/>
      <c r="G282" s="2"/>
      <c r="H282" s="2"/>
      <c r="I282" s="2"/>
      <c r="J282" s="2"/>
      <c r="K282" s="128"/>
      <c r="L282" s="8"/>
      <c r="M282" s="130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128"/>
      <c r="D283" s="2"/>
      <c r="E283" s="2"/>
      <c r="F283" s="2"/>
      <c r="G283" s="2"/>
      <c r="H283" s="2"/>
      <c r="I283" s="2"/>
      <c r="J283" s="2"/>
      <c r="K283" s="128"/>
      <c r="L283" s="8"/>
      <c r="M283" s="130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128"/>
      <c r="D284" s="2"/>
      <c r="E284" s="2"/>
      <c r="F284" s="2"/>
      <c r="G284" s="2"/>
      <c r="H284" s="2"/>
      <c r="I284" s="2"/>
      <c r="J284" s="2"/>
      <c r="K284" s="128"/>
      <c r="L284" s="8"/>
      <c r="M284" s="130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128"/>
      <c r="D285" s="2"/>
      <c r="E285" s="2"/>
      <c r="F285" s="2"/>
      <c r="G285" s="2"/>
      <c r="H285" s="2"/>
      <c r="I285" s="2"/>
      <c r="J285" s="2"/>
      <c r="K285" s="128"/>
      <c r="L285" s="8"/>
      <c r="M285" s="130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128"/>
      <c r="D286" s="2"/>
      <c r="E286" s="2"/>
      <c r="F286" s="2"/>
      <c r="G286" s="2"/>
      <c r="H286" s="2"/>
      <c r="I286" s="2"/>
      <c r="J286" s="2"/>
      <c r="K286" s="128"/>
      <c r="L286" s="8"/>
      <c r="M286" s="130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128"/>
      <c r="D287" s="2"/>
      <c r="E287" s="2"/>
      <c r="F287" s="2"/>
      <c r="G287" s="2"/>
      <c r="H287" s="2"/>
      <c r="I287" s="2"/>
      <c r="J287" s="2"/>
      <c r="K287" s="128"/>
      <c r="L287" s="8"/>
      <c r="M287" s="130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128"/>
      <c r="D288" s="2"/>
      <c r="E288" s="2"/>
      <c r="F288" s="2"/>
      <c r="G288" s="2"/>
      <c r="H288" s="2"/>
      <c r="I288" s="2"/>
      <c r="J288" s="2"/>
      <c r="K288" s="128"/>
      <c r="L288" s="8"/>
      <c r="M288" s="130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128"/>
      <c r="D289" s="2"/>
      <c r="E289" s="2"/>
      <c r="F289" s="2"/>
      <c r="G289" s="2"/>
      <c r="H289" s="2"/>
      <c r="I289" s="2"/>
      <c r="J289" s="2"/>
      <c r="K289" s="128"/>
      <c r="L289" s="8"/>
      <c r="M289" s="130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128"/>
      <c r="D290" s="2"/>
      <c r="E290" s="2"/>
      <c r="F290" s="2"/>
      <c r="G290" s="2"/>
      <c r="H290" s="2"/>
      <c r="I290" s="2"/>
      <c r="J290" s="2"/>
      <c r="K290" s="128"/>
      <c r="L290" s="8"/>
      <c r="M290" s="130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128"/>
      <c r="D291" s="2"/>
      <c r="E291" s="2"/>
      <c r="F291" s="2"/>
      <c r="G291" s="2"/>
      <c r="H291" s="2"/>
      <c r="I291" s="2"/>
      <c r="J291" s="2"/>
      <c r="K291" s="128"/>
      <c r="L291" s="8"/>
      <c r="M291" s="130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128"/>
      <c r="D292" s="2"/>
      <c r="E292" s="2"/>
      <c r="F292" s="2"/>
      <c r="G292" s="2"/>
      <c r="H292" s="2"/>
      <c r="I292" s="2"/>
      <c r="J292" s="2"/>
      <c r="K292" s="128"/>
      <c r="L292" s="8"/>
      <c r="M292" s="130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128"/>
      <c r="D293" s="2"/>
      <c r="E293" s="2"/>
      <c r="F293" s="2"/>
      <c r="G293" s="2"/>
      <c r="H293" s="2"/>
      <c r="I293" s="2"/>
      <c r="J293" s="2"/>
      <c r="K293" s="128"/>
      <c r="L293" s="8"/>
      <c r="M293" s="130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128"/>
      <c r="D294" s="2"/>
      <c r="E294" s="2"/>
      <c r="F294" s="2"/>
      <c r="G294" s="2"/>
      <c r="H294" s="2"/>
      <c r="I294" s="2"/>
      <c r="J294" s="2"/>
      <c r="K294" s="128"/>
      <c r="L294" s="8"/>
      <c r="M294" s="130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128"/>
      <c r="D295" s="2"/>
      <c r="E295" s="2"/>
      <c r="F295" s="2"/>
      <c r="G295" s="2"/>
      <c r="H295" s="2"/>
      <c r="I295" s="2"/>
      <c r="J295" s="2"/>
      <c r="K295" s="128"/>
      <c r="L295" s="8"/>
      <c r="M295" s="130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128"/>
      <c r="D296" s="2"/>
      <c r="E296" s="2"/>
      <c r="F296" s="2"/>
      <c r="G296" s="2"/>
      <c r="H296" s="2"/>
      <c r="I296" s="2"/>
      <c r="J296" s="2"/>
      <c r="K296" s="128"/>
      <c r="L296" s="8"/>
      <c r="M296" s="130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128"/>
      <c r="D297" s="2"/>
      <c r="E297" s="2"/>
      <c r="F297" s="2"/>
      <c r="G297" s="2"/>
      <c r="H297" s="2"/>
      <c r="I297" s="2"/>
      <c r="J297" s="2"/>
      <c r="K297" s="128"/>
      <c r="L297" s="8"/>
      <c r="M297" s="130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128"/>
      <c r="D298" s="2"/>
      <c r="E298" s="2"/>
      <c r="F298" s="2"/>
      <c r="G298" s="2"/>
      <c r="H298" s="2"/>
      <c r="I298" s="2"/>
      <c r="J298" s="2"/>
      <c r="K298" s="128"/>
      <c r="L298" s="8"/>
      <c r="M298" s="130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128"/>
      <c r="D299" s="2"/>
      <c r="E299" s="2"/>
      <c r="F299" s="2"/>
      <c r="G299" s="2"/>
      <c r="H299" s="2"/>
      <c r="I299" s="2"/>
      <c r="J299" s="2"/>
      <c r="K299" s="128"/>
      <c r="L299" s="8"/>
      <c r="M299" s="130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128"/>
      <c r="D300" s="2"/>
      <c r="E300" s="2"/>
      <c r="F300" s="2"/>
      <c r="G300" s="2"/>
      <c r="H300" s="2"/>
      <c r="I300" s="2"/>
      <c r="J300" s="2"/>
      <c r="K300" s="128"/>
      <c r="L300" s="8"/>
      <c r="M300" s="130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128"/>
      <c r="D301" s="2"/>
      <c r="E301" s="2"/>
      <c r="F301" s="2"/>
      <c r="G301" s="2"/>
      <c r="H301" s="2"/>
      <c r="I301" s="2"/>
      <c r="J301" s="2"/>
      <c r="K301" s="128"/>
      <c r="L301" s="8"/>
      <c r="M301" s="130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128"/>
      <c r="D302" s="2"/>
      <c r="E302" s="2"/>
      <c r="F302" s="2"/>
      <c r="G302" s="2"/>
      <c r="H302" s="2"/>
      <c r="I302" s="2"/>
      <c r="J302" s="2"/>
      <c r="K302" s="128"/>
      <c r="L302" s="8"/>
      <c r="M302" s="130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128"/>
      <c r="D303" s="2"/>
      <c r="E303" s="2"/>
      <c r="F303" s="2"/>
      <c r="G303" s="2"/>
      <c r="H303" s="2"/>
      <c r="I303" s="2"/>
      <c r="J303" s="2"/>
      <c r="K303" s="128"/>
      <c r="L303" s="8"/>
      <c r="M303" s="130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128"/>
      <c r="D304" s="2"/>
      <c r="E304" s="2"/>
      <c r="F304" s="2"/>
      <c r="G304" s="2"/>
      <c r="H304" s="2"/>
      <c r="I304" s="2"/>
      <c r="J304" s="2"/>
      <c r="K304" s="128"/>
      <c r="L304" s="8"/>
      <c r="M304" s="130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128"/>
      <c r="D305" s="2"/>
      <c r="E305" s="2"/>
      <c r="F305" s="2"/>
      <c r="G305" s="2"/>
      <c r="H305" s="2"/>
      <c r="I305" s="2"/>
      <c r="J305" s="2"/>
      <c r="K305" s="128"/>
      <c r="L305" s="8"/>
      <c r="M305" s="130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128"/>
      <c r="D306" s="2"/>
      <c r="E306" s="2"/>
      <c r="F306" s="2"/>
      <c r="G306" s="2"/>
      <c r="H306" s="2"/>
      <c r="I306" s="2"/>
      <c r="J306" s="2"/>
      <c r="K306" s="128"/>
      <c r="L306" s="8"/>
      <c r="M306" s="130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128"/>
      <c r="D307" s="2"/>
      <c r="E307" s="2"/>
      <c r="F307" s="2"/>
      <c r="G307" s="2"/>
      <c r="H307" s="2"/>
      <c r="I307" s="2"/>
      <c r="J307" s="2"/>
      <c r="K307" s="128"/>
      <c r="L307" s="8"/>
      <c r="M307" s="130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128"/>
      <c r="D308" s="2"/>
      <c r="E308" s="2"/>
      <c r="F308" s="2"/>
      <c r="G308" s="2"/>
      <c r="H308" s="2"/>
      <c r="I308" s="2"/>
      <c r="J308" s="2"/>
      <c r="K308" s="128"/>
      <c r="L308" s="8"/>
      <c r="M308" s="130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128"/>
      <c r="D309" s="2"/>
      <c r="E309" s="2"/>
      <c r="F309" s="2"/>
      <c r="G309" s="2"/>
      <c r="H309" s="2"/>
      <c r="I309" s="2"/>
      <c r="J309" s="2"/>
      <c r="K309" s="128"/>
      <c r="L309" s="8"/>
      <c r="M309" s="130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128"/>
      <c r="D310" s="2"/>
      <c r="E310" s="2"/>
      <c r="F310" s="2"/>
      <c r="G310" s="2"/>
      <c r="H310" s="2"/>
      <c r="I310" s="2"/>
      <c r="J310" s="2"/>
      <c r="K310" s="128"/>
      <c r="L310" s="8"/>
      <c r="M310" s="130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128"/>
      <c r="D311" s="2"/>
      <c r="E311" s="2"/>
      <c r="F311" s="2"/>
      <c r="G311" s="2"/>
      <c r="H311" s="2"/>
      <c r="I311" s="2"/>
      <c r="J311" s="2"/>
      <c r="K311" s="128"/>
      <c r="L311" s="8"/>
      <c r="M311" s="130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128"/>
      <c r="D312" s="2"/>
      <c r="E312" s="2"/>
      <c r="F312" s="2"/>
      <c r="G312" s="2"/>
      <c r="H312" s="2"/>
      <c r="I312" s="2"/>
      <c r="J312" s="2"/>
      <c r="K312" s="128"/>
      <c r="L312" s="8"/>
      <c r="M312" s="130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128"/>
      <c r="D313" s="2"/>
      <c r="E313" s="2"/>
      <c r="F313" s="2"/>
      <c r="G313" s="2"/>
      <c r="H313" s="2"/>
      <c r="I313" s="2"/>
      <c r="J313" s="2"/>
      <c r="K313" s="128"/>
      <c r="L313" s="8"/>
      <c r="M313" s="130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128"/>
      <c r="D314" s="2"/>
      <c r="E314" s="2"/>
      <c r="F314" s="2"/>
      <c r="G314" s="2"/>
      <c r="H314" s="2"/>
      <c r="I314" s="2"/>
      <c r="J314" s="2"/>
      <c r="K314" s="128"/>
      <c r="L314" s="8"/>
      <c r="M314" s="130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128"/>
      <c r="D315" s="2"/>
      <c r="E315" s="2"/>
      <c r="F315" s="2"/>
      <c r="G315" s="2"/>
      <c r="H315" s="2"/>
      <c r="I315" s="2"/>
      <c r="J315" s="2"/>
      <c r="K315" s="128"/>
      <c r="L315" s="8"/>
      <c r="M315" s="130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128"/>
      <c r="D316" s="2"/>
      <c r="E316" s="2"/>
      <c r="F316" s="2"/>
      <c r="G316" s="2"/>
      <c r="H316" s="2"/>
      <c r="I316" s="2"/>
      <c r="J316" s="2"/>
      <c r="K316" s="128"/>
      <c r="L316" s="8"/>
      <c r="M316" s="130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128"/>
      <c r="D317" s="2"/>
      <c r="E317" s="2"/>
      <c r="F317" s="2"/>
      <c r="G317" s="2"/>
      <c r="H317" s="2"/>
      <c r="I317" s="2"/>
      <c r="J317" s="2"/>
      <c r="K317" s="128"/>
      <c r="L317" s="8"/>
      <c r="M317" s="130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128"/>
      <c r="D318" s="2"/>
      <c r="E318" s="2"/>
      <c r="F318" s="2"/>
      <c r="G318" s="2"/>
      <c r="H318" s="2"/>
      <c r="I318" s="2"/>
      <c r="J318" s="2"/>
      <c r="K318" s="128"/>
      <c r="L318" s="8"/>
      <c r="M318" s="130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128"/>
      <c r="D319" s="2"/>
      <c r="E319" s="2"/>
      <c r="F319" s="2"/>
      <c r="G319" s="2"/>
      <c r="H319" s="2"/>
      <c r="I319" s="2"/>
      <c r="J319" s="2"/>
      <c r="K319" s="128"/>
      <c r="L319" s="8"/>
      <c r="M319" s="130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128"/>
      <c r="D320" s="2"/>
      <c r="E320" s="2"/>
      <c r="F320" s="2"/>
      <c r="G320" s="2"/>
      <c r="H320" s="2"/>
      <c r="I320" s="2"/>
      <c r="J320" s="2"/>
      <c r="K320" s="128"/>
      <c r="L320" s="8"/>
      <c r="M320" s="130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128"/>
      <c r="D321" s="2"/>
      <c r="E321" s="2"/>
      <c r="F321" s="2"/>
      <c r="G321" s="2"/>
      <c r="H321" s="2"/>
      <c r="I321" s="2"/>
      <c r="J321" s="2"/>
      <c r="K321" s="128"/>
      <c r="L321" s="8"/>
      <c r="M321" s="130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128"/>
      <c r="D322" s="2"/>
      <c r="E322" s="2"/>
      <c r="F322" s="2"/>
      <c r="G322" s="2"/>
      <c r="H322" s="2"/>
      <c r="I322" s="2"/>
      <c r="J322" s="2"/>
      <c r="K322" s="128"/>
      <c r="L322" s="8"/>
      <c r="M322" s="130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128"/>
      <c r="D323" s="2"/>
      <c r="E323" s="2"/>
      <c r="F323" s="2"/>
      <c r="G323" s="2"/>
      <c r="H323" s="2"/>
      <c r="I323" s="2"/>
      <c r="J323" s="2"/>
      <c r="K323" s="128"/>
      <c r="L323" s="8"/>
      <c r="M323" s="130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128"/>
      <c r="D324" s="2"/>
      <c r="E324" s="2"/>
      <c r="F324" s="2"/>
      <c r="G324" s="2"/>
      <c r="H324" s="2"/>
      <c r="I324" s="2"/>
      <c r="J324" s="2"/>
      <c r="K324" s="128"/>
      <c r="L324" s="8"/>
      <c r="M324" s="130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128"/>
      <c r="D325" s="2"/>
      <c r="E325" s="2"/>
      <c r="F325" s="2"/>
      <c r="G325" s="2"/>
      <c r="H325" s="2"/>
      <c r="I325" s="2"/>
      <c r="J325" s="2"/>
      <c r="K325" s="128"/>
      <c r="L325" s="8"/>
      <c r="M325" s="130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128"/>
      <c r="D326" s="2"/>
      <c r="E326" s="2"/>
      <c r="F326" s="2"/>
      <c r="G326" s="2"/>
      <c r="H326" s="2"/>
      <c r="I326" s="2"/>
      <c r="J326" s="2"/>
      <c r="K326" s="128"/>
      <c r="L326" s="8"/>
      <c r="M326" s="130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128"/>
      <c r="D327" s="2"/>
      <c r="E327" s="2"/>
      <c r="F327" s="2"/>
      <c r="G327" s="2"/>
      <c r="H327" s="2"/>
      <c r="I327" s="2"/>
      <c r="J327" s="2"/>
      <c r="K327" s="128"/>
      <c r="L327" s="8"/>
      <c r="M327" s="130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128"/>
      <c r="D328" s="2"/>
      <c r="E328" s="2"/>
      <c r="F328" s="2"/>
      <c r="G328" s="2"/>
      <c r="H328" s="2"/>
      <c r="I328" s="2"/>
      <c r="J328" s="2"/>
      <c r="K328" s="128"/>
      <c r="L328" s="8"/>
      <c r="M328" s="130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128"/>
      <c r="D329" s="2"/>
      <c r="E329" s="2"/>
      <c r="F329" s="2"/>
      <c r="G329" s="2"/>
      <c r="H329" s="2"/>
      <c r="I329" s="2"/>
      <c r="J329" s="2"/>
      <c r="K329" s="128"/>
      <c r="L329" s="8"/>
      <c r="M329" s="130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128"/>
      <c r="D330" s="2"/>
      <c r="E330" s="2"/>
      <c r="F330" s="2"/>
      <c r="G330" s="2"/>
      <c r="H330" s="2"/>
      <c r="I330" s="2"/>
      <c r="J330" s="2"/>
      <c r="K330" s="128"/>
      <c r="L330" s="8"/>
      <c r="M330" s="130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128"/>
      <c r="D331" s="2"/>
      <c r="E331" s="2"/>
      <c r="F331" s="2"/>
      <c r="G331" s="2"/>
      <c r="H331" s="2"/>
      <c r="I331" s="2"/>
      <c r="J331" s="2"/>
      <c r="K331" s="128"/>
      <c r="L331" s="8"/>
      <c r="M331" s="130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128"/>
      <c r="D332" s="2"/>
      <c r="E332" s="2"/>
      <c r="F332" s="2"/>
      <c r="G332" s="2"/>
      <c r="H332" s="2"/>
      <c r="I332" s="2"/>
      <c r="J332" s="2"/>
      <c r="K332" s="128"/>
      <c r="L332" s="8"/>
      <c r="M332" s="130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128"/>
      <c r="D333" s="2"/>
      <c r="E333" s="2"/>
      <c r="F333" s="2"/>
      <c r="G333" s="2"/>
      <c r="H333" s="2"/>
      <c r="I333" s="2"/>
      <c r="J333" s="2"/>
      <c r="K333" s="128"/>
      <c r="L333" s="8"/>
      <c r="M333" s="130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128"/>
      <c r="D334" s="2"/>
      <c r="E334" s="2"/>
      <c r="F334" s="2"/>
      <c r="G334" s="2"/>
      <c r="H334" s="2"/>
      <c r="I334" s="2"/>
      <c r="J334" s="2"/>
      <c r="K334" s="128"/>
      <c r="L334" s="8"/>
      <c r="M334" s="130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128"/>
      <c r="D335" s="2"/>
      <c r="E335" s="2"/>
      <c r="F335" s="2"/>
      <c r="G335" s="2"/>
      <c r="H335" s="2"/>
      <c r="I335" s="2"/>
      <c r="J335" s="2"/>
      <c r="K335" s="128"/>
      <c r="L335" s="8"/>
      <c r="M335" s="130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128"/>
      <c r="D336" s="2"/>
      <c r="E336" s="2"/>
      <c r="F336" s="2"/>
      <c r="G336" s="2"/>
      <c r="H336" s="2"/>
      <c r="I336" s="2"/>
      <c r="J336" s="2"/>
      <c r="K336" s="128"/>
      <c r="L336" s="8"/>
      <c r="M336" s="130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128"/>
      <c r="D337" s="2"/>
      <c r="E337" s="2"/>
      <c r="F337" s="2"/>
      <c r="G337" s="2"/>
      <c r="H337" s="2"/>
      <c r="I337" s="2"/>
      <c r="J337" s="2"/>
      <c r="K337" s="128"/>
      <c r="L337" s="8"/>
      <c r="M337" s="130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128"/>
      <c r="D338" s="2"/>
      <c r="E338" s="2"/>
      <c r="F338" s="2"/>
      <c r="G338" s="2"/>
      <c r="H338" s="2"/>
      <c r="I338" s="2"/>
      <c r="J338" s="2"/>
      <c r="K338" s="128"/>
      <c r="L338" s="8"/>
      <c r="M338" s="130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128"/>
      <c r="D339" s="2"/>
      <c r="E339" s="2"/>
      <c r="F339" s="2"/>
      <c r="G339" s="2"/>
      <c r="H339" s="2"/>
      <c r="I339" s="2"/>
      <c r="J339" s="2"/>
      <c r="K339" s="128"/>
      <c r="L339" s="8"/>
      <c r="M339" s="130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128"/>
      <c r="D340" s="2"/>
      <c r="E340" s="2"/>
      <c r="F340" s="2"/>
      <c r="G340" s="2"/>
      <c r="H340" s="2"/>
      <c r="I340" s="2"/>
      <c r="J340" s="2"/>
      <c r="K340" s="128"/>
      <c r="L340" s="8"/>
      <c r="M340" s="130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128"/>
      <c r="D341" s="2"/>
      <c r="E341" s="2"/>
      <c r="F341" s="2"/>
      <c r="G341" s="2"/>
      <c r="H341" s="2"/>
      <c r="I341" s="2"/>
      <c r="J341" s="2"/>
      <c r="K341" s="128"/>
      <c r="L341" s="8"/>
      <c r="M341" s="130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128"/>
      <c r="D342" s="2"/>
      <c r="E342" s="2"/>
      <c r="F342" s="2"/>
      <c r="G342" s="2"/>
      <c r="H342" s="2"/>
      <c r="I342" s="2"/>
      <c r="J342" s="2"/>
      <c r="K342" s="128"/>
      <c r="L342" s="8"/>
      <c r="M342" s="130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128"/>
      <c r="D343" s="2"/>
      <c r="E343" s="2"/>
      <c r="F343" s="2"/>
      <c r="G343" s="2"/>
      <c r="H343" s="2"/>
      <c r="I343" s="2"/>
      <c r="J343" s="2"/>
      <c r="K343" s="128"/>
      <c r="L343" s="8"/>
      <c r="M343" s="130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128"/>
      <c r="D344" s="2"/>
      <c r="E344" s="2"/>
      <c r="F344" s="2"/>
      <c r="G344" s="2"/>
      <c r="H344" s="2"/>
      <c r="I344" s="2"/>
      <c r="J344" s="2"/>
      <c r="K344" s="128"/>
      <c r="L344" s="8"/>
      <c r="M344" s="130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128"/>
      <c r="D345" s="2"/>
      <c r="E345" s="2"/>
      <c r="F345" s="2"/>
      <c r="G345" s="2"/>
      <c r="H345" s="2"/>
      <c r="I345" s="2"/>
      <c r="J345" s="2"/>
      <c r="K345" s="128"/>
      <c r="L345" s="8"/>
      <c r="M345" s="130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128"/>
      <c r="D346" s="2"/>
      <c r="E346" s="2"/>
      <c r="F346" s="2"/>
      <c r="G346" s="2"/>
      <c r="H346" s="2"/>
      <c r="I346" s="2"/>
      <c r="J346" s="2"/>
      <c r="K346" s="128"/>
      <c r="L346" s="8"/>
      <c r="M346" s="130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128"/>
      <c r="D347" s="2"/>
      <c r="E347" s="2"/>
      <c r="F347" s="2"/>
      <c r="G347" s="2"/>
      <c r="H347" s="2"/>
      <c r="I347" s="2"/>
      <c r="J347" s="2"/>
      <c r="K347" s="128"/>
      <c r="L347" s="8"/>
      <c r="M347" s="130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128"/>
      <c r="D348" s="2"/>
      <c r="E348" s="2"/>
      <c r="F348" s="2"/>
      <c r="G348" s="2"/>
      <c r="H348" s="2"/>
      <c r="I348" s="2"/>
      <c r="J348" s="2"/>
      <c r="K348" s="128"/>
      <c r="L348" s="8"/>
      <c r="M348" s="130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128"/>
      <c r="D349" s="2"/>
      <c r="E349" s="2"/>
      <c r="F349" s="2"/>
      <c r="G349" s="2"/>
      <c r="H349" s="2"/>
      <c r="I349" s="2"/>
      <c r="J349" s="2"/>
      <c r="K349" s="128"/>
      <c r="L349" s="8"/>
      <c r="M349" s="130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128"/>
      <c r="D350" s="2"/>
      <c r="E350" s="2"/>
      <c r="F350" s="2"/>
      <c r="G350" s="2"/>
      <c r="H350" s="2"/>
      <c r="I350" s="2"/>
      <c r="J350" s="2"/>
      <c r="K350" s="128"/>
      <c r="L350" s="8"/>
      <c r="M350" s="130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128"/>
      <c r="D351" s="2"/>
      <c r="E351" s="2"/>
      <c r="F351" s="2"/>
      <c r="G351" s="2"/>
      <c r="H351" s="2"/>
      <c r="I351" s="2"/>
      <c r="J351" s="2"/>
      <c r="K351" s="128"/>
      <c r="L351" s="8"/>
      <c r="M351" s="130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128"/>
      <c r="D352" s="2"/>
      <c r="E352" s="2"/>
      <c r="F352" s="2"/>
      <c r="G352" s="2"/>
      <c r="H352" s="2"/>
      <c r="I352" s="2"/>
      <c r="J352" s="2"/>
      <c r="K352" s="128"/>
      <c r="L352" s="8"/>
      <c r="M352" s="130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128"/>
      <c r="D353" s="2"/>
      <c r="E353" s="2"/>
      <c r="F353" s="2"/>
      <c r="G353" s="2"/>
      <c r="H353" s="2"/>
      <c r="I353" s="2"/>
      <c r="J353" s="2"/>
      <c r="K353" s="128"/>
      <c r="L353" s="8"/>
      <c r="M353" s="130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128"/>
      <c r="D354" s="2"/>
      <c r="E354" s="2"/>
      <c r="F354" s="2"/>
      <c r="G354" s="2"/>
      <c r="H354" s="2"/>
      <c r="I354" s="2"/>
      <c r="J354" s="2"/>
      <c r="K354" s="128"/>
      <c r="L354" s="8"/>
      <c r="M354" s="130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128"/>
      <c r="D355" s="2"/>
      <c r="E355" s="2"/>
      <c r="F355" s="2"/>
      <c r="G355" s="2"/>
      <c r="H355" s="2"/>
      <c r="I355" s="2"/>
      <c r="J355" s="2"/>
      <c r="K355" s="128"/>
      <c r="L355" s="8"/>
      <c r="M355" s="130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128"/>
      <c r="D356" s="2"/>
      <c r="E356" s="2"/>
      <c r="F356" s="2"/>
      <c r="G356" s="2"/>
      <c r="H356" s="2"/>
      <c r="I356" s="2"/>
      <c r="J356" s="2"/>
      <c r="K356" s="128"/>
      <c r="L356" s="8"/>
      <c r="M356" s="130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128"/>
      <c r="D357" s="2"/>
      <c r="E357" s="2"/>
      <c r="F357" s="2"/>
      <c r="G357" s="2"/>
      <c r="H357" s="2"/>
      <c r="I357" s="2"/>
      <c r="J357" s="2"/>
      <c r="K357" s="128"/>
      <c r="L357" s="8"/>
      <c r="M357" s="130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128"/>
      <c r="D358" s="2"/>
      <c r="E358" s="2"/>
      <c r="F358" s="2"/>
      <c r="G358" s="2"/>
      <c r="H358" s="2"/>
      <c r="I358" s="2"/>
      <c r="J358" s="2"/>
      <c r="K358" s="128"/>
      <c r="L358" s="8"/>
      <c r="M358" s="130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128"/>
      <c r="D359" s="2"/>
      <c r="E359" s="2"/>
      <c r="F359" s="2"/>
      <c r="G359" s="2"/>
      <c r="H359" s="2"/>
      <c r="I359" s="2"/>
      <c r="J359" s="2"/>
      <c r="K359" s="128"/>
      <c r="L359" s="8"/>
      <c r="M359" s="130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128"/>
      <c r="D360" s="2"/>
      <c r="E360" s="2"/>
      <c r="F360" s="2"/>
      <c r="G360" s="2"/>
      <c r="H360" s="2"/>
      <c r="I360" s="2"/>
      <c r="J360" s="2"/>
      <c r="K360" s="128"/>
      <c r="L360" s="8"/>
      <c r="M360" s="130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128"/>
      <c r="D361" s="2"/>
      <c r="E361" s="2"/>
      <c r="F361" s="2"/>
      <c r="G361" s="2"/>
      <c r="H361" s="2"/>
      <c r="I361" s="2"/>
      <c r="J361" s="2"/>
      <c r="K361" s="128"/>
      <c r="L361" s="8"/>
      <c r="M361" s="130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128"/>
      <c r="D362" s="2"/>
      <c r="E362" s="2"/>
      <c r="F362" s="2"/>
      <c r="G362" s="2"/>
      <c r="H362" s="2"/>
      <c r="I362" s="2"/>
      <c r="J362" s="2"/>
      <c r="K362" s="128"/>
      <c r="L362" s="8"/>
      <c r="M362" s="130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128"/>
      <c r="D363" s="2"/>
      <c r="E363" s="2"/>
      <c r="F363" s="2"/>
      <c r="G363" s="2"/>
      <c r="H363" s="2"/>
      <c r="I363" s="2"/>
      <c r="J363" s="2"/>
      <c r="K363" s="128"/>
      <c r="L363" s="8"/>
      <c r="M363" s="130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128"/>
      <c r="D364" s="2"/>
      <c r="E364" s="2"/>
      <c r="F364" s="2"/>
      <c r="G364" s="2"/>
      <c r="H364" s="2"/>
      <c r="I364" s="2"/>
      <c r="J364" s="2"/>
      <c r="K364" s="128"/>
      <c r="L364" s="8"/>
      <c r="M364" s="130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128"/>
      <c r="D365" s="2"/>
      <c r="E365" s="2"/>
      <c r="F365" s="2"/>
      <c r="G365" s="2"/>
      <c r="H365" s="2"/>
      <c r="I365" s="2"/>
      <c r="J365" s="2"/>
      <c r="K365" s="128"/>
      <c r="L365" s="8"/>
      <c r="M365" s="130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128"/>
      <c r="D366" s="2"/>
      <c r="E366" s="2"/>
      <c r="F366" s="2"/>
      <c r="G366" s="2"/>
      <c r="H366" s="2"/>
      <c r="I366" s="2"/>
      <c r="J366" s="2"/>
      <c r="K366" s="128"/>
      <c r="L366" s="8"/>
      <c r="M366" s="130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128"/>
      <c r="D367" s="2"/>
      <c r="E367" s="2"/>
      <c r="F367" s="2"/>
      <c r="G367" s="2"/>
      <c r="H367" s="2"/>
      <c r="I367" s="2"/>
      <c r="J367" s="2"/>
      <c r="K367" s="128"/>
      <c r="L367" s="8"/>
      <c r="M367" s="130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128"/>
      <c r="D368" s="2"/>
      <c r="E368" s="2"/>
      <c r="F368" s="2"/>
      <c r="G368" s="2"/>
      <c r="H368" s="2"/>
      <c r="I368" s="2"/>
      <c r="J368" s="2"/>
      <c r="K368" s="128"/>
      <c r="L368" s="8"/>
      <c r="M368" s="130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128"/>
      <c r="D369" s="2"/>
      <c r="E369" s="2"/>
      <c r="F369" s="2"/>
      <c r="G369" s="2"/>
      <c r="H369" s="2"/>
      <c r="I369" s="2"/>
      <c r="J369" s="2"/>
      <c r="K369" s="128"/>
      <c r="L369" s="8"/>
      <c r="M369" s="130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128"/>
      <c r="D370" s="2"/>
      <c r="E370" s="2"/>
      <c r="F370" s="2"/>
      <c r="G370" s="2"/>
      <c r="H370" s="2"/>
      <c r="I370" s="2"/>
      <c r="J370" s="2"/>
      <c r="K370" s="128"/>
      <c r="L370" s="8"/>
      <c r="M370" s="130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128"/>
      <c r="D371" s="2"/>
      <c r="E371" s="2"/>
      <c r="F371" s="2"/>
      <c r="G371" s="2"/>
      <c r="H371" s="2"/>
      <c r="I371" s="2"/>
      <c r="J371" s="2"/>
      <c r="K371" s="128"/>
      <c r="L371" s="8"/>
      <c r="M371" s="130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128"/>
      <c r="D372" s="2"/>
      <c r="E372" s="2"/>
      <c r="F372" s="2"/>
      <c r="G372" s="2"/>
      <c r="H372" s="2"/>
      <c r="I372" s="2"/>
      <c r="J372" s="2"/>
      <c r="K372" s="128"/>
      <c r="L372" s="8"/>
      <c r="M372" s="130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128"/>
      <c r="D373" s="2"/>
      <c r="E373" s="2"/>
      <c r="F373" s="2"/>
      <c r="G373" s="2"/>
      <c r="H373" s="2"/>
      <c r="I373" s="2"/>
      <c r="J373" s="2"/>
      <c r="K373" s="128"/>
      <c r="L373" s="8"/>
      <c r="M373" s="130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128"/>
      <c r="D374" s="2"/>
      <c r="E374" s="2"/>
      <c r="F374" s="2"/>
      <c r="G374" s="2"/>
      <c r="H374" s="2"/>
      <c r="I374" s="2"/>
      <c r="J374" s="2"/>
      <c r="K374" s="128"/>
      <c r="L374" s="8"/>
      <c r="M374" s="130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128"/>
      <c r="D375" s="2"/>
      <c r="E375" s="2"/>
      <c r="F375" s="2"/>
      <c r="G375" s="2"/>
      <c r="H375" s="2"/>
      <c r="I375" s="2"/>
      <c r="J375" s="2"/>
      <c r="K375" s="128"/>
      <c r="L375" s="8"/>
      <c r="M375" s="130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128"/>
      <c r="D376" s="2"/>
      <c r="E376" s="2"/>
      <c r="F376" s="2"/>
      <c r="G376" s="2"/>
      <c r="H376" s="2"/>
      <c r="I376" s="2"/>
      <c r="J376" s="2"/>
      <c r="K376" s="128"/>
      <c r="L376" s="8"/>
      <c r="M376" s="130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128"/>
      <c r="D377" s="2"/>
      <c r="E377" s="2"/>
      <c r="F377" s="2"/>
      <c r="G377" s="2"/>
      <c r="H377" s="2"/>
      <c r="I377" s="2"/>
      <c r="J377" s="2"/>
      <c r="K377" s="128"/>
      <c r="L377" s="8"/>
      <c r="M377" s="130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128"/>
      <c r="D378" s="2"/>
      <c r="E378" s="2"/>
      <c r="F378" s="2"/>
      <c r="G378" s="2"/>
      <c r="H378" s="2"/>
      <c r="I378" s="2"/>
      <c r="J378" s="2"/>
      <c r="K378" s="128"/>
      <c r="L378" s="8"/>
      <c r="M378" s="130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128"/>
      <c r="D379" s="2"/>
      <c r="E379" s="2"/>
      <c r="F379" s="2"/>
      <c r="G379" s="2"/>
      <c r="H379" s="2"/>
      <c r="I379" s="2"/>
      <c r="J379" s="2"/>
      <c r="K379" s="128"/>
      <c r="L379" s="8"/>
      <c r="M379" s="130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128"/>
      <c r="D380" s="2"/>
      <c r="E380" s="2"/>
      <c r="F380" s="2"/>
      <c r="G380" s="2"/>
      <c r="H380" s="2"/>
      <c r="I380" s="2"/>
      <c r="J380" s="2"/>
      <c r="K380" s="128"/>
      <c r="L380" s="8"/>
      <c r="M380" s="130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128"/>
      <c r="D381" s="2"/>
      <c r="E381" s="2"/>
      <c r="F381" s="2"/>
      <c r="G381" s="2"/>
      <c r="H381" s="2"/>
      <c r="I381" s="2"/>
      <c r="J381" s="2"/>
      <c r="K381" s="128"/>
      <c r="L381" s="8"/>
      <c r="M381" s="130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128"/>
      <c r="D382" s="2"/>
      <c r="E382" s="2"/>
      <c r="F382" s="2"/>
      <c r="G382" s="2"/>
      <c r="H382" s="2"/>
      <c r="I382" s="2"/>
      <c r="J382" s="2"/>
      <c r="K382" s="128"/>
      <c r="L382" s="8"/>
      <c r="M382" s="130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128"/>
      <c r="D383" s="2"/>
      <c r="E383" s="2"/>
      <c r="F383" s="2"/>
      <c r="G383" s="2"/>
      <c r="H383" s="2"/>
      <c r="I383" s="2"/>
      <c r="J383" s="2"/>
      <c r="K383" s="128"/>
      <c r="L383" s="8"/>
      <c r="M383" s="130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128"/>
      <c r="D384" s="2"/>
      <c r="E384" s="2"/>
      <c r="F384" s="2"/>
      <c r="G384" s="2"/>
      <c r="H384" s="2"/>
      <c r="I384" s="2"/>
      <c r="J384" s="2"/>
      <c r="K384" s="128"/>
      <c r="L384" s="8"/>
      <c r="M384" s="130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128"/>
      <c r="D385" s="2"/>
      <c r="E385" s="2"/>
      <c r="F385" s="2"/>
      <c r="G385" s="2"/>
      <c r="H385" s="2"/>
      <c r="I385" s="2"/>
      <c r="J385" s="2"/>
      <c r="K385" s="128"/>
      <c r="L385" s="8"/>
      <c r="M385" s="130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128"/>
      <c r="D386" s="2"/>
      <c r="E386" s="2"/>
      <c r="F386" s="2"/>
      <c r="G386" s="2"/>
      <c r="H386" s="2"/>
      <c r="I386" s="2"/>
      <c r="J386" s="2"/>
      <c r="K386" s="128"/>
      <c r="L386" s="8"/>
      <c r="M386" s="130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128"/>
      <c r="D387" s="2"/>
      <c r="E387" s="2"/>
      <c r="F387" s="2"/>
      <c r="G387" s="2"/>
      <c r="H387" s="2"/>
      <c r="I387" s="2"/>
      <c r="J387" s="2"/>
      <c r="K387" s="128"/>
      <c r="L387" s="8"/>
      <c r="M387" s="130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128"/>
      <c r="D388" s="2"/>
      <c r="E388" s="2"/>
      <c r="F388" s="2"/>
      <c r="G388" s="2"/>
      <c r="H388" s="2"/>
      <c r="I388" s="2"/>
      <c r="J388" s="2"/>
      <c r="K388" s="128"/>
      <c r="L388" s="8"/>
      <c r="M388" s="130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128"/>
      <c r="D389" s="2"/>
      <c r="E389" s="2"/>
      <c r="F389" s="2"/>
      <c r="G389" s="2"/>
      <c r="H389" s="2"/>
      <c r="I389" s="2"/>
      <c r="J389" s="2"/>
      <c r="K389" s="128"/>
      <c r="L389" s="8"/>
      <c r="M389" s="130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128"/>
      <c r="D390" s="2"/>
      <c r="E390" s="2"/>
      <c r="F390" s="2"/>
      <c r="G390" s="2"/>
      <c r="H390" s="2"/>
      <c r="I390" s="2"/>
      <c r="J390" s="2"/>
      <c r="K390" s="128"/>
      <c r="L390" s="8"/>
      <c r="M390" s="130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128"/>
      <c r="D391" s="2"/>
      <c r="E391" s="2"/>
      <c r="F391" s="2"/>
      <c r="G391" s="2"/>
      <c r="H391" s="2"/>
      <c r="I391" s="2"/>
      <c r="J391" s="2"/>
      <c r="K391" s="128"/>
      <c r="L391" s="8"/>
      <c r="M391" s="130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128"/>
      <c r="D392" s="2"/>
      <c r="E392" s="2"/>
      <c r="F392" s="2"/>
      <c r="G392" s="2"/>
      <c r="H392" s="2"/>
      <c r="I392" s="2"/>
      <c r="J392" s="2"/>
      <c r="K392" s="128"/>
      <c r="L392" s="8"/>
      <c r="M392" s="130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128"/>
      <c r="D393" s="2"/>
      <c r="E393" s="2"/>
      <c r="F393" s="2"/>
      <c r="G393" s="2"/>
      <c r="H393" s="2"/>
      <c r="I393" s="2"/>
      <c r="J393" s="2"/>
      <c r="K393" s="128"/>
      <c r="L393" s="8"/>
      <c r="M393" s="130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128"/>
      <c r="D394" s="2"/>
      <c r="E394" s="2"/>
      <c r="F394" s="2"/>
      <c r="G394" s="2"/>
      <c r="H394" s="2"/>
      <c r="I394" s="2"/>
      <c r="J394" s="2"/>
      <c r="K394" s="128"/>
      <c r="L394" s="8"/>
      <c r="M394" s="130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128"/>
      <c r="D395" s="2"/>
      <c r="E395" s="2"/>
      <c r="F395" s="2"/>
      <c r="G395" s="2"/>
      <c r="H395" s="2"/>
      <c r="I395" s="2"/>
      <c r="J395" s="2"/>
      <c r="K395" s="128"/>
      <c r="L395" s="8"/>
      <c r="M395" s="130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128"/>
      <c r="D396" s="2"/>
      <c r="E396" s="2"/>
      <c r="F396" s="2"/>
      <c r="G396" s="2"/>
      <c r="H396" s="2"/>
      <c r="I396" s="2"/>
      <c r="J396" s="2"/>
      <c r="K396" s="128"/>
      <c r="L396" s="8"/>
      <c r="M396" s="130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128"/>
      <c r="D397" s="2"/>
      <c r="E397" s="2"/>
      <c r="F397" s="2"/>
      <c r="G397" s="2"/>
      <c r="H397" s="2"/>
      <c r="I397" s="2"/>
      <c r="J397" s="2"/>
      <c r="K397" s="128"/>
      <c r="L397" s="8"/>
      <c r="M397" s="130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128"/>
      <c r="D398" s="2"/>
      <c r="E398" s="2"/>
      <c r="F398" s="2"/>
      <c r="G398" s="2"/>
      <c r="H398" s="2"/>
      <c r="I398" s="2"/>
      <c r="J398" s="2"/>
      <c r="K398" s="128"/>
      <c r="L398" s="8"/>
      <c r="M398" s="130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128"/>
      <c r="D399" s="2"/>
      <c r="E399" s="2"/>
      <c r="F399" s="2"/>
      <c r="G399" s="2"/>
      <c r="H399" s="2"/>
      <c r="I399" s="2"/>
      <c r="J399" s="2"/>
      <c r="K399" s="128"/>
      <c r="L399" s="8"/>
      <c r="M399" s="130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128"/>
      <c r="D400" s="2"/>
      <c r="E400" s="2"/>
      <c r="F400" s="2"/>
      <c r="G400" s="2"/>
      <c r="H400" s="2"/>
      <c r="I400" s="2"/>
      <c r="J400" s="2"/>
      <c r="K400" s="128"/>
      <c r="L400" s="8"/>
      <c r="M400" s="130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128"/>
      <c r="D401" s="2"/>
      <c r="E401" s="2"/>
      <c r="F401" s="2"/>
      <c r="G401" s="2"/>
      <c r="H401" s="2"/>
      <c r="I401" s="2"/>
      <c r="J401" s="2"/>
      <c r="K401" s="128"/>
      <c r="L401" s="8"/>
      <c r="M401" s="130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128"/>
      <c r="D402" s="2"/>
      <c r="E402" s="2"/>
      <c r="F402" s="2"/>
      <c r="G402" s="2"/>
      <c r="H402" s="2"/>
      <c r="I402" s="2"/>
      <c r="J402" s="2"/>
      <c r="K402" s="128"/>
      <c r="L402" s="8"/>
      <c r="M402" s="130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128"/>
      <c r="D403" s="2"/>
      <c r="E403" s="2"/>
      <c r="F403" s="2"/>
      <c r="G403" s="2"/>
      <c r="H403" s="2"/>
      <c r="I403" s="2"/>
      <c r="J403" s="2"/>
      <c r="K403" s="128"/>
      <c r="L403" s="8"/>
      <c r="M403" s="130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128"/>
      <c r="D404" s="2"/>
      <c r="E404" s="2"/>
      <c r="F404" s="2"/>
      <c r="G404" s="2"/>
      <c r="H404" s="2"/>
      <c r="I404" s="2"/>
      <c r="J404" s="2"/>
      <c r="K404" s="128"/>
      <c r="L404" s="8"/>
      <c r="M404" s="130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128"/>
      <c r="D405" s="2"/>
      <c r="E405" s="2"/>
      <c r="F405" s="2"/>
      <c r="G405" s="2"/>
      <c r="H405" s="2"/>
      <c r="I405" s="2"/>
      <c r="J405" s="2"/>
      <c r="K405" s="128"/>
      <c r="L405" s="8"/>
      <c r="M405" s="130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128"/>
      <c r="D406" s="2"/>
      <c r="E406" s="2"/>
      <c r="F406" s="2"/>
      <c r="G406" s="2"/>
      <c r="H406" s="2"/>
      <c r="I406" s="2"/>
      <c r="J406" s="2"/>
      <c r="K406" s="128"/>
      <c r="L406" s="8"/>
      <c r="M406" s="130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128"/>
      <c r="D407" s="2"/>
      <c r="E407" s="2"/>
      <c r="F407" s="2"/>
      <c r="G407" s="2"/>
      <c r="H407" s="2"/>
      <c r="I407" s="2"/>
      <c r="J407" s="2"/>
      <c r="K407" s="128"/>
      <c r="L407" s="8"/>
      <c r="M407" s="130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128"/>
      <c r="D408" s="2"/>
      <c r="E408" s="2"/>
      <c r="F408" s="2"/>
      <c r="G408" s="2"/>
      <c r="H408" s="2"/>
      <c r="I408" s="2"/>
      <c r="J408" s="2"/>
      <c r="K408" s="128"/>
      <c r="L408" s="8"/>
      <c r="M408" s="130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128"/>
      <c r="D409" s="2"/>
      <c r="E409" s="2"/>
      <c r="F409" s="2"/>
      <c r="G409" s="2"/>
      <c r="H409" s="2"/>
      <c r="I409" s="2"/>
      <c r="J409" s="2"/>
      <c r="K409" s="128"/>
      <c r="L409" s="8"/>
      <c r="M409" s="130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128"/>
      <c r="D410" s="2"/>
      <c r="E410" s="2"/>
      <c r="F410" s="2"/>
      <c r="G410" s="2"/>
      <c r="H410" s="2"/>
      <c r="I410" s="2"/>
      <c r="J410" s="2"/>
      <c r="K410" s="128"/>
      <c r="L410" s="8"/>
      <c r="M410" s="130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128"/>
      <c r="D411" s="2"/>
      <c r="E411" s="2"/>
      <c r="F411" s="2"/>
      <c r="G411" s="2"/>
      <c r="H411" s="2"/>
      <c r="I411" s="2"/>
      <c r="J411" s="2"/>
      <c r="K411" s="128"/>
      <c r="L411" s="8"/>
      <c r="M411" s="130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128"/>
      <c r="D412" s="2"/>
      <c r="E412" s="2"/>
      <c r="F412" s="2"/>
      <c r="G412" s="2"/>
      <c r="H412" s="2"/>
      <c r="I412" s="2"/>
      <c r="J412" s="2"/>
      <c r="K412" s="128"/>
      <c r="L412" s="8"/>
      <c r="M412" s="130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128"/>
      <c r="D413" s="2"/>
      <c r="E413" s="2"/>
      <c r="F413" s="2"/>
      <c r="G413" s="2"/>
      <c r="H413" s="2"/>
      <c r="I413" s="2"/>
      <c r="J413" s="2"/>
      <c r="K413" s="128"/>
      <c r="L413" s="8"/>
      <c r="M413" s="130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128"/>
      <c r="D414" s="2"/>
      <c r="E414" s="2"/>
      <c r="F414" s="2"/>
      <c r="G414" s="2"/>
      <c r="H414" s="2"/>
      <c r="I414" s="2"/>
      <c r="J414" s="2"/>
      <c r="K414" s="128"/>
      <c r="L414" s="8"/>
      <c r="M414" s="130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128"/>
      <c r="D415" s="2"/>
      <c r="E415" s="2"/>
      <c r="F415" s="2"/>
      <c r="G415" s="2"/>
      <c r="H415" s="2"/>
      <c r="I415" s="2"/>
      <c r="J415" s="2"/>
      <c r="K415" s="128"/>
      <c r="L415" s="8"/>
      <c r="M415" s="130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128"/>
      <c r="D416" s="2"/>
      <c r="E416" s="2"/>
      <c r="F416" s="2"/>
      <c r="G416" s="2"/>
      <c r="H416" s="2"/>
      <c r="I416" s="2"/>
      <c r="J416" s="2"/>
      <c r="K416" s="128"/>
      <c r="L416" s="8"/>
      <c r="M416" s="130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128"/>
      <c r="D417" s="2"/>
      <c r="E417" s="2"/>
      <c r="F417" s="2"/>
      <c r="G417" s="2"/>
      <c r="H417" s="2"/>
      <c r="I417" s="2"/>
      <c r="J417" s="2"/>
      <c r="K417" s="128"/>
      <c r="L417" s="8"/>
      <c r="M417" s="130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128"/>
      <c r="D418" s="2"/>
      <c r="E418" s="2"/>
      <c r="F418" s="2"/>
      <c r="G418" s="2"/>
      <c r="H418" s="2"/>
      <c r="I418" s="2"/>
      <c r="J418" s="2"/>
      <c r="K418" s="128"/>
      <c r="L418" s="8"/>
      <c r="M418" s="130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128"/>
      <c r="D419" s="2"/>
      <c r="E419" s="2"/>
      <c r="F419" s="2"/>
      <c r="G419" s="2"/>
      <c r="H419" s="2"/>
      <c r="I419" s="2"/>
      <c r="J419" s="2"/>
      <c r="K419" s="128"/>
      <c r="L419" s="8"/>
      <c r="M419" s="130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128"/>
      <c r="D420" s="2"/>
      <c r="E420" s="2"/>
      <c r="F420" s="2"/>
      <c r="G420" s="2"/>
      <c r="H420" s="2"/>
      <c r="I420" s="2"/>
      <c r="J420" s="2"/>
      <c r="K420" s="128"/>
      <c r="L420" s="8"/>
      <c r="M420" s="130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128"/>
      <c r="D421" s="2"/>
      <c r="E421" s="2"/>
      <c r="F421" s="2"/>
      <c r="G421" s="2"/>
      <c r="H421" s="2"/>
      <c r="I421" s="2"/>
      <c r="J421" s="2"/>
      <c r="K421" s="128"/>
      <c r="L421" s="8"/>
      <c r="M421" s="130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128"/>
      <c r="D422" s="2"/>
      <c r="E422" s="2"/>
      <c r="F422" s="2"/>
      <c r="G422" s="2"/>
      <c r="H422" s="2"/>
      <c r="I422" s="2"/>
      <c r="J422" s="2"/>
      <c r="K422" s="128"/>
      <c r="L422" s="8"/>
      <c r="M422" s="130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128"/>
      <c r="D423" s="2"/>
      <c r="E423" s="2"/>
      <c r="F423" s="2"/>
      <c r="G423" s="2"/>
      <c r="H423" s="2"/>
      <c r="I423" s="2"/>
      <c r="J423" s="2"/>
      <c r="K423" s="128"/>
      <c r="L423" s="8"/>
      <c r="M423" s="130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128"/>
      <c r="D424" s="2"/>
      <c r="E424" s="2"/>
      <c r="F424" s="2"/>
      <c r="G424" s="2"/>
      <c r="H424" s="2"/>
      <c r="I424" s="2"/>
      <c r="J424" s="2"/>
      <c r="K424" s="128"/>
      <c r="L424" s="8"/>
      <c r="M424" s="130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128"/>
      <c r="D425" s="2"/>
      <c r="E425" s="2"/>
      <c r="F425" s="2"/>
      <c r="G425" s="2"/>
      <c r="H425" s="2"/>
      <c r="I425" s="2"/>
      <c r="J425" s="2"/>
      <c r="K425" s="128"/>
      <c r="L425" s="8"/>
      <c r="M425" s="130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128"/>
      <c r="D426" s="2"/>
      <c r="E426" s="2"/>
      <c r="F426" s="2"/>
      <c r="G426" s="2"/>
      <c r="H426" s="2"/>
      <c r="I426" s="2"/>
      <c r="J426" s="2"/>
      <c r="K426" s="128"/>
      <c r="L426" s="8"/>
      <c r="M426" s="130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128"/>
      <c r="D427" s="2"/>
      <c r="E427" s="2"/>
      <c r="F427" s="2"/>
      <c r="G427" s="2"/>
      <c r="H427" s="2"/>
      <c r="I427" s="2"/>
      <c r="J427" s="2"/>
      <c r="K427" s="128"/>
      <c r="L427" s="8"/>
      <c r="M427" s="130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128"/>
      <c r="D428" s="2"/>
      <c r="E428" s="2"/>
      <c r="F428" s="2"/>
      <c r="G428" s="2"/>
      <c r="H428" s="2"/>
      <c r="I428" s="2"/>
      <c r="J428" s="2"/>
      <c r="K428" s="128"/>
      <c r="L428" s="8"/>
      <c r="M428" s="130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128"/>
      <c r="D429" s="2"/>
      <c r="E429" s="2"/>
      <c r="F429" s="2"/>
      <c r="G429" s="2"/>
      <c r="H429" s="2"/>
      <c r="I429" s="2"/>
      <c r="J429" s="2"/>
      <c r="K429" s="128"/>
      <c r="L429" s="8"/>
      <c r="M429" s="130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128"/>
      <c r="D430" s="2"/>
      <c r="E430" s="2"/>
      <c r="F430" s="2"/>
      <c r="G430" s="2"/>
      <c r="H430" s="2"/>
      <c r="I430" s="2"/>
      <c r="J430" s="2"/>
      <c r="K430" s="128"/>
      <c r="L430" s="8"/>
      <c r="M430" s="130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128"/>
      <c r="D431" s="2"/>
      <c r="E431" s="2"/>
      <c r="F431" s="2"/>
      <c r="G431" s="2"/>
      <c r="H431" s="2"/>
      <c r="I431" s="2"/>
      <c r="J431" s="2"/>
      <c r="K431" s="128"/>
      <c r="L431" s="8"/>
      <c r="M431" s="130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128"/>
      <c r="D432" s="2"/>
      <c r="E432" s="2"/>
      <c r="F432" s="2"/>
      <c r="G432" s="2"/>
      <c r="H432" s="2"/>
      <c r="I432" s="2"/>
      <c r="J432" s="2"/>
      <c r="K432" s="128"/>
      <c r="L432" s="8"/>
      <c r="M432" s="130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128"/>
      <c r="D433" s="2"/>
      <c r="E433" s="2"/>
      <c r="F433" s="2"/>
      <c r="G433" s="2"/>
      <c r="H433" s="2"/>
      <c r="I433" s="2"/>
      <c r="J433" s="2"/>
      <c r="K433" s="128"/>
      <c r="L433" s="8"/>
      <c r="M433" s="130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128"/>
      <c r="D434" s="2"/>
      <c r="E434" s="2"/>
      <c r="F434" s="2"/>
      <c r="G434" s="2"/>
      <c r="H434" s="2"/>
      <c r="I434" s="2"/>
      <c r="J434" s="2"/>
      <c r="K434" s="128"/>
      <c r="L434" s="8"/>
      <c r="M434" s="130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128"/>
      <c r="D435" s="2"/>
      <c r="E435" s="2"/>
      <c r="F435" s="2"/>
      <c r="G435" s="2"/>
      <c r="H435" s="2"/>
      <c r="I435" s="2"/>
      <c r="J435" s="2"/>
      <c r="K435" s="128"/>
      <c r="L435" s="8"/>
      <c r="M435" s="130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128"/>
      <c r="D436" s="2"/>
      <c r="E436" s="2"/>
      <c r="F436" s="2"/>
      <c r="G436" s="2"/>
      <c r="H436" s="2"/>
      <c r="I436" s="2"/>
      <c r="J436" s="2"/>
      <c r="K436" s="128"/>
      <c r="L436" s="8"/>
      <c r="M436" s="130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128"/>
      <c r="D437" s="2"/>
      <c r="E437" s="2"/>
      <c r="F437" s="2"/>
      <c r="G437" s="2"/>
      <c r="H437" s="2"/>
      <c r="I437" s="2"/>
      <c r="J437" s="2"/>
      <c r="K437" s="128"/>
      <c r="L437" s="8"/>
      <c r="M437" s="130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128"/>
      <c r="D438" s="2"/>
      <c r="E438" s="2"/>
      <c r="F438" s="2"/>
      <c r="G438" s="2"/>
      <c r="H438" s="2"/>
      <c r="I438" s="2"/>
      <c r="J438" s="2"/>
      <c r="K438" s="128"/>
      <c r="L438" s="8"/>
      <c r="M438" s="130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128"/>
      <c r="D439" s="2"/>
      <c r="E439" s="2"/>
      <c r="F439" s="2"/>
      <c r="G439" s="2"/>
      <c r="H439" s="2"/>
      <c r="I439" s="2"/>
      <c r="J439" s="2"/>
      <c r="K439" s="128"/>
      <c r="L439" s="8"/>
      <c r="M439" s="130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128"/>
      <c r="D440" s="2"/>
      <c r="E440" s="2"/>
      <c r="F440" s="2"/>
      <c r="G440" s="2"/>
      <c r="H440" s="2"/>
      <c r="I440" s="2"/>
      <c r="J440" s="2"/>
      <c r="K440" s="128"/>
      <c r="L440" s="8"/>
      <c r="M440" s="130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128"/>
      <c r="D441" s="2"/>
      <c r="E441" s="2"/>
      <c r="F441" s="2"/>
      <c r="G441" s="2"/>
      <c r="H441" s="2"/>
      <c r="I441" s="2"/>
      <c r="J441" s="2"/>
      <c r="K441" s="128"/>
      <c r="L441" s="8"/>
      <c r="M441" s="130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128"/>
      <c r="D442" s="2"/>
      <c r="E442" s="2"/>
      <c r="F442" s="2"/>
      <c r="G442" s="2"/>
      <c r="H442" s="2"/>
      <c r="I442" s="2"/>
      <c r="J442" s="2"/>
      <c r="K442" s="128"/>
      <c r="L442" s="8"/>
      <c r="M442" s="130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128"/>
      <c r="D443" s="2"/>
      <c r="E443" s="2"/>
      <c r="F443" s="2"/>
      <c r="G443" s="2"/>
      <c r="H443" s="2"/>
      <c r="I443" s="2"/>
      <c r="J443" s="2"/>
      <c r="K443" s="128"/>
      <c r="L443" s="8"/>
      <c r="M443" s="130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128"/>
      <c r="D444" s="2"/>
      <c r="E444" s="2"/>
      <c r="F444" s="2"/>
      <c r="G444" s="2"/>
      <c r="H444" s="2"/>
      <c r="I444" s="2"/>
      <c r="J444" s="2"/>
      <c r="K444" s="128"/>
      <c r="L444" s="8"/>
      <c r="M444" s="130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128"/>
      <c r="D445" s="2"/>
      <c r="E445" s="2"/>
      <c r="F445" s="2"/>
      <c r="G445" s="2"/>
      <c r="H445" s="2"/>
      <c r="I445" s="2"/>
      <c r="J445" s="2"/>
      <c r="K445" s="128"/>
      <c r="L445" s="8"/>
      <c r="M445" s="130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128"/>
      <c r="D446" s="2"/>
      <c r="E446" s="2"/>
      <c r="F446" s="2"/>
      <c r="G446" s="2"/>
      <c r="H446" s="2"/>
      <c r="I446" s="2"/>
      <c r="J446" s="2"/>
      <c r="K446" s="128"/>
      <c r="L446" s="8"/>
      <c r="M446" s="130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128"/>
      <c r="D447" s="2"/>
      <c r="E447" s="2"/>
      <c r="F447" s="2"/>
      <c r="G447" s="2"/>
      <c r="H447" s="2"/>
      <c r="I447" s="2"/>
      <c r="J447" s="2"/>
      <c r="K447" s="128"/>
      <c r="L447" s="8"/>
      <c r="M447" s="130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128"/>
      <c r="D448" s="2"/>
      <c r="E448" s="2"/>
      <c r="F448" s="2"/>
      <c r="G448" s="2"/>
      <c r="H448" s="2"/>
      <c r="I448" s="2"/>
      <c r="J448" s="2"/>
      <c r="K448" s="128"/>
      <c r="L448" s="8"/>
      <c r="M448" s="130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128"/>
      <c r="D449" s="2"/>
      <c r="E449" s="2"/>
      <c r="F449" s="2"/>
      <c r="G449" s="2"/>
      <c r="H449" s="2"/>
      <c r="I449" s="2"/>
      <c r="J449" s="2"/>
      <c r="K449" s="128"/>
      <c r="L449" s="8"/>
      <c r="M449" s="130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128"/>
      <c r="D450" s="2"/>
      <c r="E450" s="2"/>
      <c r="F450" s="2"/>
      <c r="G450" s="2"/>
      <c r="H450" s="2"/>
      <c r="I450" s="2"/>
      <c r="J450" s="2"/>
      <c r="K450" s="128"/>
      <c r="L450" s="8"/>
      <c r="M450" s="130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128"/>
      <c r="D451" s="2"/>
      <c r="E451" s="2"/>
      <c r="F451" s="2"/>
      <c r="G451" s="2"/>
      <c r="H451" s="2"/>
      <c r="I451" s="2"/>
      <c r="J451" s="2"/>
      <c r="K451" s="128"/>
      <c r="L451" s="8"/>
      <c r="M451" s="130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128"/>
      <c r="D452" s="2"/>
      <c r="E452" s="2"/>
      <c r="F452" s="2"/>
      <c r="G452" s="2"/>
      <c r="H452" s="2"/>
      <c r="I452" s="2"/>
      <c r="J452" s="2"/>
      <c r="K452" s="128"/>
      <c r="L452" s="8"/>
      <c r="M452" s="130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128"/>
      <c r="D453" s="2"/>
      <c r="E453" s="2"/>
      <c r="F453" s="2"/>
      <c r="G453" s="2"/>
      <c r="H453" s="2"/>
      <c r="I453" s="2"/>
      <c r="J453" s="2"/>
      <c r="K453" s="128"/>
      <c r="L453" s="8"/>
      <c r="M453" s="130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128"/>
      <c r="D454" s="2"/>
      <c r="E454" s="2"/>
      <c r="F454" s="2"/>
      <c r="G454" s="2"/>
      <c r="H454" s="2"/>
      <c r="I454" s="2"/>
      <c r="J454" s="2"/>
      <c r="K454" s="128"/>
      <c r="L454" s="8"/>
      <c r="M454" s="130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128"/>
      <c r="D455" s="2"/>
      <c r="E455" s="2"/>
      <c r="F455" s="2"/>
      <c r="G455" s="2"/>
      <c r="H455" s="2"/>
      <c r="I455" s="2"/>
      <c r="J455" s="2"/>
      <c r="K455" s="128"/>
      <c r="L455" s="8"/>
      <c r="M455" s="130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128"/>
      <c r="D456" s="2"/>
      <c r="E456" s="2"/>
      <c r="F456" s="2"/>
      <c r="G456" s="2"/>
      <c r="H456" s="2"/>
      <c r="I456" s="2"/>
      <c r="J456" s="2"/>
      <c r="K456" s="128"/>
      <c r="L456" s="8"/>
      <c r="M456" s="130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128"/>
      <c r="D457" s="2"/>
      <c r="E457" s="2"/>
      <c r="F457" s="2"/>
      <c r="G457" s="2"/>
      <c r="H457" s="2"/>
      <c r="I457" s="2"/>
      <c r="J457" s="2"/>
      <c r="K457" s="128"/>
      <c r="L457" s="8"/>
      <c r="M457" s="130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128"/>
      <c r="D458" s="2"/>
      <c r="E458" s="2"/>
      <c r="F458" s="2"/>
      <c r="G458" s="2"/>
      <c r="H458" s="2"/>
      <c r="I458" s="2"/>
      <c r="J458" s="2"/>
      <c r="K458" s="128"/>
      <c r="L458" s="8"/>
      <c r="M458" s="130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128"/>
      <c r="D459" s="2"/>
      <c r="E459" s="2"/>
      <c r="F459" s="2"/>
      <c r="G459" s="2"/>
      <c r="H459" s="2"/>
      <c r="I459" s="2"/>
      <c r="J459" s="2"/>
      <c r="K459" s="128"/>
      <c r="L459" s="8"/>
      <c r="M459" s="130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128"/>
      <c r="D460" s="2"/>
      <c r="E460" s="2"/>
      <c r="F460" s="2"/>
      <c r="G460" s="2"/>
      <c r="H460" s="2"/>
      <c r="I460" s="2"/>
      <c r="J460" s="2"/>
      <c r="K460" s="128"/>
      <c r="L460" s="8"/>
      <c r="M460" s="130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128"/>
      <c r="D461" s="2"/>
      <c r="E461" s="2"/>
      <c r="F461" s="2"/>
      <c r="G461" s="2"/>
      <c r="H461" s="2"/>
      <c r="I461" s="2"/>
      <c r="J461" s="2"/>
      <c r="K461" s="128"/>
      <c r="L461" s="8"/>
      <c r="M461" s="130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128"/>
      <c r="D462" s="2"/>
      <c r="E462" s="2"/>
      <c r="F462" s="2"/>
      <c r="G462" s="2"/>
      <c r="H462" s="2"/>
      <c r="I462" s="2"/>
      <c r="J462" s="2"/>
      <c r="K462" s="128"/>
      <c r="L462" s="8"/>
      <c r="M462" s="130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128"/>
      <c r="D463" s="2"/>
      <c r="E463" s="2"/>
      <c r="F463" s="2"/>
      <c r="G463" s="2"/>
      <c r="H463" s="2"/>
      <c r="I463" s="2"/>
      <c r="J463" s="2"/>
      <c r="K463" s="128"/>
      <c r="L463" s="8"/>
      <c r="M463" s="130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128"/>
      <c r="D464" s="2"/>
      <c r="E464" s="2"/>
      <c r="F464" s="2"/>
      <c r="G464" s="2"/>
      <c r="H464" s="2"/>
      <c r="I464" s="2"/>
      <c r="J464" s="2"/>
      <c r="K464" s="128"/>
      <c r="L464" s="8"/>
      <c r="M464" s="130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128"/>
      <c r="D465" s="2"/>
      <c r="E465" s="2"/>
      <c r="F465" s="2"/>
      <c r="G465" s="2"/>
      <c r="H465" s="2"/>
      <c r="I465" s="2"/>
      <c r="J465" s="2"/>
      <c r="K465" s="128"/>
      <c r="L465" s="8"/>
      <c r="M465" s="130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128"/>
      <c r="D466" s="2"/>
      <c r="E466" s="2"/>
      <c r="F466" s="2"/>
      <c r="G466" s="2"/>
      <c r="H466" s="2"/>
      <c r="I466" s="2"/>
      <c r="J466" s="2"/>
      <c r="K466" s="128"/>
      <c r="L466" s="8"/>
      <c r="M466" s="130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128"/>
      <c r="D467" s="2"/>
      <c r="E467" s="2"/>
      <c r="F467" s="2"/>
      <c r="G467" s="2"/>
      <c r="H467" s="2"/>
      <c r="I467" s="2"/>
      <c r="J467" s="2"/>
      <c r="K467" s="128"/>
      <c r="L467" s="8"/>
      <c r="M467" s="130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128"/>
      <c r="D468" s="2"/>
      <c r="E468" s="2"/>
      <c r="F468" s="2"/>
      <c r="G468" s="2"/>
      <c r="H468" s="2"/>
      <c r="I468" s="2"/>
      <c r="J468" s="2"/>
      <c r="K468" s="128"/>
      <c r="L468" s="8"/>
      <c r="M468" s="130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128"/>
      <c r="D469" s="2"/>
      <c r="E469" s="2"/>
      <c r="F469" s="2"/>
      <c r="G469" s="2"/>
      <c r="H469" s="2"/>
      <c r="I469" s="2"/>
      <c r="J469" s="2"/>
      <c r="K469" s="128"/>
      <c r="L469" s="8"/>
      <c r="M469" s="130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128"/>
      <c r="D470" s="2"/>
      <c r="E470" s="2"/>
      <c r="F470" s="2"/>
      <c r="G470" s="2"/>
      <c r="H470" s="2"/>
      <c r="I470" s="2"/>
      <c r="J470" s="2"/>
      <c r="K470" s="128"/>
      <c r="L470" s="8"/>
      <c r="M470" s="130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128"/>
      <c r="D471" s="2"/>
      <c r="E471" s="2"/>
      <c r="F471" s="2"/>
      <c r="G471" s="2"/>
      <c r="H471" s="2"/>
      <c r="I471" s="2"/>
      <c r="J471" s="2"/>
      <c r="K471" s="128"/>
      <c r="L471" s="8"/>
      <c r="M471" s="130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128"/>
      <c r="D472" s="2"/>
      <c r="E472" s="2"/>
      <c r="F472" s="2"/>
      <c r="G472" s="2"/>
      <c r="H472" s="2"/>
      <c r="I472" s="2"/>
      <c r="J472" s="2"/>
      <c r="K472" s="128"/>
      <c r="L472" s="8"/>
      <c r="M472" s="130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128"/>
      <c r="D473" s="2"/>
      <c r="E473" s="2"/>
      <c r="F473" s="2"/>
      <c r="G473" s="2"/>
      <c r="H473" s="2"/>
      <c r="I473" s="2"/>
      <c r="J473" s="2"/>
      <c r="K473" s="128"/>
      <c r="L473" s="8"/>
      <c r="M473" s="130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128"/>
      <c r="D474" s="2"/>
      <c r="E474" s="2"/>
      <c r="F474" s="2"/>
      <c r="G474" s="2"/>
      <c r="H474" s="2"/>
      <c r="I474" s="2"/>
      <c r="J474" s="2"/>
      <c r="K474" s="128"/>
      <c r="L474" s="8"/>
      <c r="M474" s="130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128"/>
      <c r="D475" s="2"/>
      <c r="E475" s="2"/>
      <c r="F475" s="2"/>
      <c r="G475" s="2"/>
      <c r="H475" s="2"/>
      <c r="I475" s="2"/>
      <c r="J475" s="2"/>
      <c r="K475" s="128"/>
      <c r="L475" s="8"/>
      <c r="M475" s="130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128"/>
      <c r="D476" s="2"/>
      <c r="E476" s="2"/>
      <c r="F476" s="2"/>
      <c r="G476" s="2"/>
      <c r="H476" s="2"/>
      <c r="I476" s="2"/>
      <c r="J476" s="2"/>
      <c r="K476" s="128"/>
      <c r="L476" s="8"/>
      <c r="M476" s="130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128"/>
      <c r="D477" s="2"/>
      <c r="E477" s="2"/>
      <c r="F477" s="2"/>
      <c r="G477" s="2"/>
      <c r="H477" s="2"/>
      <c r="I477" s="2"/>
      <c r="J477" s="2"/>
      <c r="K477" s="128"/>
      <c r="L477" s="8"/>
      <c r="M477" s="130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128"/>
      <c r="D478" s="2"/>
      <c r="E478" s="2"/>
      <c r="F478" s="2"/>
      <c r="G478" s="2"/>
      <c r="H478" s="2"/>
      <c r="I478" s="2"/>
      <c r="J478" s="2"/>
      <c r="K478" s="128"/>
      <c r="L478" s="8"/>
      <c r="M478" s="130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128"/>
      <c r="D479" s="2"/>
      <c r="E479" s="2"/>
      <c r="F479" s="2"/>
      <c r="G479" s="2"/>
      <c r="H479" s="2"/>
      <c r="I479" s="2"/>
      <c r="J479" s="2"/>
      <c r="K479" s="128"/>
      <c r="L479" s="8"/>
      <c r="M479" s="130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128"/>
      <c r="D480" s="2"/>
      <c r="E480" s="2"/>
      <c r="F480" s="2"/>
      <c r="G480" s="2"/>
      <c r="H480" s="2"/>
      <c r="I480" s="2"/>
      <c r="J480" s="2"/>
      <c r="K480" s="128"/>
      <c r="L480" s="8"/>
      <c r="M480" s="130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128"/>
      <c r="D481" s="2"/>
      <c r="E481" s="2"/>
      <c r="F481" s="2"/>
      <c r="G481" s="2"/>
      <c r="H481" s="2"/>
      <c r="I481" s="2"/>
      <c r="J481" s="2"/>
      <c r="K481" s="128"/>
      <c r="L481" s="8"/>
      <c r="M481" s="130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128"/>
      <c r="D482" s="2"/>
      <c r="E482" s="2"/>
      <c r="F482" s="2"/>
      <c r="G482" s="2"/>
      <c r="H482" s="2"/>
      <c r="I482" s="2"/>
      <c r="J482" s="2"/>
      <c r="K482" s="128"/>
      <c r="L482" s="8"/>
      <c r="M482" s="130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128"/>
      <c r="D483" s="2"/>
      <c r="E483" s="2"/>
      <c r="F483" s="2"/>
      <c r="G483" s="2"/>
      <c r="H483" s="2"/>
      <c r="I483" s="2"/>
      <c r="J483" s="2"/>
      <c r="K483" s="128"/>
      <c r="L483" s="8"/>
      <c r="M483" s="130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128"/>
      <c r="D484" s="2"/>
      <c r="E484" s="2"/>
      <c r="F484" s="2"/>
      <c r="G484" s="2"/>
      <c r="H484" s="2"/>
      <c r="I484" s="2"/>
      <c r="J484" s="2"/>
      <c r="K484" s="128"/>
      <c r="L484" s="8"/>
      <c r="M484" s="130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128"/>
      <c r="D485" s="2"/>
      <c r="E485" s="2"/>
      <c r="F485" s="2"/>
      <c r="G485" s="2"/>
      <c r="H485" s="2"/>
      <c r="I485" s="2"/>
      <c r="J485" s="2"/>
      <c r="K485" s="128"/>
      <c r="L485" s="8"/>
      <c r="M485" s="130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128"/>
      <c r="D486" s="2"/>
      <c r="E486" s="2"/>
      <c r="F486" s="2"/>
      <c r="G486" s="2"/>
      <c r="H486" s="2"/>
      <c r="I486" s="2"/>
      <c r="J486" s="2"/>
      <c r="K486" s="128"/>
      <c r="L486" s="8"/>
      <c r="M486" s="130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128"/>
      <c r="D487" s="2"/>
      <c r="E487" s="2"/>
      <c r="F487" s="2"/>
      <c r="G487" s="2"/>
      <c r="H487" s="2"/>
      <c r="I487" s="2"/>
      <c r="J487" s="2"/>
      <c r="K487" s="128"/>
      <c r="L487" s="8"/>
      <c r="M487" s="130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128"/>
      <c r="D488" s="2"/>
      <c r="E488" s="2"/>
      <c r="F488" s="2"/>
      <c r="G488" s="2"/>
      <c r="H488" s="2"/>
      <c r="I488" s="2"/>
      <c r="J488" s="2"/>
      <c r="K488" s="128"/>
      <c r="L488" s="8"/>
      <c r="M488" s="130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128"/>
      <c r="D489" s="2"/>
      <c r="E489" s="2"/>
      <c r="F489" s="2"/>
      <c r="G489" s="2"/>
      <c r="H489" s="2"/>
      <c r="I489" s="2"/>
      <c r="J489" s="2"/>
      <c r="K489" s="128"/>
      <c r="L489" s="8"/>
      <c r="M489" s="130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128"/>
      <c r="D490" s="2"/>
      <c r="E490" s="2"/>
      <c r="F490" s="2"/>
      <c r="G490" s="2"/>
      <c r="H490" s="2"/>
      <c r="I490" s="2"/>
      <c r="J490" s="2"/>
      <c r="K490" s="128"/>
      <c r="L490" s="8"/>
      <c r="M490" s="130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128"/>
      <c r="D491" s="2"/>
      <c r="E491" s="2"/>
      <c r="F491" s="2"/>
      <c r="G491" s="2"/>
      <c r="H491" s="2"/>
      <c r="I491" s="2"/>
      <c r="J491" s="2"/>
      <c r="K491" s="128"/>
      <c r="L491" s="8"/>
      <c r="M491" s="130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128"/>
      <c r="D492" s="2"/>
      <c r="E492" s="2"/>
      <c r="F492" s="2"/>
      <c r="G492" s="2"/>
      <c r="H492" s="2"/>
      <c r="I492" s="2"/>
      <c r="J492" s="2"/>
      <c r="K492" s="128"/>
      <c r="L492" s="8"/>
      <c r="M492" s="130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128"/>
      <c r="D493" s="2"/>
      <c r="E493" s="2"/>
      <c r="F493" s="2"/>
      <c r="G493" s="2"/>
      <c r="H493" s="2"/>
      <c r="I493" s="2"/>
      <c r="J493" s="2"/>
      <c r="K493" s="128"/>
      <c r="L493" s="8"/>
      <c r="M493" s="130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128"/>
      <c r="D494" s="2"/>
      <c r="E494" s="2"/>
      <c r="F494" s="2"/>
      <c r="G494" s="2"/>
      <c r="H494" s="2"/>
      <c r="I494" s="2"/>
      <c r="J494" s="2"/>
      <c r="K494" s="128"/>
      <c r="L494" s="8"/>
      <c r="M494" s="130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128"/>
      <c r="D495" s="2"/>
      <c r="E495" s="2"/>
      <c r="F495" s="2"/>
      <c r="G495" s="2"/>
      <c r="H495" s="2"/>
      <c r="I495" s="2"/>
      <c r="J495" s="2"/>
      <c r="K495" s="128"/>
      <c r="L495" s="8"/>
      <c r="M495" s="130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128"/>
      <c r="D496" s="2"/>
      <c r="E496" s="2"/>
      <c r="F496" s="2"/>
      <c r="G496" s="2"/>
      <c r="H496" s="2"/>
      <c r="I496" s="2"/>
      <c r="J496" s="2"/>
      <c r="K496" s="128"/>
      <c r="L496" s="8"/>
      <c r="M496" s="130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128"/>
      <c r="D497" s="2"/>
      <c r="E497" s="2"/>
      <c r="F497" s="2"/>
      <c r="G497" s="2"/>
      <c r="H497" s="2"/>
      <c r="I497" s="2"/>
      <c r="J497" s="2"/>
      <c r="K497" s="128"/>
      <c r="L497" s="8"/>
      <c r="M497" s="130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128"/>
      <c r="D498" s="2"/>
      <c r="E498" s="2"/>
      <c r="F498" s="2"/>
      <c r="G498" s="2"/>
      <c r="H498" s="2"/>
      <c r="I498" s="2"/>
      <c r="J498" s="2"/>
      <c r="K498" s="128"/>
      <c r="L498" s="8"/>
      <c r="M498" s="130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128"/>
      <c r="D499" s="2"/>
      <c r="E499" s="2"/>
      <c r="F499" s="2"/>
      <c r="G499" s="2"/>
      <c r="H499" s="2"/>
      <c r="I499" s="2"/>
      <c r="J499" s="2"/>
      <c r="K499" s="128"/>
      <c r="L499" s="8"/>
      <c r="M499" s="130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128"/>
      <c r="D500" s="2"/>
      <c r="E500" s="2"/>
      <c r="F500" s="2"/>
      <c r="G500" s="2"/>
      <c r="H500" s="2"/>
      <c r="I500" s="2"/>
      <c r="J500" s="2"/>
      <c r="K500" s="128"/>
      <c r="L500" s="8"/>
      <c r="M500" s="130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128"/>
      <c r="D501" s="2"/>
      <c r="E501" s="2"/>
      <c r="F501" s="2"/>
      <c r="G501" s="2"/>
      <c r="H501" s="2"/>
      <c r="I501" s="2"/>
      <c r="J501" s="2"/>
      <c r="K501" s="128"/>
      <c r="L501" s="8"/>
      <c r="M501" s="130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128"/>
      <c r="D502" s="2"/>
      <c r="E502" s="2"/>
      <c r="F502" s="2"/>
      <c r="G502" s="2"/>
      <c r="H502" s="2"/>
      <c r="I502" s="2"/>
      <c r="J502" s="2"/>
      <c r="K502" s="128"/>
      <c r="L502" s="8"/>
      <c r="M502" s="130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128"/>
      <c r="D503" s="2"/>
      <c r="E503" s="2"/>
      <c r="F503" s="2"/>
      <c r="G503" s="2"/>
      <c r="H503" s="2"/>
      <c r="I503" s="2"/>
      <c r="J503" s="2"/>
      <c r="K503" s="128"/>
      <c r="L503" s="8"/>
      <c r="M503" s="130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128"/>
      <c r="D504" s="2"/>
      <c r="E504" s="2"/>
      <c r="F504" s="2"/>
      <c r="G504" s="2"/>
      <c r="H504" s="2"/>
      <c r="I504" s="2"/>
      <c r="J504" s="2"/>
      <c r="K504" s="128"/>
      <c r="L504" s="8"/>
      <c r="M504" s="130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128"/>
      <c r="D505" s="2"/>
      <c r="E505" s="2"/>
      <c r="F505" s="2"/>
      <c r="G505" s="2"/>
      <c r="H505" s="2"/>
      <c r="I505" s="2"/>
      <c r="J505" s="2"/>
      <c r="K505" s="128"/>
      <c r="L505" s="8"/>
      <c r="M505" s="130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128"/>
      <c r="D506" s="2"/>
      <c r="E506" s="2"/>
      <c r="F506" s="2"/>
      <c r="G506" s="2"/>
      <c r="H506" s="2"/>
      <c r="I506" s="2"/>
      <c r="J506" s="2"/>
      <c r="K506" s="128"/>
      <c r="L506" s="8"/>
      <c r="M506" s="130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128"/>
      <c r="D507" s="2"/>
      <c r="E507" s="2"/>
      <c r="F507" s="2"/>
      <c r="G507" s="2"/>
      <c r="H507" s="2"/>
      <c r="I507" s="2"/>
      <c r="J507" s="2"/>
      <c r="K507" s="128"/>
      <c r="L507" s="8"/>
      <c r="M507" s="130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128"/>
      <c r="D508" s="2"/>
      <c r="E508" s="2"/>
      <c r="F508" s="2"/>
      <c r="G508" s="2"/>
      <c r="H508" s="2"/>
      <c r="I508" s="2"/>
      <c r="J508" s="2"/>
      <c r="K508" s="128"/>
      <c r="L508" s="8"/>
      <c r="M508" s="130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128"/>
      <c r="D509" s="2"/>
      <c r="E509" s="2"/>
      <c r="F509" s="2"/>
      <c r="G509" s="2"/>
      <c r="H509" s="2"/>
      <c r="I509" s="2"/>
      <c r="J509" s="2"/>
      <c r="K509" s="128"/>
      <c r="L509" s="8"/>
      <c r="M509" s="130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128"/>
      <c r="D510" s="2"/>
      <c r="E510" s="2"/>
      <c r="F510" s="2"/>
      <c r="G510" s="2"/>
      <c r="H510" s="2"/>
      <c r="I510" s="2"/>
      <c r="J510" s="2"/>
      <c r="K510" s="128"/>
      <c r="L510" s="8"/>
      <c r="M510" s="130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128"/>
      <c r="D511" s="2"/>
      <c r="E511" s="2"/>
      <c r="F511" s="2"/>
      <c r="G511" s="2"/>
      <c r="H511" s="2"/>
      <c r="I511" s="2"/>
      <c r="J511" s="2"/>
      <c r="K511" s="128"/>
      <c r="L511" s="8"/>
      <c r="M511" s="130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128"/>
      <c r="D512" s="2"/>
      <c r="E512" s="2"/>
      <c r="F512" s="2"/>
      <c r="G512" s="2"/>
      <c r="H512" s="2"/>
      <c r="I512" s="2"/>
      <c r="J512" s="2"/>
      <c r="K512" s="128"/>
      <c r="L512" s="8"/>
      <c r="M512" s="130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128"/>
      <c r="D513" s="2"/>
      <c r="E513" s="2"/>
      <c r="F513" s="2"/>
      <c r="G513" s="2"/>
      <c r="H513" s="2"/>
      <c r="I513" s="2"/>
      <c r="J513" s="2"/>
      <c r="K513" s="128"/>
      <c r="L513" s="8"/>
      <c r="M513" s="130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128"/>
      <c r="D514" s="2"/>
      <c r="E514" s="2"/>
      <c r="F514" s="2"/>
      <c r="G514" s="2"/>
      <c r="H514" s="2"/>
      <c r="I514" s="2"/>
      <c r="J514" s="2"/>
      <c r="K514" s="128"/>
      <c r="L514" s="8"/>
      <c r="M514" s="130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128"/>
      <c r="D515" s="2"/>
      <c r="E515" s="2"/>
      <c r="F515" s="2"/>
      <c r="G515" s="2"/>
      <c r="H515" s="2"/>
      <c r="I515" s="2"/>
      <c r="J515" s="2"/>
      <c r="K515" s="128"/>
      <c r="L515" s="8"/>
      <c r="M515" s="130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128"/>
      <c r="D516" s="2"/>
      <c r="E516" s="2"/>
      <c r="F516" s="2"/>
      <c r="G516" s="2"/>
      <c r="H516" s="2"/>
      <c r="I516" s="2"/>
      <c r="J516" s="2"/>
      <c r="K516" s="128"/>
      <c r="L516" s="8"/>
      <c r="M516" s="130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128"/>
      <c r="D517" s="2"/>
      <c r="E517" s="2"/>
      <c r="F517" s="2"/>
      <c r="G517" s="2"/>
      <c r="H517" s="2"/>
      <c r="I517" s="2"/>
      <c r="J517" s="2"/>
      <c r="K517" s="128"/>
      <c r="L517" s="8"/>
      <c r="M517" s="130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128"/>
      <c r="D518" s="2"/>
      <c r="E518" s="2"/>
      <c r="F518" s="2"/>
      <c r="G518" s="2"/>
      <c r="H518" s="2"/>
      <c r="I518" s="2"/>
      <c r="J518" s="2"/>
      <c r="K518" s="128"/>
      <c r="L518" s="8"/>
      <c r="M518" s="130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128"/>
      <c r="D519" s="2"/>
      <c r="E519" s="2"/>
      <c r="F519" s="2"/>
      <c r="G519" s="2"/>
      <c r="H519" s="2"/>
      <c r="I519" s="2"/>
      <c r="J519" s="2"/>
      <c r="K519" s="128"/>
      <c r="L519" s="8"/>
      <c r="M519" s="130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128"/>
      <c r="D520" s="2"/>
      <c r="E520" s="2"/>
      <c r="F520" s="2"/>
      <c r="G520" s="2"/>
      <c r="H520" s="2"/>
      <c r="I520" s="2"/>
      <c r="J520" s="2"/>
      <c r="K520" s="128"/>
      <c r="L520" s="8"/>
      <c r="M520" s="130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128"/>
      <c r="D521" s="2"/>
      <c r="E521" s="2"/>
      <c r="F521" s="2"/>
      <c r="G521" s="2"/>
      <c r="H521" s="2"/>
      <c r="I521" s="2"/>
      <c r="J521" s="2"/>
      <c r="K521" s="128"/>
      <c r="L521" s="8"/>
      <c r="M521" s="130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128"/>
      <c r="D522" s="2"/>
      <c r="E522" s="2"/>
      <c r="F522" s="2"/>
      <c r="G522" s="2"/>
      <c r="H522" s="2"/>
      <c r="I522" s="2"/>
      <c r="J522" s="2"/>
      <c r="K522" s="128"/>
      <c r="L522" s="8"/>
      <c r="M522" s="130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128"/>
      <c r="D523" s="2"/>
      <c r="E523" s="2"/>
      <c r="F523" s="2"/>
      <c r="G523" s="2"/>
      <c r="H523" s="2"/>
      <c r="I523" s="2"/>
      <c r="J523" s="2"/>
      <c r="K523" s="128"/>
      <c r="L523" s="8"/>
      <c r="M523" s="130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128"/>
      <c r="D524" s="2"/>
      <c r="E524" s="2"/>
      <c r="F524" s="2"/>
      <c r="G524" s="2"/>
      <c r="H524" s="2"/>
      <c r="I524" s="2"/>
      <c r="J524" s="2"/>
      <c r="K524" s="128"/>
      <c r="L524" s="8"/>
      <c r="M524" s="130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128"/>
      <c r="D525" s="2"/>
      <c r="E525" s="2"/>
      <c r="F525" s="2"/>
      <c r="G525" s="2"/>
      <c r="H525" s="2"/>
      <c r="I525" s="2"/>
      <c r="J525" s="2"/>
      <c r="K525" s="128"/>
      <c r="L525" s="8"/>
      <c r="M525" s="130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128"/>
      <c r="D526" s="2"/>
      <c r="E526" s="2"/>
      <c r="F526" s="2"/>
      <c r="G526" s="2"/>
      <c r="H526" s="2"/>
      <c r="I526" s="2"/>
      <c r="J526" s="2"/>
      <c r="K526" s="128"/>
      <c r="L526" s="8"/>
      <c r="M526" s="130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128"/>
      <c r="D527" s="2"/>
      <c r="E527" s="2"/>
      <c r="F527" s="2"/>
      <c r="G527" s="2"/>
      <c r="H527" s="2"/>
      <c r="I527" s="2"/>
      <c r="J527" s="2"/>
      <c r="K527" s="128"/>
      <c r="L527" s="8"/>
      <c r="M527" s="130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128"/>
      <c r="D528" s="2"/>
      <c r="E528" s="2"/>
      <c r="F528" s="2"/>
      <c r="G528" s="2"/>
      <c r="H528" s="2"/>
      <c r="I528" s="2"/>
      <c r="J528" s="2"/>
      <c r="K528" s="128"/>
      <c r="L528" s="8"/>
      <c r="M528" s="130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128"/>
      <c r="D529" s="2"/>
      <c r="E529" s="2"/>
      <c r="F529" s="2"/>
      <c r="G529" s="2"/>
      <c r="H529" s="2"/>
      <c r="I529" s="2"/>
      <c r="J529" s="2"/>
      <c r="K529" s="128"/>
      <c r="L529" s="8"/>
      <c r="M529" s="130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128"/>
      <c r="D530" s="2"/>
      <c r="E530" s="2"/>
      <c r="F530" s="2"/>
      <c r="G530" s="2"/>
      <c r="H530" s="2"/>
      <c r="I530" s="2"/>
      <c r="J530" s="2"/>
      <c r="K530" s="128"/>
      <c r="L530" s="8"/>
      <c r="M530" s="130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128"/>
      <c r="D531" s="2"/>
      <c r="E531" s="2"/>
      <c r="F531" s="2"/>
      <c r="G531" s="2"/>
      <c r="H531" s="2"/>
      <c r="I531" s="2"/>
      <c r="J531" s="2"/>
      <c r="K531" s="128"/>
      <c r="L531" s="8"/>
      <c r="M531" s="130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128"/>
      <c r="D532" s="2"/>
      <c r="E532" s="2"/>
      <c r="F532" s="2"/>
      <c r="G532" s="2"/>
      <c r="H532" s="2"/>
      <c r="I532" s="2"/>
      <c r="J532" s="2"/>
      <c r="K532" s="128"/>
      <c r="L532" s="8"/>
      <c r="M532" s="130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128"/>
      <c r="D533" s="2"/>
      <c r="E533" s="2"/>
      <c r="F533" s="2"/>
      <c r="G533" s="2"/>
      <c r="H533" s="2"/>
      <c r="I533" s="2"/>
      <c r="J533" s="2"/>
      <c r="K533" s="128"/>
      <c r="L533" s="8"/>
      <c r="M533" s="130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128"/>
      <c r="D534" s="2"/>
      <c r="E534" s="2"/>
      <c r="F534" s="2"/>
      <c r="G534" s="2"/>
      <c r="H534" s="2"/>
      <c r="I534" s="2"/>
      <c r="J534" s="2"/>
      <c r="K534" s="128"/>
      <c r="L534" s="8"/>
      <c r="M534" s="130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128"/>
      <c r="D535" s="2"/>
      <c r="E535" s="2"/>
      <c r="F535" s="2"/>
      <c r="G535" s="2"/>
      <c r="H535" s="2"/>
      <c r="I535" s="2"/>
      <c r="J535" s="2"/>
      <c r="K535" s="128"/>
      <c r="L535" s="8"/>
      <c r="M535" s="130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128"/>
      <c r="D536" s="2"/>
      <c r="E536" s="2"/>
      <c r="F536" s="2"/>
      <c r="G536" s="2"/>
      <c r="H536" s="2"/>
      <c r="I536" s="2"/>
      <c r="J536" s="2"/>
      <c r="K536" s="128"/>
      <c r="L536" s="8"/>
      <c r="M536" s="130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128"/>
      <c r="D537" s="2"/>
      <c r="E537" s="2"/>
      <c r="F537" s="2"/>
      <c r="G537" s="2"/>
      <c r="H537" s="2"/>
      <c r="I537" s="2"/>
      <c r="J537" s="2"/>
      <c r="K537" s="128"/>
      <c r="L537" s="8"/>
      <c r="M537" s="130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128"/>
      <c r="D538" s="2"/>
      <c r="E538" s="2"/>
      <c r="F538" s="2"/>
      <c r="G538" s="2"/>
      <c r="H538" s="2"/>
      <c r="I538" s="2"/>
      <c r="J538" s="2"/>
      <c r="K538" s="128"/>
      <c r="L538" s="8"/>
      <c r="M538" s="130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128"/>
      <c r="D539" s="2"/>
      <c r="E539" s="2"/>
      <c r="F539" s="2"/>
      <c r="G539" s="2"/>
      <c r="H539" s="2"/>
      <c r="I539" s="2"/>
      <c r="J539" s="2"/>
      <c r="K539" s="128"/>
      <c r="L539" s="8"/>
      <c r="M539" s="130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128"/>
      <c r="D540" s="2"/>
      <c r="E540" s="2"/>
      <c r="F540" s="2"/>
      <c r="G540" s="2"/>
      <c r="H540" s="2"/>
      <c r="I540" s="2"/>
      <c r="J540" s="2"/>
      <c r="K540" s="128"/>
      <c r="L540" s="8"/>
      <c r="M540" s="130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128"/>
      <c r="D541" s="2"/>
      <c r="E541" s="2"/>
      <c r="F541" s="2"/>
      <c r="G541" s="2"/>
      <c r="H541" s="2"/>
      <c r="I541" s="2"/>
      <c r="J541" s="2"/>
      <c r="K541" s="128"/>
      <c r="L541" s="8"/>
      <c r="M541" s="130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128"/>
      <c r="D542" s="2"/>
      <c r="E542" s="2"/>
      <c r="F542" s="2"/>
      <c r="G542" s="2"/>
      <c r="H542" s="2"/>
      <c r="I542" s="2"/>
      <c r="J542" s="2"/>
      <c r="K542" s="128"/>
      <c r="L542" s="8"/>
      <c r="M542" s="130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128"/>
      <c r="D543" s="2"/>
      <c r="E543" s="2"/>
      <c r="F543" s="2"/>
      <c r="G543" s="2"/>
      <c r="H543" s="2"/>
      <c r="I543" s="2"/>
      <c r="J543" s="2"/>
      <c r="K543" s="128"/>
      <c r="L543" s="8"/>
      <c r="M543" s="130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128"/>
      <c r="D544" s="2"/>
      <c r="E544" s="2"/>
      <c r="F544" s="2"/>
      <c r="G544" s="2"/>
      <c r="H544" s="2"/>
      <c r="I544" s="2"/>
      <c r="J544" s="2"/>
      <c r="K544" s="128"/>
      <c r="L544" s="8"/>
      <c r="M544" s="130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128"/>
      <c r="D545" s="2"/>
      <c r="E545" s="2"/>
      <c r="F545" s="2"/>
      <c r="G545" s="2"/>
      <c r="H545" s="2"/>
      <c r="I545" s="2"/>
      <c r="J545" s="2"/>
      <c r="K545" s="128"/>
      <c r="L545" s="8"/>
      <c r="M545" s="130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128"/>
      <c r="D546" s="2"/>
      <c r="E546" s="2"/>
      <c r="F546" s="2"/>
      <c r="G546" s="2"/>
      <c r="H546" s="2"/>
      <c r="I546" s="2"/>
      <c r="J546" s="2"/>
      <c r="K546" s="128"/>
      <c r="L546" s="8"/>
      <c r="M546" s="130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128"/>
      <c r="D547" s="2"/>
      <c r="E547" s="2"/>
      <c r="F547" s="2"/>
      <c r="G547" s="2"/>
      <c r="H547" s="2"/>
      <c r="I547" s="2"/>
      <c r="J547" s="2"/>
      <c r="K547" s="128"/>
      <c r="L547" s="8"/>
      <c r="M547" s="130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128"/>
      <c r="D548" s="2"/>
      <c r="E548" s="2"/>
      <c r="F548" s="2"/>
      <c r="G548" s="2"/>
      <c r="H548" s="2"/>
      <c r="I548" s="2"/>
      <c r="J548" s="2"/>
      <c r="K548" s="128"/>
      <c r="L548" s="8"/>
      <c r="M548" s="130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128"/>
      <c r="D549" s="2"/>
      <c r="E549" s="2"/>
      <c r="F549" s="2"/>
      <c r="G549" s="2"/>
      <c r="H549" s="2"/>
      <c r="I549" s="2"/>
      <c r="J549" s="2"/>
      <c r="K549" s="128"/>
      <c r="L549" s="8"/>
      <c r="M549" s="130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128"/>
      <c r="D550" s="2"/>
      <c r="E550" s="2"/>
      <c r="F550" s="2"/>
      <c r="G550" s="2"/>
      <c r="H550" s="2"/>
      <c r="I550" s="2"/>
      <c r="J550" s="2"/>
      <c r="K550" s="128"/>
      <c r="L550" s="8"/>
      <c r="M550" s="130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128"/>
      <c r="D551" s="2"/>
      <c r="E551" s="2"/>
      <c r="F551" s="2"/>
      <c r="G551" s="2"/>
      <c r="H551" s="2"/>
      <c r="I551" s="2"/>
      <c r="J551" s="2"/>
      <c r="K551" s="128"/>
      <c r="L551" s="8"/>
      <c r="M551" s="130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128"/>
      <c r="D552" s="2"/>
      <c r="E552" s="2"/>
      <c r="F552" s="2"/>
      <c r="G552" s="2"/>
      <c r="H552" s="2"/>
      <c r="I552" s="2"/>
      <c r="J552" s="2"/>
      <c r="K552" s="128"/>
      <c r="L552" s="8"/>
      <c r="M552" s="130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128"/>
      <c r="D553" s="2"/>
      <c r="E553" s="2"/>
      <c r="F553" s="2"/>
      <c r="G553" s="2"/>
      <c r="H553" s="2"/>
      <c r="I553" s="2"/>
      <c r="J553" s="2"/>
      <c r="K553" s="128"/>
      <c r="L553" s="8"/>
      <c r="M553" s="130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128"/>
      <c r="D554" s="2"/>
      <c r="E554" s="2"/>
      <c r="F554" s="2"/>
      <c r="G554" s="2"/>
      <c r="H554" s="2"/>
      <c r="I554" s="2"/>
      <c r="J554" s="2"/>
      <c r="K554" s="128"/>
      <c r="L554" s="8"/>
      <c r="M554" s="130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128"/>
      <c r="D555" s="2"/>
      <c r="E555" s="2"/>
      <c r="F555" s="2"/>
      <c r="G555" s="2"/>
      <c r="H555" s="2"/>
      <c r="I555" s="2"/>
      <c r="J555" s="2"/>
      <c r="K555" s="128"/>
      <c r="L555" s="8"/>
      <c r="M555" s="130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128"/>
      <c r="D556" s="2"/>
      <c r="E556" s="2"/>
      <c r="F556" s="2"/>
      <c r="G556" s="2"/>
      <c r="H556" s="2"/>
      <c r="I556" s="2"/>
      <c r="J556" s="2"/>
      <c r="K556" s="128"/>
      <c r="L556" s="8"/>
      <c r="M556" s="130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128"/>
      <c r="D557" s="2"/>
      <c r="E557" s="2"/>
      <c r="F557" s="2"/>
      <c r="G557" s="2"/>
      <c r="H557" s="2"/>
      <c r="I557" s="2"/>
      <c r="J557" s="2"/>
      <c r="K557" s="128"/>
      <c r="L557" s="8"/>
      <c r="M557" s="130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128"/>
      <c r="D558" s="2"/>
      <c r="E558" s="2"/>
      <c r="F558" s="2"/>
      <c r="G558" s="2"/>
      <c r="H558" s="2"/>
      <c r="I558" s="2"/>
      <c r="J558" s="2"/>
      <c r="K558" s="128"/>
      <c r="L558" s="8"/>
      <c r="M558" s="130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128"/>
      <c r="D559" s="2"/>
      <c r="E559" s="2"/>
      <c r="F559" s="2"/>
      <c r="G559" s="2"/>
      <c r="H559" s="2"/>
      <c r="I559" s="2"/>
      <c r="J559" s="2"/>
      <c r="K559" s="128"/>
      <c r="L559" s="8"/>
      <c r="M559" s="130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128"/>
      <c r="D560" s="2"/>
      <c r="E560" s="2"/>
      <c r="F560" s="2"/>
      <c r="G560" s="2"/>
      <c r="H560" s="2"/>
      <c r="I560" s="2"/>
      <c r="J560" s="2"/>
      <c r="K560" s="128"/>
      <c r="L560" s="8"/>
      <c r="M560" s="130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128"/>
      <c r="D561" s="2"/>
      <c r="E561" s="2"/>
      <c r="F561" s="2"/>
      <c r="G561" s="2"/>
      <c r="H561" s="2"/>
      <c r="I561" s="2"/>
      <c r="J561" s="2"/>
      <c r="K561" s="128"/>
      <c r="L561" s="8"/>
      <c r="M561" s="130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128"/>
      <c r="D562" s="2"/>
      <c r="E562" s="2"/>
      <c r="F562" s="2"/>
      <c r="G562" s="2"/>
      <c r="H562" s="2"/>
      <c r="I562" s="2"/>
      <c r="J562" s="2"/>
      <c r="K562" s="128"/>
      <c r="L562" s="8"/>
      <c r="M562" s="130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128"/>
      <c r="D563" s="2"/>
      <c r="E563" s="2"/>
      <c r="F563" s="2"/>
      <c r="G563" s="2"/>
      <c r="H563" s="2"/>
      <c r="I563" s="2"/>
      <c r="J563" s="2"/>
      <c r="K563" s="128"/>
      <c r="L563" s="8"/>
      <c r="M563" s="130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128"/>
      <c r="D564" s="2"/>
      <c r="E564" s="2"/>
      <c r="F564" s="2"/>
      <c r="G564" s="2"/>
      <c r="H564" s="2"/>
      <c r="I564" s="2"/>
      <c r="J564" s="2"/>
      <c r="K564" s="128"/>
      <c r="L564" s="8"/>
      <c r="M564" s="130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128"/>
      <c r="D565" s="2"/>
      <c r="E565" s="2"/>
      <c r="F565" s="2"/>
      <c r="G565" s="2"/>
      <c r="H565" s="2"/>
      <c r="I565" s="2"/>
      <c r="J565" s="2"/>
      <c r="K565" s="128"/>
      <c r="L565" s="8"/>
      <c r="M565" s="130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128"/>
      <c r="D566" s="2"/>
      <c r="E566" s="2"/>
      <c r="F566" s="2"/>
      <c r="G566" s="2"/>
      <c r="H566" s="2"/>
      <c r="I566" s="2"/>
      <c r="J566" s="2"/>
      <c r="K566" s="128"/>
      <c r="L566" s="8"/>
      <c r="M566" s="130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128"/>
      <c r="D567" s="2"/>
      <c r="E567" s="2"/>
      <c r="F567" s="2"/>
      <c r="G567" s="2"/>
      <c r="H567" s="2"/>
      <c r="I567" s="2"/>
      <c r="J567" s="2"/>
      <c r="K567" s="128"/>
      <c r="L567" s="8"/>
      <c r="M567" s="130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128"/>
      <c r="D568" s="2"/>
      <c r="E568" s="2"/>
      <c r="F568" s="2"/>
      <c r="G568" s="2"/>
      <c r="H568" s="2"/>
      <c r="I568" s="2"/>
      <c r="J568" s="2"/>
      <c r="K568" s="128"/>
      <c r="L568" s="8"/>
      <c r="M568" s="130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128"/>
      <c r="D569" s="2"/>
      <c r="E569" s="2"/>
      <c r="F569" s="2"/>
      <c r="G569" s="2"/>
      <c r="H569" s="2"/>
      <c r="I569" s="2"/>
      <c r="J569" s="2"/>
      <c r="K569" s="128"/>
      <c r="L569" s="8"/>
      <c r="M569" s="130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128"/>
      <c r="D570" s="2"/>
      <c r="E570" s="2"/>
      <c r="F570" s="2"/>
      <c r="G570" s="2"/>
      <c r="H570" s="2"/>
      <c r="I570" s="2"/>
      <c r="J570" s="2"/>
      <c r="K570" s="128"/>
      <c r="L570" s="8"/>
      <c r="M570" s="130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128"/>
      <c r="D571" s="2"/>
      <c r="E571" s="2"/>
      <c r="F571" s="2"/>
      <c r="G571" s="2"/>
      <c r="H571" s="2"/>
      <c r="I571" s="2"/>
      <c r="J571" s="2"/>
      <c r="K571" s="128"/>
      <c r="L571" s="8"/>
      <c r="M571" s="130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128"/>
      <c r="D572" s="2"/>
      <c r="E572" s="2"/>
      <c r="F572" s="2"/>
      <c r="G572" s="2"/>
      <c r="H572" s="2"/>
      <c r="I572" s="2"/>
      <c r="J572" s="2"/>
      <c r="K572" s="128"/>
      <c r="L572" s="8"/>
      <c r="M572" s="130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128"/>
      <c r="D573" s="2"/>
      <c r="E573" s="2"/>
      <c r="F573" s="2"/>
      <c r="G573" s="2"/>
      <c r="H573" s="2"/>
      <c r="I573" s="2"/>
      <c r="J573" s="2"/>
      <c r="K573" s="128"/>
      <c r="L573" s="8"/>
      <c r="M573" s="130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128"/>
      <c r="D574" s="2"/>
      <c r="E574" s="2"/>
      <c r="F574" s="2"/>
      <c r="G574" s="2"/>
      <c r="H574" s="2"/>
      <c r="I574" s="2"/>
      <c r="J574" s="2"/>
      <c r="K574" s="128"/>
      <c r="L574" s="8"/>
      <c r="M574" s="130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128"/>
      <c r="D575" s="2"/>
      <c r="E575" s="2"/>
      <c r="F575" s="2"/>
      <c r="G575" s="2"/>
      <c r="H575" s="2"/>
      <c r="I575" s="2"/>
      <c r="J575" s="2"/>
      <c r="K575" s="128"/>
      <c r="L575" s="8"/>
      <c r="M575" s="130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128"/>
      <c r="D576" s="2"/>
      <c r="E576" s="2"/>
      <c r="F576" s="2"/>
      <c r="G576" s="2"/>
      <c r="H576" s="2"/>
      <c r="I576" s="2"/>
      <c r="J576" s="2"/>
      <c r="K576" s="128"/>
      <c r="L576" s="8"/>
      <c r="M576" s="130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128"/>
      <c r="D577" s="2"/>
      <c r="E577" s="2"/>
      <c r="F577" s="2"/>
      <c r="G577" s="2"/>
      <c r="H577" s="2"/>
      <c r="I577" s="2"/>
      <c r="J577" s="2"/>
      <c r="K577" s="128"/>
      <c r="L577" s="8"/>
      <c r="M577" s="130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128"/>
      <c r="D578" s="2"/>
      <c r="E578" s="2"/>
      <c r="F578" s="2"/>
      <c r="G578" s="2"/>
      <c r="H578" s="2"/>
      <c r="I578" s="2"/>
      <c r="J578" s="2"/>
      <c r="K578" s="128"/>
      <c r="L578" s="8"/>
      <c r="M578" s="130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128"/>
      <c r="D579" s="2"/>
      <c r="E579" s="2"/>
      <c r="F579" s="2"/>
      <c r="G579" s="2"/>
      <c r="H579" s="2"/>
      <c r="I579" s="2"/>
      <c r="J579" s="2"/>
      <c r="K579" s="128"/>
      <c r="L579" s="8"/>
      <c r="M579" s="130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128"/>
      <c r="D580" s="2"/>
      <c r="E580" s="2"/>
      <c r="F580" s="2"/>
      <c r="G580" s="2"/>
      <c r="H580" s="2"/>
      <c r="I580" s="2"/>
      <c r="J580" s="2"/>
      <c r="K580" s="128"/>
      <c r="L580" s="8"/>
      <c r="M580" s="130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128"/>
      <c r="D581" s="2"/>
      <c r="E581" s="2"/>
      <c r="F581" s="2"/>
      <c r="G581" s="2"/>
      <c r="H581" s="2"/>
      <c r="I581" s="2"/>
      <c r="J581" s="2"/>
      <c r="K581" s="128"/>
      <c r="L581" s="8"/>
      <c r="M581" s="130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128"/>
      <c r="D582" s="2"/>
      <c r="E582" s="2"/>
      <c r="F582" s="2"/>
      <c r="G582" s="2"/>
      <c r="H582" s="2"/>
      <c r="I582" s="2"/>
      <c r="J582" s="2"/>
      <c r="K582" s="128"/>
      <c r="L582" s="8"/>
      <c r="M582" s="130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128"/>
      <c r="D583" s="2"/>
      <c r="E583" s="2"/>
      <c r="F583" s="2"/>
      <c r="G583" s="2"/>
      <c r="H583" s="2"/>
      <c r="I583" s="2"/>
      <c r="J583" s="2"/>
      <c r="K583" s="128"/>
      <c r="L583" s="8"/>
      <c r="M583" s="130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128"/>
      <c r="D584" s="2"/>
      <c r="E584" s="2"/>
      <c r="F584" s="2"/>
      <c r="G584" s="2"/>
      <c r="H584" s="2"/>
      <c r="I584" s="2"/>
      <c r="J584" s="2"/>
      <c r="K584" s="128"/>
      <c r="L584" s="8"/>
      <c r="M584" s="130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128"/>
      <c r="D585" s="2"/>
      <c r="E585" s="2"/>
      <c r="F585" s="2"/>
      <c r="G585" s="2"/>
      <c r="H585" s="2"/>
      <c r="I585" s="2"/>
      <c r="J585" s="2"/>
      <c r="K585" s="128"/>
      <c r="L585" s="8"/>
      <c r="M585" s="130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128"/>
      <c r="D586" s="2"/>
      <c r="E586" s="2"/>
      <c r="F586" s="2"/>
      <c r="G586" s="2"/>
      <c r="H586" s="2"/>
      <c r="I586" s="2"/>
      <c r="J586" s="2"/>
      <c r="K586" s="128"/>
      <c r="L586" s="8"/>
      <c r="M586" s="130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128"/>
      <c r="D587" s="2"/>
      <c r="E587" s="2"/>
      <c r="F587" s="2"/>
      <c r="G587" s="2"/>
      <c r="H587" s="2"/>
      <c r="I587" s="2"/>
      <c r="J587" s="2"/>
      <c r="K587" s="128"/>
      <c r="L587" s="8"/>
      <c r="M587" s="130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128"/>
      <c r="D588" s="2"/>
      <c r="E588" s="2"/>
      <c r="F588" s="2"/>
      <c r="G588" s="2"/>
      <c r="H588" s="2"/>
      <c r="I588" s="2"/>
      <c r="J588" s="2"/>
      <c r="K588" s="128"/>
      <c r="L588" s="8"/>
      <c r="M588" s="130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128"/>
      <c r="D589" s="2"/>
      <c r="E589" s="2"/>
      <c r="F589" s="2"/>
      <c r="G589" s="2"/>
      <c r="H589" s="2"/>
      <c r="I589" s="2"/>
      <c r="J589" s="2"/>
      <c r="K589" s="128"/>
      <c r="L589" s="8"/>
      <c r="M589" s="130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128"/>
      <c r="D590" s="2"/>
      <c r="E590" s="2"/>
      <c r="F590" s="2"/>
      <c r="G590" s="2"/>
      <c r="H590" s="2"/>
      <c r="I590" s="2"/>
      <c r="J590" s="2"/>
      <c r="K590" s="128"/>
      <c r="L590" s="8"/>
      <c r="M590" s="130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128"/>
      <c r="D591" s="2"/>
      <c r="E591" s="2"/>
      <c r="F591" s="2"/>
      <c r="G591" s="2"/>
      <c r="H591" s="2"/>
      <c r="I591" s="2"/>
      <c r="J591" s="2"/>
      <c r="K591" s="128"/>
      <c r="L591" s="8"/>
      <c r="M591" s="130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128"/>
      <c r="D592" s="2"/>
      <c r="E592" s="2"/>
      <c r="F592" s="2"/>
      <c r="G592" s="2"/>
      <c r="H592" s="2"/>
      <c r="I592" s="2"/>
      <c r="J592" s="2"/>
      <c r="K592" s="128"/>
      <c r="L592" s="8"/>
      <c r="M592" s="130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128"/>
      <c r="D593" s="2"/>
      <c r="E593" s="2"/>
      <c r="F593" s="2"/>
      <c r="G593" s="2"/>
      <c r="H593" s="2"/>
      <c r="I593" s="2"/>
      <c r="J593" s="2"/>
      <c r="K593" s="128"/>
      <c r="L593" s="8"/>
      <c r="M593" s="130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128"/>
      <c r="D594" s="2"/>
      <c r="E594" s="2"/>
      <c r="F594" s="2"/>
      <c r="G594" s="2"/>
      <c r="H594" s="2"/>
      <c r="I594" s="2"/>
      <c r="J594" s="2"/>
      <c r="K594" s="128"/>
      <c r="L594" s="8"/>
      <c r="M594" s="130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128"/>
      <c r="D595" s="2"/>
      <c r="E595" s="2"/>
      <c r="F595" s="2"/>
      <c r="G595" s="2"/>
      <c r="H595" s="2"/>
      <c r="I595" s="2"/>
      <c r="J595" s="2"/>
      <c r="K595" s="128"/>
      <c r="L595" s="8"/>
      <c r="M595" s="130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128"/>
      <c r="D596" s="2"/>
      <c r="E596" s="2"/>
      <c r="F596" s="2"/>
      <c r="G596" s="2"/>
      <c r="H596" s="2"/>
      <c r="I596" s="2"/>
      <c r="J596" s="2"/>
      <c r="K596" s="128"/>
      <c r="L596" s="8"/>
      <c r="M596" s="130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128"/>
      <c r="D597" s="2"/>
      <c r="E597" s="2"/>
      <c r="F597" s="2"/>
      <c r="G597" s="2"/>
      <c r="H597" s="2"/>
      <c r="I597" s="2"/>
      <c r="J597" s="2"/>
      <c r="K597" s="128"/>
      <c r="L597" s="8"/>
      <c r="M597" s="130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128"/>
      <c r="D598" s="2"/>
      <c r="E598" s="2"/>
      <c r="F598" s="2"/>
      <c r="G598" s="2"/>
      <c r="H598" s="2"/>
      <c r="I598" s="2"/>
      <c r="J598" s="2"/>
      <c r="K598" s="128"/>
      <c r="L598" s="8"/>
      <c r="M598" s="130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128"/>
      <c r="D599" s="2"/>
      <c r="E599" s="2"/>
      <c r="F599" s="2"/>
      <c r="G599" s="2"/>
      <c r="H599" s="2"/>
      <c r="I599" s="2"/>
      <c r="J599" s="2"/>
      <c r="K599" s="128"/>
      <c r="L599" s="8"/>
      <c r="M599" s="130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128"/>
      <c r="D600" s="2"/>
      <c r="E600" s="2"/>
      <c r="F600" s="2"/>
      <c r="G600" s="2"/>
      <c r="H600" s="2"/>
      <c r="I600" s="2"/>
      <c r="J600" s="2"/>
      <c r="K600" s="128"/>
      <c r="L600" s="8"/>
      <c r="M600" s="130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128"/>
      <c r="D601" s="2"/>
      <c r="E601" s="2"/>
      <c r="F601" s="2"/>
      <c r="G601" s="2"/>
      <c r="H601" s="2"/>
      <c r="I601" s="2"/>
      <c r="J601" s="2"/>
      <c r="K601" s="128"/>
      <c r="L601" s="8"/>
      <c r="M601" s="130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128"/>
      <c r="D602" s="2"/>
      <c r="E602" s="2"/>
      <c r="F602" s="2"/>
      <c r="G602" s="2"/>
      <c r="H602" s="2"/>
      <c r="I602" s="2"/>
      <c r="J602" s="2"/>
      <c r="K602" s="128"/>
      <c r="L602" s="8"/>
      <c r="M602" s="130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128"/>
      <c r="D603" s="2"/>
      <c r="E603" s="2"/>
      <c r="F603" s="2"/>
      <c r="G603" s="2"/>
      <c r="H603" s="2"/>
      <c r="I603" s="2"/>
      <c r="J603" s="2"/>
      <c r="K603" s="128"/>
      <c r="L603" s="8"/>
      <c r="M603" s="130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128"/>
      <c r="D604" s="2"/>
      <c r="E604" s="2"/>
      <c r="F604" s="2"/>
      <c r="G604" s="2"/>
      <c r="H604" s="2"/>
      <c r="I604" s="2"/>
      <c r="J604" s="2"/>
      <c r="K604" s="128"/>
      <c r="L604" s="8"/>
      <c r="M604" s="130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128"/>
      <c r="D605" s="2"/>
      <c r="E605" s="2"/>
      <c r="F605" s="2"/>
      <c r="G605" s="2"/>
      <c r="H605" s="2"/>
      <c r="I605" s="2"/>
      <c r="J605" s="2"/>
      <c r="K605" s="128"/>
      <c r="L605" s="8"/>
      <c r="M605" s="130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128"/>
      <c r="D606" s="2"/>
      <c r="E606" s="2"/>
      <c r="F606" s="2"/>
      <c r="G606" s="2"/>
      <c r="H606" s="2"/>
      <c r="I606" s="2"/>
      <c r="J606" s="2"/>
      <c r="K606" s="128"/>
      <c r="L606" s="8"/>
      <c r="M606" s="130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128"/>
      <c r="D607" s="2"/>
      <c r="E607" s="2"/>
      <c r="F607" s="2"/>
      <c r="G607" s="2"/>
      <c r="H607" s="2"/>
      <c r="I607" s="2"/>
      <c r="J607" s="2"/>
      <c r="K607" s="128"/>
      <c r="L607" s="8"/>
      <c r="M607" s="130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128"/>
      <c r="D608" s="2"/>
      <c r="E608" s="2"/>
      <c r="F608" s="2"/>
      <c r="G608" s="2"/>
      <c r="H608" s="2"/>
      <c r="I608" s="2"/>
      <c r="J608" s="2"/>
      <c r="K608" s="128"/>
      <c r="L608" s="8"/>
      <c r="M608" s="130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128"/>
      <c r="D609" s="2"/>
      <c r="E609" s="2"/>
      <c r="F609" s="2"/>
      <c r="G609" s="2"/>
      <c r="H609" s="2"/>
      <c r="I609" s="2"/>
      <c r="J609" s="2"/>
      <c r="K609" s="128"/>
      <c r="L609" s="8"/>
      <c r="M609" s="130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128"/>
      <c r="D610" s="2"/>
      <c r="E610" s="2"/>
      <c r="F610" s="2"/>
      <c r="G610" s="2"/>
      <c r="H610" s="2"/>
      <c r="I610" s="2"/>
      <c r="J610" s="2"/>
      <c r="K610" s="128"/>
      <c r="L610" s="8"/>
      <c r="M610" s="130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128"/>
      <c r="D611" s="2"/>
      <c r="E611" s="2"/>
      <c r="F611" s="2"/>
      <c r="G611" s="2"/>
      <c r="H611" s="2"/>
      <c r="I611" s="2"/>
      <c r="J611" s="2"/>
      <c r="K611" s="128"/>
      <c r="L611" s="8"/>
      <c r="M611" s="130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128"/>
      <c r="D612" s="2"/>
      <c r="E612" s="2"/>
      <c r="F612" s="2"/>
      <c r="G612" s="2"/>
      <c r="H612" s="2"/>
      <c r="I612" s="2"/>
      <c r="J612" s="2"/>
      <c r="K612" s="128"/>
      <c r="L612" s="8"/>
      <c r="M612" s="130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128"/>
      <c r="D613" s="2"/>
      <c r="E613" s="2"/>
      <c r="F613" s="2"/>
      <c r="G613" s="2"/>
      <c r="H613" s="2"/>
      <c r="I613" s="2"/>
      <c r="J613" s="2"/>
      <c r="K613" s="128"/>
      <c r="L613" s="8"/>
      <c r="M613" s="130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128"/>
      <c r="D614" s="2"/>
      <c r="E614" s="2"/>
      <c r="F614" s="2"/>
      <c r="G614" s="2"/>
      <c r="H614" s="2"/>
      <c r="I614" s="2"/>
      <c r="J614" s="2"/>
      <c r="K614" s="128"/>
      <c r="L614" s="8"/>
      <c r="M614" s="130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128"/>
      <c r="D615" s="2"/>
      <c r="E615" s="2"/>
      <c r="F615" s="2"/>
      <c r="G615" s="2"/>
      <c r="H615" s="2"/>
      <c r="I615" s="2"/>
      <c r="J615" s="2"/>
      <c r="K615" s="128"/>
      <c r="L615" s="8"/>
      <c r="M615" s="130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128"/>
      <c r="D616" s="2"/>
      <c r="E616" s="2"/>
      <c r="F616" s="2"/>
      <c r="G616" s="2"/>
      <c r="H616" s="2"/>
      <c r="I616" s="2"/>
      <c r="J616" s="2"/>
      <c r="K616" s="128"/>
      <c r="L616" s="8"/>
      <c r="M616" s="130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128"/>
      <c r="D617" s="2"/>
      <c r="E617" s="2"/>
      <c r="F617" s="2"/>
      <c r="G617" s="2"/>
      <c r="H617" s="2"/>
      <c r="I617" s="2"/>
      <c r="J617" s="2"/>
      <c r="K617" s="128"/>
      <c r="L617" s="8"/>
      <c r="M617" s="130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128"/>
      <c r="D618" s="2"/>
      <c r="E618" s="2"/>
      <c r="F618" s="2"/>
      <c r="G618" s="2"/>
      <c r="H618" s="2"/>
      <c r="I618" s="2"/>
      <c r="J618" s="2"/>
      <c r="K618" s="128"/>
      <c r="L618" s="8"/>
      <c r="M618" s="130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128"/>
      <c r="D619" s="2"/>
      <c r="E619" s="2"/>
      <c r="F619" s="2"/>
      <c r="G619" s="2"/>
      <c r="H619" s="2"/>
      <c r="I619" s="2"/>
      <c r="J619" s="2"/>
      <c r="K619" s="128"/>
      <c r="L619" s="8"/>
      <c r="M619" s="130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128"/>
      <c r="D620" s="2"/>
      <c r="E620" s="2"/>
      <c r="F620" s="2"/>
      <c r="G620" s="2"/>
      <c r="H620" s="2"/>
      <c r="I620" s="2"/>
      <c r="J620" s="2"/>
      <c r="K620" s="128"/>
      <c r="L620" s="8"/>
      <c r="M620" s="130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128"/>
      <c r="D621" s="2"/>
      <c r="E621" s="2"/>
      <c r="F621" s="2"/>
      <c r="G621" s="2"/>
      <c r="H621" s="2"/>
      <c r="I621" s="2"/>
      <c r="J621" s="2"/>
      <c r="K621" s="128"/>
      <c r="L621" s="8"/>
      <c r="M621" s="130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128"/>
      <c r="D622" s="2"/>
      <c r="E622" s="2"/>
      <c r="F622" s="2"/>
      <c r="G622" s="2"/>
      <c r="H622" s="2"/>
      <c r="I622" s="2"/>
      <c r="J622" s="2"/>
      <c r="K622" s="128"/>
      <c r="L622" s="8"/>
      <c r="M622" s="130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128"/>
      <c r="D623" s="2"/>
      <c r="E623" s="2"/>
      <c r="F623" s="2"/>
      <c r="G623" s="2"/>
      <c r="H623" s="2"/>
      <c r="I623" s="2"/>
      <c r="J623" s="2"/>
      <c r="K623" s="128"/>
      <c r="L623" s="8"/>
      <c r="M623" s="130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128"/>
      <c r="D624" s="2"/>
      <c r="E624" s="2"/>
      <c r="F624" s="2"/>
      <c r="G624" s="2"/>
      <c r="H624" s="2"/>
      <c r="I624" s="2"/>
      <c r="J624" s="2"/>
      <c r="K624" s="128"/>
      <c r="L624" s="8"/>
      <c r="M624" s="130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128"/>
      <c r="D625" s="2"/>
      <c r="E625" s="2"/>
      <c r="F625" s="2"/>
      <c r="G625" s="2"/>
      <c r="H625" s="2"/>
      <c r="I625" s="2"/>
      <c r="J625" s="2"/>
      <c r="K625" s="128"/>
      <c r="L625" s="8"/>
      <c r="M625" s="130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128"/>
      <c r="D626" s="2"/>
      <c r="E626" s="2"/>
      <c r="F626" s="2"/>
      <c r="G626" s="2"/>
      <c r="H626" s="2"/>
      <c r="I626" s="2"/>
      <c r="J626" s="2"/>
      <c r="K626" s="128"/>
      <c r="L626" s="8"/>
      <c r="M626" s="130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128"/>
      <c r="D627" s="2"/>
      <c r="E627" s="2"/>
      <c r="F627" s="2"/>
      <c r="G627" s="2"/>
      <c r="H627" s="2"/>
      <c r="I627" s="2"/>
      <c r="J627" s="2"/>
      <c r="K627" s="128"/>
      <c r="L627" s="8"/>
      <c r="M627" s="130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128"/>
      <c r="D628" s="2"/>
      <c r="E628" s="2"/>
      <c r="F628" s="2"/>
      <c r="G628" s="2"/>
      <c r="H628" s="2"/>
      <c r="I628" s="2"/>
      <c r="J628" s="2"/>
      <c r="K628" s="128"/>
      <c r="L628" s="8"/>
      <c r="M628" s="130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128"/>
      <c r="D629" s="2"/>
      <c r="E629" s="2"/>
      <c r="F629" s="2"/>
      <c r="G629" s="2"/>
      <c r="H629" s="2"/>
      <c r="I629" s="2"/>
      <c r="J629" s="2"/>
      <c r="K629" s="128"/>
      <c r="L629" s="8"/>
      <c r="M629" s="130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128"/>
      <c r="D630" s="2"/>
      <c r="E630" s="2"/>
      <c r="F630" s="2"/>
      <c r="G630" s="2"/>
      <c r="H630" s="2"/>
      <c r="I630" s="2"/>
      <c r="J630" s="2"/>
      <c r="K630" s="128"/>
      <c r="L630" s="8"/>
      <c r="M630" s="130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128"/>
      <c r="D631" s="2"/>
      <c r="E631" s="2"/>
      <c r="F631" s="2"/>
      <c r="G631" s="2"/>
      <c r="H631" s="2"/>
      <c r="I631" s="2"/>
      <c r="J631" s="2"/>
      <c r="K631" s="128"/>
      <c r="L631" s="8"/>
      <c r="M631" s="130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128"/>
      <c r="D632" s="2"/>
      <c r="E632" s="2"/>
      <c r="F632" s="2"/>
      <c r="G632" s="2"/>
      <c r="H632" s="2"/>
      <c r="I632" s="2"/>
      <c r="J632" s="2"/>
      <c r="K632" s="128"/>
      <c r="L632" s="8"/>
      <c r="M632" s="130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128"/>
      <c r="D633" s="2"/>
      <c r="E633" s="2"/>
      <c r="F633" s="2"/>
      <c r="G633" s="2"/>
      <c r="H633" s="2"/>
      <c r="I633" s="2"/>
      <c r="J633" s="2"/>
      <c r="K633" s="128"/>
      <c r="L633" s="8"/>
      <c r="M633" s="130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128"/>
      <c r="D634" s="2"/>
      <c r="E634" s="2"/>
      <c r="F634" s="2"/>
      <c r="G634" s="2"/>
      <c r="H634" s="2"/>
      <c r="I634" s="2"/>
      <c r="J634" s="2"/>
      <c r="K634" s="128"/>
      <c r="L634" s="8"/>
      <c r="M634" s="130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128"/>
      <c r="D635" s="2"/>
      <c r="E635" s="2"/>
      <c r="F635" s="2"/>
      <c r="G635" s="2"/>
      <c r="H635" s="2"/>
      <c r="I635" s="2"/>
      <c r="J635" s="2"/>
      <c r="K635" s="128"/>
      <c r="L635" s="8"/>
      <c r="M635" s="130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128"/>
      <c r="D636" s="2"/>
      <c r="E636" s="2"/>
      <c r="F636" s="2"/>
      <c r="G636" s="2"/>
      <c r="H636" s="2"/>
      <c r="I636" s="2"/>
      <c r="J636" s="2"/>
      <c r="K636" s="128"/>
      <c r="L636" s="8"/>
      <c r="M636" s="130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128"/>
      <c r="D637" s="2"/>
      <c r="E637" s="2"/>
      <c r="F637" s="2"/>
      <c r="G637" s="2"/>
      <c r="H637" s="2"/>
      <c r="I637" s="2"/>
      <c r="J637" s="2"/>
      <c r="K637" s="128"/>
      <c r="L637" s="8"/>
      <c r="M637" s="130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128"/>
      <c r="D638" s="2"/>
      <c r="E638" s="2"/>
      <c r="F638" s="2"/>
      <c r="G638" s="2"/>
      <c r="H638" s="2"/>
      <c r="I638" s="2"/>
      <c r="J638" s="2"/>
      <c r="K638" s="128"/>
      <c r="L638" s="8"/>
      <c r="M638" s="130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128"/>
      <c r="D639" s="2"/>
      <c r="E639" s="2"/>
      <c r="F639" s="2"/>
      <c r="G639" s="2"/>
      <c r="H639" s="2"/>
      <c r="I639" s="2"/>
      <c r="J639" s="2"/>
      <c r="K639" s="128"/>
      <c r="L639" s="8"/>
      <c r="M639" s="130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128"/>
      <c r="D640" s="2"/>
      <c r="E640" s="2"/>
      <c r="F640" s="2"/>
      <c r="G640" s="2"/>
      <c r="H640" s="2"/>
      <c r="I640" s="2"/>
      <c r="J640" s="2"/>
      <c r="K640" s="128"/>
      <c r="L640" s="8"/>
      <c r="M640" s="130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128"/>
      <c r="D641" s="2"/>
      <c r="E641" s="2"/>
      <c r="F641" s="2"/>
      <c r="G641" s="2"/>
      <c r="H641" s="2"/>
      <c r="I641" s="2"/>
      <c r="J641" s="2"/>
      <c r="K641" s="128"/>
      <c r="L641" s="8"/>
      <c r="M641" s="130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128"/>
      <c r="D642" s="2"/>
      <c r="E642" s="2"/>
      <c r="F642" s="2"/>
      <c r="G642" s="2"/>
      <c r="H642" s="2"/>
      <c r="I642" s="2"/>
      <c r="J642" s="2"/>
      <c r="K642" s="128"/>
      <c r="L642" s="8"/>
      <c r="M642" s="130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128"/>
      <c r="D643" s="2"/>
      <c r="E643" s="2"/>
      <c r="F643" s="2"/>
      <c r="G643" s="2"/>
      <c r="H643" s="2"/>
      <c r="I643" s="2"/>
      <c r="J643" s="2"/>
      <c r="K643" s="128"/>
      <c r="L643" s="8"/>
      <c r="M643" s="130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128"/>
      <c r="D644" s="2"/>
      <c r="E644" s="2"/>
      <c r="F644" s="2"/>
      <c r="G644" s="2"/>
      <c r="H644" s="2"/>
      <c r="I644" s="2"/>
      <c r="J644" s="2"/>
      <c r="K644" s="128"/>
      <c r="L644" s="8"/>
      <c r="M644" s="130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128"/>
      <c r="D645" s="2"/>
      <c r="E645" s="2"/>
      <c r="F645" s="2"/>
      <c r="G645" s="2"/>
      <c r="H645" s="2"/>
      <c r="I645" s="2"/>
      <c r="J645" s="2"/>
      <c r="K645" s="128"/>
      <c r="L645" s="8"/>
      <c r="M645" s="130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128"/>
      <c r="D646" s="2"/>
      <c r="E646" s="2"/>
      <c r="F646" s="2"/>
      <c r="G646" s="2"/>
      <c r="H646" s="2"/>
      <c r="I646" s="2"/>
      <c r="J646" s="2"/>
      <c r="K646" s="128"/>
      <c r="L646" s="8"/>
      <c r="M646" s="130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128"/>
      <c r="D647" s="2"/>
      <c r="E647" s="2"/>
      <c r="F647" s="2"/>
      <c r="G647" s="2"/>
      <c r="H647" s="2"/>
      <c r="I647" s="2"/>
      <c r="J647" s="2"/>
      <c r="K647" s="128"/>
      <c r="L647" s="8"/>
      <c r="M647" s="130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128"/>
      <c r="D648" s="2"/>
      <c r="E648" s="2"/>
      <c r="F648" s="2"/>
      <c r="G648" s="2"/>
      <c r="H648" s="2"/>
      <c r="I648" s="2"/>
      <c r="J648" s="2"/>
      <c r="K648" s="128"/>
      <c r="L648" s="8"/>
      <c r="M648" s="130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128"/>
      <c r="D649" s="2"/>
      <c r="E649" s="2"/>
      <c r="F649" s="2"/>
      <c r="G649" s="2"/>
      <c r="H649" s="2"/>
      <c r="I649" s="2"/>
      <c r="J649" s="2"/>
      <c r="K649" s="128"/>
      <c r="L649" s="8"/>
      <c r="M649" s="130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128"/>
      <c r="D650" s="2"/>
      <c r="E650" s="2"/>
      <c r="F650" s="2"/>
      <c r="G650" s="2"/>
      <c r="H650" s="2"/>
      <c r="I650" s="2"/>
      <c r="J650" s="2"/>
      <c r="K650" s="128"/>
      <c r="L650" s="8"/>
      <c r="M650" s="130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128"/>
      <c r="D651" s="2"/>
      <c r="E651" s="2"/>
      <c r="F651" s="2"/>
      <c r="G651" s="2"/>
      <c r="H651" s="2"/>
      <c r="I651" s="2"/>
      <c r="J651" s="2"/>
      <c r="K651" s="128"/>
      <c r="L651" s="8"/>
      <c r="M651" s="130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128"/>
      <c r="D652" s="2"/>
      <c r="E652" s="2"/>
      <c r="F652" s="2"/>
      <c r="G652" s="2"/>
      <c r="H652" s="2"/>
      <c r="I652" s="2"/>
      <c r="J652" s="2"/>
      <c r="K652" s="128"/>
      <c r="L652" s="8"/>
      <c r="M652" s="130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128"/>
      <c r="D653" s="2"/>
      <c r="E653" s="2"/>
      <c r="F653" s="2"/>
      <c r="G653" s="2"/>
      <c r="H653" s="2"/>
      <c r="I653" s="2"/>
      <c r="J653" s="2"/>
      <c r="K653" s="128"/>
      <c r="L653" s="8"/>
      <c r="M653" s="130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128"/>
      <c r="D654" s="2"/>
      <c r="E654" s="2"/>
      <c r="F654" s="2"/>
      <c r="G654" s="2"/>
      <c r="H654" s="2"/>
      <c r="I654" s="2"/>
      <c r="J654" s="2"/>
      <c r="K654" s="128"/>
      <c r="L654" s="8"/>
      <c r="M654" s="130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128"/>
      <c r="D655" s="2"/>
      <c r="E655" s="2"/>
      <c r="F655" s="2"/>
      <c r="G655" s="2"/>
      <c r="H655" s="2"/>
      <c r="I655" s="2"/>
      <c r="J655" s="2"/>
      <c r="K655" s="128"/>
      <c r="L655" s="8"/>
      <c r="M655" s="130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128"/>
      <c r="D656" s="2"/>
      <c r="E656" s="2"/>
      <c r="F656" s="2"/>
      <c r="G656" s="2"/>
      <c r="H656" s="2"/>
      <c r="I656" s="2"/>
      <c r="J656" s="2"/>
      <c r="K656" s="128"/>
      <c r="L656" s="8"/>
      <c r="M656" s="130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128"/>
      <c r="D657" s="2"/>
      <c r="E657" s="2"/>
      <c r="F657" s="2"/>
      <c r="G657" s="2"/>
      <c r="H657" s="2"/>
      <c r="I657" s="2"/>
      <c r="J657" s="2"/>
      <c r="K657" s="128"/>
      <c r="L657" s="8"/>
      <c r="M657" s="130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128"/>
      <c r="D658" s="2"/>
      <c r="E658" s="2"/>
      <c r="F658" s="2"/>
      <c r="G658" s="2"/>
      <c r="H658" s="2"/>
      <c r="I658" s="2"/>
      <c r="J658" s="2"/>
      <c r="K658" s="128"/>
      <c r="L658" s="8"/>
      <c r="M658" s="130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128"/>
      <c r="D659" s="2"/>
      <c r="E659" s="2"/>
      <c r="F659" s="2"/>
      <c r="G659" s="2"/>
      <c r="H659" s="2"/>
      <c r="I659" s="2"/>
      <c r="J659" s="2"/>
      <c r="K659" s="128"/>
      <c r="L659" s="8"/>
      <c r="M659" s="130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128"/>
      <c r="D660" s="2"/>
      <c r="E660" s="2"/>
      <c r="F660" s="2"/>
      <c r="G660" s="2"/>
      <c r="H660" s="2"/>
      <c r="I660" s="2"/>
      <c r="J660" s="2"/>
      <c r="K660" s="128"/>
      <c r="L660" s="8"/>
      <c r="M660" s="130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128"/>
      <c r="D661" s="2"/>
      <c r="E661" s="2"/>
      <c r="F661" s="2"/>
      <c r="G661" s="2"/>
      <c r="H661" s="2"/>
      <c r="I661" s="2"/>
      <c r="J661" s="2"/>
      <c r="K661" s="128"/>
      <c r="L661" s="8"/>
      <c r="M661" s="130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128"/>
      <c r="D662" s="2"/>
      <c r="E662" s="2"/>
      <c r="F662" s="2"/>
      <c r="G662" s="2"/>
      <c r="H662" s="2"/>
      <c r="I662" s="2"/>
      <c r="J662" s="2"/>
      <c r="K662" s="128"/>
      <c r="L662" s="8"/>
      <c r="M662" s="130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128"/>
      <c r="D663" s="2"/>
      <c r="E663" s="2"/>
      <c r="F663" s="2"/>
      <c r="G663" s="2"/>
      <c r="H663" s="2"/>
      <c r="I663" s="2"/>
      <c r="J663" s="2"/>
      <c r="K663" s="128"/>
      <c r="L663" s="8"/>
      <c r="M663" s="130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128"/>
      <c r="D664" s="2"/>
      <c r="E664" s="2"/>
      <c r="F664" s="2"/>
      <c r="G664" s="2"/>
      <c r="H664" s="2"/>
      <c r="I664" s="2"/>
      <c r="J664" s="2"/>
      <c r="K664" s="128"/>
      <c r="L664" s="8"/>
      <c r="M664" s="130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128"/>
      <c r="D665" s="2"/>
      <c r="E665" s="2"/>
      <c r="F665" s="2"/>
      <c r="G665" s="2"/>
      <c r="H665" s="2"/>
      <c r="I665" s="2"/>
      <c r="J665" s="2"/>
      <c r="K665" s="128"/>
      <c r="L665" s="8"/>
      <c r="M665" s="130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128"/>
      <c r="D666" s="2"/>
      <c r="E666" s="2"/>
      <c r="F666" s="2"/>
      <c r="G666" s="2"/>
      <c r="H666" s="2"/>
      <c r="I666" s="2"/>
      <c r="J666" s="2"/>
      <c r="K666" s="128"/>
      <c r="L666" s="8"/>
      <c r="M666" s="130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128"/>
      <c r="D667" s="2"/>
      <c r="E667" s="2"/>
      <c r="F667" s="2"/>
      <c r="G667" s="2"/>
      <c r="H667" s="2"/>
      <c r="I667" s="2"/>
      <c r="J667" s="2"/>
      <c r="K667" s="128"/>
      <c r="L667" s="8"/>
      <c r="M667" s="130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128"/>
      <c r="D668" s="2"/>
      <c r="E668" s="2"/>
      <c r="F668" s="2"/>
      <c r="G668" s="2"/>
      <c r="H668" s="2"/>
      <c r="I668" s="2"/>
      <c r="J668" s="2"/>
      <c r="K668" s="128"/>
      <c r="L668" s="8"/>
      <c r="M668" s="130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128"/>
      <c r="D669" s="2"/>
      <c r="E669" s="2"/>
      <c r="F669" s="2"/>
      <c r="G669" s="2"/>
      <c r="H669" s="2"/>
      <c r="I669" s="2"/>
      <c r="J669" s="2"/>
      <c r="K669" s="128"/>
      <c r="L669" s="8"/>
      <c r="M669" s="130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128"/>
      <c r="D670" s="2"/>
      <c r="E670" s="2"/>
      <c r="F670" s="2"/>
      <c r="G670" s="2"/>
      <c r="H670" s="2"/>
      <c r="I670" s="2"/>
      <c r="J670" s="2"/>
      <c r="K670" s="128"/>
      <c r="L670" s="8"/>
      <c r="M670" s="130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128"/>
      <c r="D671" s="2"/>
      <c r="E671" s="2"/>
      <c r="F671" s="2"/>
      <c r="G671" s="2"/>
      <c r="H671" s="2"/>
      <c r="I671" s="2"/>
      <c r="J671" s="2"/>
      <c r="K671" s="128"/>
      <c r="L671" s="8"/>
      <c r="M671" s="130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128"/>
      <c r="D672" s="2"/>
      <c r="E672" s="2"/>
      <c r="F672" s="2"/>
      <c r="G672" s="2"/>
      <c r="H672" s="2"/>
      <c r="I672" s="2"/>
      <c r="J672" s="2"/>
      <c r="K672" s="128"/>
      <c r="L672" s="8"/>
      <c r="M672" s="130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128"/>
      <c r="D673" s="2"/>
      <c r="E673" s="2"/>
      <c r="F673" s="2"/>
      <c r="G673" s="2"/>
      <c r="H673" s="2"/>
      <c r="I673" s="2"/>
      <c r="J673" s="2"/>
      <c r="K673" s="128"/>
      <c r="L673" s="8"/>
      <c r="M673" s="130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128"/>
      <c r="D674" s="2"/>
      <c r="E674" s="2"/>
      <c r="F674" s="2"/>
      <c r="G674" s="2"/>
      <c r="H674" s="2"/>
      <c r="I674" s="2"/>
      <c r="J674" s="2"/>
      <c r="K674" s="128"/>
      <c r="L674" s="8"/>
      <c r="M674" s="130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128"/>
      <c r="D675" s="2"/>
      <c r="E675" s="2"/>
      <c r="F675" s="2"/>
      <c r="G675" s="2"/>
      <c r="H675" s="2"/>
      <c r="I675" s="2"/>
      <c r="J675" s="2"/>
      <c r="K675" s="128"/>
      <c r="L675" s="8"/>
      <c r="M675" s="130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128"/>
      <c r="D676" s="2"/>
      <c r="E676" s="2"/>
      <c r="F676" s="2"/>
      <c r="G676" s="2"/>
      <c r="H676" s="2"/>
      <c r="I676" s="2"/>
      <c r="J676" s="2"/>
      <c r="K676" s="128"/>
      <c r="L676" s="8"/>
      <c r="M676" s="130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128"/>
      <c r="D677" s="2"/>
      <c r="E677" s="2"/>
      <c r="F677" s="2"/>
      <c r="G677" s="2"/>
      <c r="H677" s="2"/>
      <c r="I677" s="2"/>
      <c r="J677" s="2"/>
      <c r="K677" s="128"/>
      <c r="L677" s="8"/>
      <c r="M677" s="130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128"/>
      <c r="D678" s="2"/>
      <c r="E678" s="2"/>
      <c r="F678" s="2"/>
      <c r="G678" s="2"/>
      <c r="H678" s="2"/>
      <c r="I678" s="2"/>
      <c r="J678" s="2"/>
      <c r="K678" s="128"/>
      <c r="L678" s="8"/>
      <c r="M678" s="130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128"/>
      <c r="D679" s="2"/>
      <c r="E679" s="2"/>
      <c r="F679" s="2"/>
      <c r="G679" s="2"/>
      <c r="H679" s="2"/>
      <c r="I679" s="2"/>
      <c r="J679" s="2"/>
      <c r="K679" s="128"/>
      <c r="L679" s="8"/>
      <c r="M679" s="130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128"/>
      <c r="D680" s="2"/>
      <c r="E680" s="2"/>
      <c r="F680" s="2"/>
      <c r="G680" s="2"/>
      <c r="H680" s="2"/>
      <c r="I680" s="2"/>
      <c r="J680" s="2"/>
      <c r="K680" s="128"/>
      <c r="L680" s="8"/>
      <c r="M680" s="130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128"/>
      <c r="D681" s="2"/>
      <c r="E681" s="2"/>
      <c r="F681" s="2"/>
      <c r="G681" s="2"/>
      <c r="H681" s="2"/>
      <c r="I681" s="2"/>
      <c r="J681" s="2"/>
      <c r="K681" s="128"/>
      <c r="L681" s="8"/>
      <c r="M681" s="130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128"/>
      <c r="D682" s="2"/>
      <c r="E682" s="2"/>
      <c r="F682" s="2"/>
      <c r="G682" s="2"/>
      <c r="H682" s="2"/>
      <c r="I682" s="2"/>
      <c r="J682" s="2"/>
      <c r="K682" s="128"/>
      <c r="L682" s="8"/>
      <c r="M682" s="130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128"/>
      <c r="D683" s="2"/>
      <c r="E683" s="2"/>
      <c r="F683" s="2"/>
      <c r="G683" s="2"/>
      <c r="H683" s="2"/>
      <c r="I683" s="2"/>
      <c r="J683" s="2"/>
      <c r="K683" s="128"/>
      <c r="L683" s="8"/>
      <c r="M683" s="130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128"/>
      <c r="D684" s="2"/>
      <c r="E684" s="2"/>
      <c r="F684" s="2"/>
      <c r="G684" s="2"/>
      <c r="H684" s="2"/>
      <c r="I684" s="2"/>
      <c r="J684" s="2"/>
      <c r="K684" s="128"/>
      <c r="L684" s="8"/>
      <c r="M684" s="130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128"/>
      <c r="D685" s="2"/>
      <c r="E685" s="2"/>
      <c r="F685" s="2"/>
      <c r="G685" s="2"/>
      <c r="H685" s="2"/>
      <c r="I685" s="2"/>
      <c r="J685" s="2"/>
      <c r="K685" s="128"/>
      <c r="L685" s="8"/>
      <c r="M685" s="130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128"/>
      <c r="D686" s="2"/>
      <c r="E686" s="2"/>
      <c r="F686" s="2"/>
      <c r="G686" s="2"/>
      <c r="H686" s="2"/>
      <c r="I686" s="2"/>
      <c r="J686" s="2"/>
      <c r="K686" s="128"/>
      <c r="L686" s="8"/>
      <c r="M686" s="130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128"/>
      <c r="D687" s="2"/>
      <c r="E687" s="2"/>
      <c r="F687" s="2"/>
      <c r="G687" s="2"/>
      <c r="H687" s="2"/>
      <c r="I687" s="2"/>
      <c r="J687" s="2"/>
      <c r="K687" s="128"/>
      <c r="L687" s="8"/>
      <c r="M687" s="130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128"/>
      <c r="D688" s="2"/>
      <c r="E688" s="2"/>
      <c r="F688" s="2"/>
      <c r="G688" s="2"/>
      <c r="H688" s="2"/>
      <c r="I688" s="2"/>
      <c r="J688" s="2"/>
      <c r="K688" s="128"/>
      <c r="L688" s="8"/>
      <c r="M688" s="130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128"/>
      <c r="D689" s="2"/>
      <c r="E689" s="2"/>
      <c r="F689" s="2"/>
      <c r="G689" s="2"/>
      <c r="H689" s="2"/>
      <c r="I689" s="2"/>
      <c r="J689" s="2"/>
      <c r="K689" s="128"/>
      <c r="L689" s="8"/>
      <c r="M689" s="130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128"/>
      <c r="D690" s="2"/>
      <c r="E690" s="2"/>
      <c r="F690" s="2"/>
      <c r="G690" s="2"/>
      <c r="H690" s="2"/>
      <c r="I690" s="2"/>
      <c r="J690" s="2"/>
      <c r="K690" s="128"/>
      <c r="L690" s="8"/>
      <c r="M690" s="130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128"/>
      <c r="D691" s="2"/>
      <c r="E691" s="2"/>
      <c r="F691" s="2"/>
      <c r="G691" s="2"/>
      <c r="H691" s="2"/>
      <c r="I691" s="2"/>
      <c r="J691" s="2"/>
      <c r="K691" s="128"/>
      <c r="L691" s="8"/>
      <c r="M691" s="130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128"/>
      <c r="D692" s="2"/>
      <c r="E692" s="2"/>
      <c r="F692" s="2"/>
      <c r="G692" s="2"/>
      <c r="H692" s="2"/>
      <c r="I692" s="2"/>
      <c r="J692" s="2"/>
      <c r="K692" s="128"/>
      <c r="L692" s="8"/>
      <c r="M692" s="130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128"/>
      <c r="D693" s="2"/>
      <c r="E693" s="2"/>
      <c r="F693" s="2"/>
      <c r="G693" s="2"/>
      <c r="H693" s="2"/>
      <c r="I693" s="2"/>
      <c r="J693" s="2"/>
      <c r="K693" s="128"/>
      <c r="L693" s="8"/>
      <c r="M693" s="130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128"/>
      <c r="D694" s="2"/>
      <c r="E694" s="2"/>
      <c r="F694" s="2"/>
      <c r="G694" s="2"/>
      <c r="H694" s="2"/>
      <c r="I694" s="2"/>
      <c r="J694" s="2"/>
      <c r="K694" s="128"/>
      <c r="L694" s="8"/>
      <c r="M694" s="130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128"/>
      <c r="D695" s="2"/>
      <c r="E695" s="2"/>
      <c r="F695" s="2"/>
      <c r="G695" s="2"/>
      <c r="H695" s="2"/>
      <c r="I695" s="2"/>
      <c r="J695" s="2"/>
      <c r="K695" s="128"/>
      <c r="L695" s="8"/>
      <c r="M695" s="130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128"/>
      <c r="D696" s="2"/>
      <c r="E696" s="2"/>
      <c r="F696" s="2"/>
      <c r="G696" s="2"/>
      <c r="H696" s="2"/>
      <c r="I696" s="2"/>
      <c r="J696" s="2"/>
      <c r="K696" s="128"/>
      <c r="L696" s="8"/>
      <c r="M696" s="130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128"/>
      <c r="D697" s="2"/>
      <c r="E697" s="2"/>
      <c r="F697" s="2"/>
      <c r="G697" s="2"/>
      <c r="H697" s="2"/>
      <c r="I697" s="2"/>
      <c r="J697" s="2"/>
      <c r="K697" s="128"/>
      <c r="L697" s="8"/>
      <c r="M697" s="130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128"/>
      <c r="D698" s="2"/>
      <c r="E698" s="2"/>
      <c r="F698" s="2"/>
      <c r="G698" s="2"/>
      <c r="H698" s="2"/>
      <c r="I698" s="2"/>
      <c r="J698" s="2"/>
      <c r="K698" s="128"/>
      <c r="L698" s="8"/>
      <c r="M698" s="130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128"/>
      <c r="D699" s="2"/>
      <c r="E699" s="2"/>
      <c r="F699" s="2"/>
      <c r="G699" s="2"/>
      <c r="H699" s="2"/>
      <c r="I699" s="2"/>
      <c r="J699" s="2"/>
      <c r="K699" s="128"/>
      <c r="L699" s="8"/>
      <c r="M699" s="130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128"/>
      <c r="D700" s="2"/>
      <c r="E700" s="2"/>
      <c r="F700" s="2"/>
      <c r="G700" s="2"/>
      <c r="H700" s="2"/>
      <c r="I700" s="2"/>
      <c r="J700" s="2"/>
      <c r="K700" s="128"/>
      <c r="L700" s="8"/>
      <c r="M700" s="130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128"/>
      <c r="D701" s="2"/>
      <c r="E701" s="2"/>
      <c r="F701" s="2"/>
      <c r="G701" s="2"/>
      <c r="H701" s="2"/>
      <c r="I701" s="2"/>
      <c r="J701" s="2"/>
      <c r="K701" s="128"/>
      <c r="L701" s="8"/>
      <c r="M701" s="130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128"/>
      <c r="D702" s="2"/>
      <c r="E702" s="2"/>
      <c r="F702" s="2"/>
      <c r="G702" s="2"/>
      <c r="H702" s="2"/>
      <c r="I702" s="2"/>
      <c r="J702" s="2"/>
      <c r="K702" s="128"/>
      <c r="L702" s="8"/>
      <c r="M702" s="130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128"/>
      <c r="D703" s="2"/>
      <c r="E703" s="2"/>
      <c r="F703" s="2"/>
      <c r="G703" s="2"/>
      <c r="H703" s="2"/>
      <c r="I703" s="2"/>
      <c r="J703" s="2"/>
      <c r="K703" s="128"/>
      <c r="L703" s="8"/>
      <c r="M703" s="130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128"/>
      <c r="D704" s="2"/>
      <c r="E704" s="2"/>
      <c r="F704" s="2"/>
      <c r="G704" s="2"/>
      <c r="H704" s="2"/>
      <c r="I704" s="2"/>
      <c r="J704" s="2"/>
      <c r="K704" s="128"/>
      <c r="L704" s="8"/>
      <c r="M704" s="130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128"/>
      <c r="D705" s="2"/>
      <c r="E705" s="2"/>
      <c r="F705" s="2"/>
      <c r="G705" s="2"/>
      <c r="H705" s="2"/>
      <c r="I705" s="2"/>
      <c r="J705" s="2"/>
      <c r="K705" s="128"/>
      <c r="L705" s="8"/>
      <c r="M705" s="130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128"/>
      <c r="D706" s="2"/>
      <c r="E706" s="2"/>
      <c r="F706" s="2"/>
      <c r="G706" s="2"/>
      <c r="H706" s="2"/>
      <c r="I706" s="2"/>
      <c r="J706" s="2"/>
      <c r="K706" s="128"/>
      <c r="L706" s="8"/>
      <c r="M706" s="130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128"/>
      <c r="D707" s="2"/>
      <c r="E707" s="2"/>
      <c r="F707" s="2"/>
      <c r="G707" s="2"/>
      <c r="H707" s="2"/>
      <c r="I707" s="2"/>
      <c r="J707" s="2"/>
      <c r="K707" s="128"/>
      <c r="L707" s="8"/>
      <c r="M707" s="130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128"/>
      <c r="D708" s="2"/>
      <c r="E708" s="2"/>
      <c r="F708" s="2"/>
      <c r="G708" s="2"/>
      <c r="H708" s="2"/>
      <c r="I708" s="2"/>
      <c r="J708" s="2"/>
      <c r="K708" s="128"/>
      <c r="L708" s="8"/>
      <c r="M708" s="130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128"/>
      <c r="D709" s="2"/>
      <c r="E709" s="2"/>
      <c r="F709" s="2"/>
      <c r="G709" s="2"/>
      <c r="H709" s="2"/>
      <c r="I709" s="2"/>
      <c r="J709" s="2"/>
      <c r="K709" s="128"/>
      <c r="L709" s="8"/>
      <c r="M709" s="130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128"/>
      <c r="D710" s="2"/>
      <c r="E710" s="2"/>
      <c r="F710" s="2"/>
      <c r="G710" s="2"/>
      <c r="H710" s="2"/>
      <c r="I710" s="2"/>
      <c r="J710" s="2"/>
      <c r="K710" s="128"/>
      <c r="L710" s="8"/>
      <c r="M710" s="130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128"/>
      <c r="D711" s="2"/>
      <c r="E711" s="2"/>
      <c r="F711" s="2"/>
      <c r="G711" s="2"/>
      <c r="H711" s="2"/>
      <c r="I711" s="2"/>
      <c r="J711" s="2"/>
      <c r="K711" s="128"/>
      <c r="L711" s="8"/>
      <c r="M711" s="130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128"/>
      <c r="D712" s="2"/>
      <c r="E712" s="2"/>
      <c r="F712" s="2"/>
      <c r="G712" s="2"/>
      <c r="H712" s="2"/>
      <c r="I712" s="2"/>
      <c r="J712" s="2"/>
      <c r="K712" s="128"/>
      <c r="L712" s="8"/>
      <c r="M712" s="130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128"/>
      <c r="D713" s="2"/>
      <c r="E713" s="2"/>
      <c r="F713" s="2"/>
      <c r="G713" s="2"/>
      <c r="H713" s="2"/>
      <c r="I713" s="2"/>
      <c r="J713" s="2"/>
      <c r="K713" s="128"/>
      <c r="L713" s="8"/>
      <c r="M713" s="130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128"/>
      <c r="D714" s="2"/>
      <c r="E714" s="2"/>
      <c r="F714" s="2"/>
      <c r="G714" s="2"/>
      <c r="H714" s="2"/>
      <c r="I714" s="2"/>
      <c r="J714" s="2"/>
      <c r="K714" s="128"/>
      <c r="L714" s="8"/>
      <c r="M714" s="130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128"/>
      <c r="D715" s="2"/>
      <c r="E715" s="2"/>
      <c r="F715" s="2"/>
      <c r="G715" s="2"/>
      <c r="H715" s="2"/>
      <c r="I715" s="2"/>
      <c r="J715" s="2"/>
      <c r="K715" s="128"/>
      <c r="L715" s="8"/>
      <c r="M715" s="130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128"/>
      <c r="D716" s="2"/>
      <c r="E716" s="2"/>
      <c r="F716" s="2"/>
      <c r="G716" s="2"/>
      <c r="H716" s="2"/>
      <c r="I716" s="2"/>
      <c r="J716" s="2"/>
      <c r="K716" s="128"/>
      <c r="L716" s="8"/>
      <c r="M716" s="130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128"/>
      <c r="D717" s="2"/>
      <c r="E717" s="2"/>
      <c r="F717" s="2"/>
      <c r="G717" s="2"/>
      <c r="H717" s="2"/>
      <c r="I717" s="2"/>
      <c r="J717" s="2"/>
      <c r="K717" s="128"/>
      <c r="L717" s="8"/>
      <c r="M717" s="130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128"/>
      <c r="D718" s="2"/>
      <c r="E718" s="2"/>
      <c r="F718" s="2"/>
      <c r="G718" s="2"/>
      <c r="H718" s="2"/>
      <c r="I718" s="2"/>
      <c r="J718" s="2"/>
      <c r="K718" s="128"/>
      <c r="L718" s="8"/>
      <c r="M718" s="130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128"/>
      <c r="D719" s="2"/>
      <c r="E719" s="2"/>
      <c r="F719" s="2"/>
      <c r="G719" s="2"/>
      <c r="H719" s="2"/>
      <c r="I719" s="2"/>
      <c r="J719" s="2"/>
      <c r="K719" s="128"/>
      <c r="L719" s="8"/>
      <c r="M719" s="130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128"/>
      <c r="D720" s="2"/>
      <c r="E720" s="2"/>
      <c r="F720" s="2"/>
      <c r="G720" s="2"/>
      <c r="H720" s="2"/>
      <c r="I720" s="2"/>
      <c r="J720" s="2"/>
      <c r="K720" s="128"/>
      <c r="L720" s="8"/>
      <c r="M720" s="130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128"/>
      <c r="D721" s="2"/>
      <c r="E721" s="2"/>
      <c r="F721" s="2"/>
      <c r="G721" s="2"/>
      <c r="H721" s="2"/>
      <c r="I721" s="2"/>
      <c r="J721" s="2"/>
      <c r="K721" s="128"/>
      <c r="L721" s="8"/>
      <c r="M721" s="130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128"/>
      <c r="D722" s="2"/>
      <c r="E722" s="2"/>
      <c r="F722" s="2"/>
      <c r="G722" s="2"/>
      <c r="H722" s="2"/>
      <c r="I722" s="2"/>
      <c r="J722" s="2"/>
      <c r="K722" s="128"/>
      <c r="L722" s="8"/>
      <c r="M722" s="130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128"/>
      <c r="D723" s="2"/>
      <c r="E723" s="2"/>
      <c r="F723" s="2"/>
      <c r="G723" s="2"/>
      <c r="H723" s="2"/>
      <c r="I723" s="2"/>
      <c r="J723" s="2"/>
      <c r="K723" s="128"/>
      <c r="L723" s="8"/>
      <c r="M723" s="130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128"/>
      <c r="D724" s="2"/>
      <c r="E724" s="2"/>
      <c r="F724" s="2"/>
      <c r="G724" s="2"/>
      <c r="H724" s="2"/>
      <c r="I724" s="2"/>
      <c r="J724" s="2"/>
      <c r="K724" s="128"/>
      <c r="L724" s="8"/>
      <c r="M724" s="130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128"/>
      <c r="D725" s="2"/>
      <c r="E725" s="2"/>
      <c r="F725" s="2"/>
      <c r="G725" s="2"/>
      <c r="H725" s="2"/>
      <c r="I725" s="2"/>
      <c r="J725" s="2"/>
      <c r="K725" s="128"/>
      <c r="L725" s="8"/>
      <c r="M725" s="130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128"/>
      <c r="D726" s="2"/>
      <c r="E726" s="2"/>
      <c r="F726" s="2"/>
      <c r="G726" s="2"/>
      <c r="H726" s="2"/>
      <c r="I726" s="2"/>
      <c r="J726" s="2"/>
      <c r="K726" s="128"/>
      <c r="L726" s="8"/>
      <c r="M726" s="130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128"/>
      <c r="D727" s="2"/>
      <c r="E727" s="2"/>
      <c r="F727" s="2"/>
      <c r="G727" s="2"/>
      <c r="H727" s="2"/>
      <c r="I727" s="2"/>
      <c r="J727" s="2"/>
      <c r="K727" s="128"/>
      <c r="L727" s="8"/>
      <c r="M727" s="130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128"/>
      <c r="D728" s="2"/>
      <c r="E728" s="2"/>
      <c r="F728" s="2"/>
      <c r="G728" s="2"/>
      <c r="H728" s="2"/>
      <c r="I728" s="2"/>
      <c r="J728" s="2"/>
      <c r="K728" s="128"/>
      <c r="L728" s="8"/>
      <c r="M728" s="130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128"/>
      <c r="D729" s="2"/>
      <c r="E729" s="2"/>
      <c r="F729" s="2"/>
      <c r="G729" s="2"/>
      <c r="H729" s="2"/>
      <c r="I729" s="2"/>
      <c r="J729" s="2"/>
      <c r="K729" s="128"/>
      <c r="L729" s="8"/>
      <c r="M729" s="130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128"/>
      <c r="D730" s="2"/>
      <c r="E730" s="2"/>
      <c r="F730" s="2"/>
      <c r="G730" s="2"/>
      <c r="H730" s="2"/>
      <c r="I730" s="2"/>
      <c r="J730" s="2"/>
      <c r="K730" s="128"/>
      <c r="L730" s="8"/>
      <c r="M730" s="130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128"/>
      <c r="D731" s="2"/>
      <c r="E731" s="2"/>
      <c r="F731" s="2"/>
      <c r="G731" s="2"/>
      <c r="H731" s="2"/>
      <c r="I731" s="2"/>
      <c r="J731" s="2"/>
      <c r="K731" s="128"/>
      <c r="L731" s="8"/>
      <c r="M731" s="130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128"/>
      <c r="D732" s="2"/>
      <c r="E732" s="2"/>
      <c r="F732" s="2"/>
      <c r="G732" s="2"/>
      <c r="H732" s="2"/>
      <c r="I732" s="2"/>
      <c r="J732" s="2"/>
      <c r="K732" s="128"/>
      <c r="L732" s="8"/>
      <c r="M732" s="130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128"/>
      <c r="D733" s="2"/>
      <c r="E733" s="2"/>
      <c r="F733" s="2"/>
      <c r="G733" s="2"/>
      <c r="H733" s="2"/>
      <c r="I733" s="2"/>
      <c r="J733" s="2"/>
      <c r="K733" s="128"/>
      <c r="L733" s="8"/>
      <c r="M733" s="130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128"/>
      <c r="D734" s="2"/>
      <c r="E734" s="2"/>
      <c r="F734" s="2"/>
      <c r="G734" s="2"/>
      <c r="H734" s="2"/>
      <c r="I734" s="2"/>
      <c r="J734" s="2"/>
      <c r="K734" s="128"/>
      <c r="L734" s="8"/>
      <c r="M734" s="130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128"/>
      <c r="D735" s="2"/>
      <c r="E735" s="2"/>
      <c r="F735" s="2"/>
      <c r="G735" s="2"/>
      <c r="H735" s="2"/>
      <c r="I735" s="2"/>
      <c r="J735" s="2"/>
      <c r="K735" s="128"/>
      <c r="L735" s="8"/>
      <c r="M735" s="130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128"/>
      <c r="D736" s="2"/>
      <c r="E736" s="2"/>
      <c r="F736" s="2"/>
      <c r="G736" s="2"/>
      <c r="H736" s="2"/>
      <c r="I736" s="2"/>
      <c r="J736" s="2"/>
      <c r="K736" s="128"/>
      <c r="L736" s="8"/>
      <c r="M736" s="130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128"/>
      <c r="D737" s="2"/>
      <c r="E737" s="2"/>
      <c r="F737" s="2"/>
      <c r="G737" s="2"/>
      <c r="H737" s="2"/>
      <c r="I737" s="2"/>
      <c r="J737" s="2"/>
      <c r="K737" s="128"/>
      <c r="L737" s="8"/>
      <c r="M737" s="130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128"/>
      <c r="D738" s="2"/>
      <c r="E738" s="2"/>
      <c r="F738" s="2"/>
      <c r="G738" s="2"/>
      <c r="H738" s="2"/>
      <c r="I738" s="2"/>
      <c r="J738" s="2"/>
      <c r="K738" s="128"/>
      <c r="L738" s="8"/>
      <c r="M738" s="130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128"/>
      <c r="D739" s="2"/>
      <c r="E739" s="2"/>
      <c r="F739" s="2"/>
      <c r="G739" s="2"/>
      <c r="H739" s="2"/>
      <c r="I739" s="2"/>
      <c r="J739" s="2"/>
      <c r="K739" s="128"/>
      <c r="L739" s="8"/>
      <c r="M739" s="130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128"/>
      <c r="D740" s="2"/>
      <c r="E740" s="2"/>
      <c r="F740" s="2"/>
      <c r="G740" s="2"/>
      <c r="H740" s="2"/>
      <c r="I740" s="2"/>
      <c r="J740" s="2"/>
      <c r="K740" s="128"/>
      <c r="L740" s="8"/>
      <c r="M740" s="130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128"/>
      <c r="D741" s="2"/>
      <c r="E741" s="2"/>
      <c r="F741" s="2"/>
      <c r="G741" s="2"/>
      <c r="H741" s="2"/>
      <c r="I741" s="2"/>
      <c r="J741" s="2"/>
      <c r="K741" s="128"/>
      <c r="L741" s="8"/>
      <c r="M741" s="130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128"/>
      <c r="D742" s="2"/>
      <c r="E742" s="2"/>
      <c r="F742" s="2"/>
      <c r="G742" s="2"/>
      <c r="H742" s="2"/>
      <c r="I742" s="2"/>
      <c r="J742" s="2"/>
      <c r="K742" s="128"/>
      <c r="L742" s="8"/>
      <c r="M742" s="130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128"/>
      <c r="D743" s="2"/>
      <c r="E743" s="2"/>
      <c r="F743" s="2"/>
      <c r="G743" s="2"/>
      <c r="H743" s="2"/>
      <c r="I743" s="2"/>
      <c r="J743" s="2"/>
      <c r="K743" s="128"/>
      <c r="L743" s="8"/>
      <c r="M743" s="130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128"/>
      <c r="D744" s="2"/>
      <c r="E744" s="2"/>
      <c r="F744" s="2"/>
      <c r="G744" s="2"/>
      <c r="H744" s="2"/>
      <c r="I744" s="2"/>
      <c r="J744" s="2"/>
      <c r="K744" s="128"/>
      <c r="L744" s="8"/>
      <c r="M744" s="130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128"/>
      <c r="D745" s="2"/>
      <c r="E745" s="2"/>
      <c r="F745" s="2"/>
      <c r="G745" s="2"/>
      <c r="H745" s="2"/>
      <c r="I745" s="2"/>
      <c r="J745" s="2"/>
      <c r="K745" s="128"/>
      <c r="L745" s="8"/>
      <c r="M745" s="130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128"/>
      <c r="D746" s="2"/>
      <c r="E746" s="2"/>
      <c r="F746" s="2"/>
      <c r="G746" s="2"/>
      <c r="H746" s="2"/>
      <c r="I746" s="2"/>
      <c r="J746" s="2"/>
      <c r="K746" s="128"/>
      <c r="L746" s="8"/>
      <c r="M746" s="130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128"/>
      <c r="D747" s="2"/>
      <c r="E747" s="2"/>
      <c r="F747" s="2"/>
      <c r="G747" s="2"/>
      <c r="H747" s="2"/>
      <c r="I747" s="2"/>
      <c r="J747" s="2"/>
      <c r="K747" s="128"/>
      <c r="L747" s="8"/>
      <c r="M747" s="130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128"/>
      <c r="D748" s="2"/>
      <c r="E748" s="2"/>
      <c r="F748" s="2"/>
      <c r="G748" s="2"/>
      <c r="H748" s="2"/>
      <c r="I748" s="2"/>
      <c r="J748" s="2"/>
      <c r="K748" s="128"/>
      <c r="L748" s="8"/>
      <c r="M748" s="130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128"/>
      <c r="D749" s="2"/>
      <c r="E749" s="2"/>
      <c r="F749" s="2"/>
      <c r="G749" s="2"/>
      <c r="H749" s="2"/>
      <c r="I749" s="2"/>
      <c r="J749" s="2"/>
      <c r="K749" s="128"/>
      <c r="L749" s="8"/>
      <c r="M749" s="130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128"/>
      <c r="D750" s="2"/>
      <c r="E750" s="2"/>
      <c r="F750" s="2"/>
      <c r="G750" s="2"/>
      <c r="H750" s="2"/>
      <c r="I750" s="2"/>
      <c r="J750" s="2"/>
      <c r="K750" s="128"/>
      <c r="L750" s="8"/>
      <c r="M750" s="130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128"/>
      <c r="D751" s="2"/>
      <c r="E751" s="2"/>
      <c r="F751" s="2"/>
      <c r="G751" s="2"/>
      <c r="H751" s="2"/>
      <c r="I751" s="2"/>
      <c r="J751" s="2"/>
      <c r="K751" s="128"/>
      <c r="L751" s="8"/>
      <c r="M751" s="130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128"/>
      <c r="D752" s="2"/>
      <c r="E752" s="2"/>
      <c r="F752" s="2"/>
      <c r="G752" s="2"/>
      <c r="H752" s="2"/>
      <c r="I752" s="2"/>
      <c r="J752" s="2"/>
      <c r="K752" s="128"/>
      <c r="L752" s="8"/>
      <c r="M752" s="130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128"/>
      <c r="D753" s="2"/>
      <c r="E753" s="2"/>
      <c r="F753" s="2"/>
      <c r="G753" s="2"/>
      <c r="H753" s="2"/>
      <c r="I753" s="2"/>
      <c r="J753" s="2"/>
      <c r="K753" s="128"/>
      <c r="L753" s="8"/>
      <c r="M753" s="130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128"/>
      <c r="D754" s="2"/>
      <c r="E754" s="2"/>
      <c r="F754" s="2"/>
      <c r="G754" s="2"/>
      <c r="H754" s="2"/>
      <c r="I754" s="2"/>
      <c r="J754" s="2"/>
      <c r="K754" s="128"/>
      <c r="L754" s="8"/>
      <c r="M754" s="130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128"/>
      <c r="D755" s="2"/>
      <c r="E755" s="2"/>
      <c r="F755" s="2"/>
      <c r="G755" s="2"/>
      <c r="H755" s="2"/>
      <c r="I755" s="2"/>
      <c r="J755" s="2"/>
      <c r="K755" s="128"/>
      <c r="L755" s="8"/>
      <c r="M755" s="130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128"/>
      <c r="D756" s="2"/>
      <c r="E756" s="2"/>
      <c r="F756" s="2"/>
      <c r="G756" s="2"/>
      <c r="H756" s="2"/>
      <c r="I756" s="2"/>
      <c r="J756" s="2"/>
      <c r="K756" s="128"/>
      <c r="L756" s="8"/>
      <c r="M756" s="130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128"/>
      <c r="D757" s="2"/>
      <c r="E757" s="2"/>
      <c r="F757" s="2"/>
      <c r="G757" s="2"/>
      <c r="H757" s="2"/>
      <c r="I757" s="2"/>
      <c r="J757" s="2"/>
      <c r="K757" s="128"/>
      <c r="L757" s="8"/>
      <c r="M757" s="130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128"/>
      <c r="D758" s="2"/>
      <c r="E758" s="2"/>
      <c r="F758" s="2"/>
      <c r="G758" s="2"/>
      <c r="H758" s="2"/>
      <c r="I758" s="2"/>
      <c r="J758" s="2"/>
      <c r="K758" s="128"/>
      <c r="L758" s="8"/>
      <c r="M758" s="130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128"/>
      <c r="D759" s="2"/>
      <c r="E759" s="2"/>
      <c r="F759" s="2"/>
      <c r="G759" s="2"/>
      <c r="H759" s="2"/>
      <c r="I759" s="2"/>
      <c r="J759" s="2"/>
      <c r="K759" s="128"/>
      <c r="L759" s="8"/>
      <c r="M759" s="130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128"/>
      <c r="D760" s="2"/>
      <c r="E760" s="2"/>
      <c r="F760" s="2"/>
      <c r="G760" s="2"/>
      <c r="H760" s="2"/>
      <c r="I760" s="2"/>
      <c r="J760" s="2"/>
      <c r="K760" s="128"/>
      <c r="L760" s="8"/>
      <c r="M760" s="130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128"/>
      <c r="D761" s="2"/>
      <c r="E761" s="2"/>
      <c r="F761" s="2"/>
      <c r="G761" s="2"/>
      <c r="H761" s="2"/>
      <c r="I761" s="2"/>
      <c r="J761" s="2"/>
      <c r="K761" s="128"/>
      <c r="L761" s="8"/>
      <c r="M761" s="130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128"/>
      <c r="D762" s="2"/>
      <c r="E762" s="2"/>
      <c r="F762" s="2"/>
      <c r="G762" s="2"/>
      <c r="H762" s="2"/>
      <c r="I762" s="2"/>
      <c r="J762" s="2"/>
      <c r="K762" s="128"/>
      <c r="L762" s="8"/>
      <c r="M762" s="130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128"/>
      <c r="D763" s="2"/>
      <c r="E763" s="2"/>
      <c r="F763" s="2"/>
      <c r="G763" s="2"/>
      <c r="H763" s="2"/>
      <c r="I763" s="2"/>
      <c r="J763" s="2"/>
      <c r="K763" s="128"/>
      <c r="L763" s="8"/>
      <c r="M763" s="130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128"/>
      <c r="D764" s="2"/>
      <c r="E764" s="2"/>
      <c r="F764" s="2"/>
      <c r="G764" s="2"/>
      <c r="H764" s="2"/>
      <c r="I764" s="2"/>
      <c r="J764" s="2"/>
      <c r="K764" s="128"/>
      <c r="L764" s="8"/>
      <c r="M764" s="130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128"/>
      <c r="D765" s="2"/>
      <c r="E765" s="2"/>
      <c r="F765" s="2"/>
      <c r="G765" s="2"/>
      <c r="H765" s="2"/>
      <c r="I765" s="2"/>
      <c r="J765" s="2"/>
      <c r="K765" s="128"/>
      <c r="L765" s="8"/>
      <c r="M765" s="130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128"/>
      <c r="D766" s="2"/>
      <c r="E766" s="2"/>
      <c r="F766" s="2"/>
      <c r="G766" s="2"/>
      <c r="H766" s="2"/>
      <c r="I766" s="2"/>
      <c r="J766" s="2"/>
      <c r="K766" s="128"/>
      <c r="L766" s="8"/>
      <c r="M766" s="130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128"/>
      <c r="D767" s="2"/>
      <c r="E767" s="2"/>
      <c r="F767" s="2"/>
      <c r="G767" s="2"/>
      <c r="H767" s="2"/>
      <c r="I767" s="2"/>
      <c r="J767" s="2"/>
      <c r="K767" s="128"/>
      <c r="L767" s="8"/>
      <c r="M767" s="130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128"/>
      <c r="D768" s="2"/>
      <c r="E768" s="2"/>
      <c r="F768" s="2"/>
      <c r="G768" s="2"/>
      <c r="H768" s="2"/>
      <c r="I768" s="2"/>
      <c r="J768" s="2"/>
      <c r="K768" s="128"/>
      <c r="L768" s="8"/>
      <c r="M768" s="130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128"/>
      <c r="D769" s="2"/>
      <c r="E769" s="2"/>
      <c r="F769" s="2"/>
      <c r="G769" s="2"/>
      <c r="H769" s="2"/>
      <c r="I769" s="2"/>
      <c r="J769" s="2"/>
      <c r="K769" s="128"/>
      <c r="L769" s="8"/>
      <c r="M769" s="130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128"/>
      <c r="D770" s="2"/>
      <c r="E770" s="2"/>
      <c r="F770" s="2"/>
      <c r="G770" s="2"/>
      <c r="H770" s="2"/>
      <c r="I770" s="2"/>
      <c r="J770" s="2"/>
      <c r="K770" s="128"/>
      <c r="L770" s="8"/>
      <c r="M770" s="130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128"/>
      <c r="D771" s="2"/>
      <c r="E771" s="2"/>
      <c r="F771" s="2"/>
      <c r="G771" s="2"/>
      <c r="H771" s="2"/>
      <c r="I771" s="2"/>
      <c r="J771" s="2"/>
      <c r="K771" s="128"/>
      <c r="L771" s="8"/>
      <c r="M771" s="130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128"/>
      <c r="D772" s="2"/>
      <c r="E772" s="2"/>
      <c r="F772" s="2"/>
      <c r="G772" s="2"/>
      <c r="H772" s="2"/>
      <c r="I772" s="2"/>
      <c r="J772" s="2"/>
      <c r="K772" s="128"/>
      <c r="L772" s="8"/>
      <c r="M772" s="130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128"/>
      <c r="D773" s="2"/>
      <c r="E773" s="2"/>
      <c r="F773" s="2"/>
      <c r="G773" s="2"/>
      <c r="H773" s="2"/>
      <c r="I773" s="2"/>
      <c r="J773" s="2"/>
      <c r="K773" s="128"/>
      <c r="L773" s="8"/>
      <c r="M773" s="130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128"/>
      <c r="D774" s="2"/>
      <c r="E774" s="2"/>
      <c r="F774" s="2"/>
      <c r="G774" s="2"/>
      <c r="H774" s="2"/>
      <c r="I774" s="2"/>
      <c r="J774" s="2"/>
      <c r="K774" s="128"/>
      <c r="L774" s="8"/>
      <c r="M774" s="130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128"/>
      <c r="D775" s="2"/>
      <c r="E775" s="2"/>
      <c r="F775" s="2"/>
      <c r="G775" s="2"/>
      <c r="H775" s="2"/>
      <c r="I775" s="2"/>
      <c r="J775" s="2"/>
      <c r="K775" s="128"/>
      <c r="L775" s="8"/>
      <c r="M775" s="130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128"/>
      <c r="D776" s="2"/>
      <c r="E776" s="2"/>
      <c r="F776" s="2"/>
      <c r="G776" s="2"/>
      <c r="H776" s="2"/>
      <c r="I776" s="2"/>
      <c r="J776" s="2"/>
      <c r="K776" s="128"/>
      <c r="L776" s="8"/>
      <c r="M776" s="130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128"/>
      <c r="D777" s="2"/>
      <c r="E777" s="2"/>
      <c r="F777" s="2"/>
      <c r="G777" s="2"/>
      <c r="H777" s="2"/>
      <c r="I777" s="2"/>
      <c r="J777" s="2"/>
      <c r="K777" s="128"/>
      <c r="L777" s="8"/>
      <c r="M777" s="130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128"/>
      <c r="D778" s="2"/>
      <c r="E778" s="2"/>
      <c r="F778" s="2"/>
      <c r="G778" s="2"/>
      <c r="H778" s="2"/>
      <c r="I778" s="2"/>
      <c r="J778" s="2"/>
      <c r="K778" s="128"/>
      <c r="L778" s="8"/>
      <c r="M778" s="130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128"/>
      <c r="D779" s="2"/>
      <c r="E779" s="2"/>
      <c r="F779" s="2"/>
      <c r="G779" s="2"/>
      <c r="H779" s="2"/>
      <c r="I779" s="2"/>
      <c r="J779" s="2"/>
      <c r="K779" s="128"/>
      <c r="L779" s="8"/>
      <c r="M779" s="130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128"/>
      <c r="D780" s="2"/>
      <c r="E780" s="2"/>
      <c r="F780" s="2"/>
      <c r="G780" s="2"/>
      <c r="H780" s="2"/>
      <c r="I780" s="2"/>
      <c r="J780" s="2"/>
      <c r="K780" s="128"/>
      <c r="L780" s="8"/>
      <c r="M780" s="130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128"/>
      <c r="D781" s="2"/>
      <c r="E781" s="2"/>
      <c r="F781" s="2"/>
      <c r="G781" s="2"/>
      <c r="H781" s="2"/>
      <c r="I781" s="2"/>
      <c r="J781" s="2"/>
      <c r="K781" s="128"/>
      <c r="L781" s="8"/>
      <c r="M781" s="130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128"/>
      <c r="D782" s="2"/>
      <c r="E782" s="2"/>
      <c r="F782" s="2"/>
      <c r="G782" s="2"/>
      <c r="H782" s="2"/>
      <c r="I782" s="2"/>
      <c r="J782" s="2"/>
      <c r="K782" s="128"/>
      <c r="L782" s="8"/>
      <c r="M782" s="130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128"/>
      <c r="D783" s="2"/>
      <c r="E783" s="2"/>
      <c r="F783" s="2"/>
      <c r="G783" s="2"/>
      <c r="H783" s="2"/>
      <c r="I783" s="2"/>
      <c r="J783" s="2"/>
      <c r="K783" s="128"/>
      <c r="L783" s="8"/>
      <c r="M783" s="130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128"/>
      <c r="D784" s="2"/>
      <c r="E784" s="2"/>
      <c r="F784" s="2"/>
      <c r="G784" s="2"/>
      <c r="H784" s="2"/>
      <c r="I784" s="2"/>
      <c r="J784" s="2"/>
      <c r="K784" s="128"/>
      <c r="L784" s="8"/>
      <c r="M784" s="130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128"/>
      <c r="D785" s="2"/>
      <c r="E785" s="2"/>
      <c r="F785" s="2"/>
      <c r="G785" s="2"/>
      <c r="H785" s="2"/>
      <c r="I785" s="2"/>
      <c r="J785" s="2"/>
      <c r="K785" s="128"/>
      <c r="L785" s="8"/>
      <c r="M785" s="130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128"/>
      <c r="D786" s="2"/>
      <c r="E786" s="2"/>
      <c r="F786" s="2"/>
      <c r="G786" s="2"/>
      <c r="H786" s="2"/>
      <c r="I786" s="2"/>
      <c r="J786" s="2"/>
      <c r="K786" s="128"/>
      <c r="L786" s="8"/>
      <c r="M786" s="130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128"/>
      <c r="D787" s="2"/>
      <c r="E787" s="2"/>
      <c r="F787" s="2"/>
      <c r="G787" s="2"/>
      <c r="H787" s="2"/>
      <c r="I787" s="2"/>
      <c r="J787" s="2"/>
      <c r="K787" s="128"/>
      <c r="L787" s="8"/>
      <c r="M787" s="130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128"/>
      <c r="D788" s="2"/>
      <c r="E788" s="2"/>
      <c r="F788" s="2"/>
      <c r="G788" s="2"/>
      <c r="H788" s="2"/>
      <c r="I788" s="2"/>
      <c r="J788" s="2"/>
      <c r="K788" s="128"/>
      <c r="L788" s="8"/>
      <c r="M788" s="130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128"/>
      <c r="D789" s="2"/>
      <c r="E789" s="2"/>
      <c r="F789" s="2"/>
      <c r="G789" s="2"/>
      <c r="H789" s="2"/>
      <c r="I789" s="2"/>
      <c r="J789" s="2"/>
      <c r="K789" s="128"/>
      <c r="L789" s="8"/>
      <c r="M789" s="130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128"/>
      <c r="D790" s="2"/>
      <c r="E790" s="2"/>
      <c r="F790" s="2"/>
      <c r="G790" s="2"/>
      <c r="H790" s="2"/>
      <c r="I790" s="2"/>
      <c r="J790" s="2"/>
      <c r="K790" s="128"/>
      <c r="L790" s="8"/>
      <c r="M790" s="130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128"/>
      <c r="D791" s="2"/>
      <c r="E791" s="2"/>
      <c r="F791" s="2"/>
      <c r="G791" s="2"/>
      <c r="H791" s="2"/>
      <c r="I791" s="2"/>
      <c r="J791" s="2"/>
      <c r="K791" s="128"/>
      <c r="L791" s="8"/>
      <c r="M791" s="130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128"/>
      <c r="D792" s="2"/>
      <c r="E792" s="2"/>
      <c r="F792" s="2"/>
      <c r="G792" s="2"/>
      <c r="H792" s="2"/>
      <c r="I792" s="2"/>
      <c r="J792" s="2"/>
      <c r="K792" s="128"/>
      <c r="L792" s="8"/>
      <c r="M792" s="130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128"/>
      <c r="D793" s="2"/>
      <c r="E793" s="2"/>
      <c r="F793" s="2"/>
      <c r="G793" s="2"/>
      <c r="H793" s="2"/>
      <c r="I793" s="2"/>
      <c r="J793" s="2"/>
      <c r="K793" s="128"/>
      <c r="L793" s="8"/>
      <c r="M793" s="130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128"/>
      <c r="D794" s="2"/>
      <c r="E794" s="2"/>
      <c r="F794" s="2"/>
      <c r="G794" s="2"/>
      <c r="H794" s="2"/>
      <c r="I794" s="2"/>
      <c r="J794" s="2"/>
      <c r="K794" s="128"/>
      <c r="L794" s="8"/>
      <c r="M794" s="130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128"/>
      <c r="D795" s="2"/>
      <c r="E795" s="2"/>
      <c r="F795" s="2"/>
      <c r="G795" s="2"/>
      <c r="H795" s="2"/>
      <c r="I795" s="2"/>
      <c r="J795" s="2"/>
      <c r="K795" s="128"/>
      <c r="L795" s="8"/>
      <c r="M795" s="130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128"/>
      <c r="D796" s="2"/>
      <c r="E796" s="2"/>
      <c r="F796" s="2"/>
      <c r="G796" s="2"/>
      <c r="H796" s="2"/>
      <c r="I796" s="2"/>
      <c r="J796" s="2"/>
      <c r="K796" s="128"/>
      <c r="L796" s="8"/>
      <c r="M796" s="130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128"/>
      <c r="D797" s="2"/>
      <c r="E797" s="2"/>
      <c r="F797" s="2"/>
      <c r="G797" s="2"/>
      <c r="H797" s="2"/>
      <c r="I797" s="2"/>
      <c r="J797" s="2"/>
      <c r="K797" s="128"/>
      <c r="L797" s="8"/>
      <c r="M797" s="130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128"/>
      <c r="D798" s="2"/>
      <c r="E798" s="2"/>
      <c r="F798" s="2"/>
      <c r="G798" s="2"/>
      <c r="H798" s="2"/>
      <c r="I798" s="2"/>
      <c r="J798" s="2"/>
      <c r="K798" s="128"/>
      <c r="L798" s="8"/>
      <c r="M798" s="130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128"/>
      <c r="D799" s="2"/>
      <c r="E799" s="2"/>
      <c r="F799" s="2"/>
      <c r="G799" s="2"/>
      <c r="H799" s="2"/>
      <c r="I799" s="2"/>
      <c r="J799" s="2"/>
      <c r="K799" s="128"/>
      <c r="L799" s="8"/>
      <c r="M799" s="130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128"/>
      <c r="D800" s="2"/>
      <c r="E800" s="2"/>
      <c r="F800" s="2"/>
      <c r="G800" s="2"/>
      <c r="H800" s="2"/>
      <c r="I800" s="2"/>
      <c r="J800" s="2"/>
      <c r="K800" s="128"/>
      <c r="L800" s="8"/>
      <c r="M800" s="130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128"/>
      <c r="D801" s="2"/>
      <c r="E801" s="2"/>
      <c r="F801" s="2"/>
      <c r="G801" s="2"/>
      <c r="H801" s="2"/>
      <c r="I801" s="2"/>
      <c r="J801" s="2"/>
      <c r="K801" s="128"/>
      <c r="L801" s="8"/>
      <c r="M801" s="130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128"/>
      <c r="D802" s="2"/>
      <c r="E802" s="2"/>
      <c r="F802" s="2"/>
      <c r="G802" s="2"/>
      <c r="H802" s="2"/>
      <c r="I802" s="2"/>
      <c r="J802" s="2"/>
      <c r="K802" s="128"/>
      <c r="L802" s="8"/>
      <c r="M802" s="130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128"/>
      <c r="D803" s="2"/>
      <c r="E803" s="2"/>
      <c r="F803" s="2"/>
      <c r="G803" s="2"/>
      <c r="H803" s="2"/>
      <c r="I803" s="2"/>
      <c r="J803" s="2"/>
      <c r="K803" s="128"/>
      <c r="L803" s="8"/>
      <c r="M803" s="130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128"/>
      <c r="D804" s="2"/>
      <c r="E804" s="2"/>
      <c r="F804" s="2"/>
      <c r="G804" s="2"/>
      <c r="H804" s="2"/>
      <c r="I804" s="2"/>
      <c r="J804" s="2"/>
      <c r="K804" s="128"/>
      <c r="L804" s="8"/>
      <c r="M804" s="130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128"/>
      <c r="D805" s="2"/>
      <c r="E805" s="2"/>
      <c r="F805" s="2"/>
      <c r="G805" s="2"/>
      <c r="H805" s="2"/>
      <c r="I805" s="2"/>
      <c r="J805" s="2"/>
      <c r="K805" s="128"/>
      <c r="L805" s="8"/>
      <c r="M805" s="130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128"/>
      <c r="D806" s="2"/>
      <c r="E806" s="2"/>
      <c r="F806" s="2"/>
      <c r="G806" s="2"/>
      <c r="H806" s="2"/>
      <c r="I806" s="2"/>
      <c r="J806" s="2"/>
      <c r="K806" s="128"/>
      <c r="L806" s="8"/>
      <c r="M806" s="130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128"/>
      <c r="D807" s="2"/>
      <c r="E807" s="2"/>
      <c r="F807" s="2"/>
      <c r="G807" s="2"/>
      <c r="H807" s="2"/>
      <c r="I807" s="2"/>
      <c r="J807" s="2"/>
      <c r="K807" s="128"/>
      <c r="L807" s="8"/>
      <c r="M807" s="130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128"/>
      <c r="D808" s="2"/>
      <c r="E808" s="2"/>
      <c r="F808" s="2"/>
      <c r="G808" s="2"/>
      <c r="H808" s="2"/>
      <c r="I808" s="2"/>
      <c r="J808" s="2"/>
      <c r="K808" s="128"/>
      <c r="L808" s="8"/>
      <c r="M808" s="130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128"/>
      <c r="D809" s="2"/>
      <c r="E809" s="2"/>
      <c r="F809" s="2"/>
      <c r="G809" s="2"/>
      <c r="H809" s="2"/>
      <c r="I809" s="2"/>
      <c r="J809" s="2"/>
      <c r="K809" s="128"/>
      <c r="L809" s="8"/>
      <c r="M809" s="130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128"/>
      <c r="D810" s="2"/>
      <c r="E810" s="2"/>
      <c r="F810" s="2"/>
      <c r="G810" s="2"/>
      <c r="H810" s="2"/>
      <c r="I810" s="2"/>
      <c r="J810" s="2"/>
      <c r="K810" s="128"/>
      <c r="L810" s="8"/>
      <c r="M810" s="130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128"/>
      <c r="D811" s="2"/>
      <c r="E811" s="2"/>
      <c r="F811" s="2"/>
      <c r="G811" s="2"/>
      <c r="H811" s="2"/>
      <c r="I811" s="2"/>
      <c r="J811" s="2"/>
      <c r="K811" s="128"/>
      <c r="L811" s="8"/>
      <c r="M811" s="130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128"/>
      <c r="D812" s="2"/>
      <c r="E812" s="2"/>
      <c r="F812" s="2"/>
      <c r="G812" s="2"/>
      <c r="H812" s="2"/>
      <c r="I812" s="2"/>
      <c r="J812" s="2"/>
      <c r="K812" s="128"/>
      <c r="L812" s="8"/>
      <c r="M812" s="130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128"/>
      <c r="D813" s="2"/>
      <c r="E813" s="2"/>
      <c r="F813" s="2"/>
      <c r="G813" s="2"/>
      <c r="H813" s="2"/>
      <c r="I813" s="2"/>
      <c r="J813" s="2"/>
      <c r="K813" s="128"/>
      <c r="L813" s="8"/>
      <c r="M813" s="130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128"/>
      <c r="D814" s="2"/>
      <c r="E814" s="2"/>
      <c r="F814" s="2"/>
      <c r="G814" s="2"/>
      <c r="H814" s="2"/>
      <c r="I814" s="2"/>
      <c r="J814" s="2"/>
      <c r="K814" s="128"/>
      <c r="L814" s="8"/>
      <c r="M814" s="130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128"/>
      <c r="D815" s="2"/>
      <c r="E815" s="2"/>
      <c r="F815" s="2"/>
      <c r="G815" s="2"/>
      <c r="H815" s="2"/>
      <c r="I815" s="2"/>
      <c r="J815" s="2"/>
      <c r="K815" s="128"/>
      <c r="L815" s="8"/>
      <c r="M815" s="130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128"/>
      <c r="D816" s="2"/>
      <c r="E816" s="2"/>
      <c r="F816" s="2"/>
      <c r="G816" s="2"/>
      <c r="H816" s="2"/>
      <c r="I816" s="2"/>
      <c r="J816" s="2"/>
      <c r="K816" s="128"/>
      <c r="L816" s="8"/>
      <c r="M816" s="130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128"/>
      <c r="D817" s="2"/>
      <c r="E817" s="2"/>
      <c r="F817" s="2"/>
      <c r="G817" s="2"/>
      <c r="H817" s="2"/>
      <c r="I817" s="2"/>
      <c r="J817" s="2"/>
      <c r="K817" s="128"/>
      <c r="L817" s="8"/>
      <c r="M817" s="130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128"/>
      <c r="D818" s="2"/>
      <c r="E818" s="2"/>
      <c r="F818" s="2"/>
      <c r="G818" s="2"/>
      <c r="H818" s="2"/>
      <c r="I818" s="2"/>
      <c r="J818" s="2"/>
      <c r="K818" s="128"/>
      <c r="L818" s="8"/>
      <c r="M818" s="130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128"/>
      <c r="D819" s="2"/>
      <c r="E819" s="2"/>
      <c r="F819" s="2"/>
      <c r="G819" s="2"/>
      <c r="H819" s="2"/>
      <c r="I819" s="2"/>
      <c r="J819" s="2"/>
      <c r="K819" s="128"/>
      <c r="L819" s="8"/>
      <c r="M819" s="130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128"/>
      <c r="D820" s="2"/>
      <c r="E820" s="2"/>
      <c r="F820" s="2"/>
      <c r="G820" s="2"/>
      <c r="H820" s="2"/>
      <c r="I820" s="2"/>
      <c r="J820" s="2"/>
      <c r="K820" s="128"/>
      <c r="L820" s="8"/>
      <c r="M820" s="130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128"/>
      <c r="D821" s="2"/>
      <c r="E821" s="2"/>
      <c r="F821" s="2"/>
      <c r="G821" s="2"/>
      <c r="H821" s="2"/>
      <c r="I821" s="2"/>
      <c r="J821" s="2"/>
      <c r="K821" s="128"/>
      <c r="L821" s="8"/>
      <c r="M821" s="130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128"/>
      <c r="D822" s="2"/>
      <c r="E822" s="2"/>
      <c r="F822" s="2"/>
      <c r="G822" s="2"/>
      <c r="H822" s="2"/>
      <c r="I822" s="2"/>
      <c r="J822" s="2"/>
      <c r="K822" s="128"/>
      <c r="L822" s="8"/>
      <c r="M822" s="130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128"/>
      <c r="D823" s="2"/>
      <c r="E823" s="2"/>
      <c r="F823" s="2"/>
      <c r="G823" s="2"/>
      <c r="H823" s="2"/>
      <c r="I823" s="2"/>
      <c r="J823" s="2"/>
      <c r="K823" s="128"/>
      <c r="L823" s="8"/>
      <c r="M823" s="130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128"/>
      <c r="D824" s="2"/>
      <c r="E824" s="2"/>
      <c r="F824" s="2"/>
      <c r="G824" s="2"/>
      <c r="H824" s="2"/>
      <c r="I824" s="2"/>
      <c r="J824" s="2"/>
      <c r="K824" s="128"/>
      <c r="L824" s="8"/>
      <c r="M824" s="130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128"/>
      <c r="D825" s="2"/>
      <c r="E825" s="2"/>
      <c r="F825" s="2"/>
      <c r="G825" s="2"/>
      <c r="H825" s="2"/>
      <c r="I825" s="2"/>
      <c r="J825" s="2"/>
      <c r="K825" s="128"/>
      <c r="L825" s="8"/>
      <c r="M825" s="130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128"/>
      <c r="D826" s="2"/>
      <c r="E826" s="2"/>
      <c r="F826" s="2"/>
      <c r="G826" s="2"/>
      <c r="H826" s="2"/>
      <c r="I826" s="2"/>
      <c r="J826" s="2"/>
      <c r="K826" s="128"/>
      <c r="L826" s="8"/>
      <c r="M826" s="130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128"/>
      <c r="D827" s="2"/>
      <c r="E827" s="2"/>
      <c r="F827" s="2"/>
      <c r="G827" s="2"/>
      <c r="H827" s="2"/>
      <c r="I827" s="2"/>
      <c r="J827" s="2"/>
      <c r="K827" s="128"/>
      <c r="L827" s="8"/>
      <c r="M827" s="130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128"/>
      <c r="D828" s="2"/>
      <c r="E828" s="2"/>
      <c r="F828" s="2"/>
      <c r="G828" s="2"/>
      <c r="H828" s="2"/>
      <c r="I828" s="2"/>
      <c r="J828" s="2"/>
      <c r="K828" s="128"/>
      <c r="L828" s="8"/>
      <c r="M828" s="130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128"/>
      <c r="D829" s="2"/>
      <c r="E829" s="2"/>
      <c r="F829" s="2"/>
      <c r="G829" s="2"/>
      <c r="H829" s="2"/>
      <c r="I829" s="2"/>
      <c r="J829" s="2"/>
      <c r="K829" s="128"/>
      <c r="L829" s="8"/>
      <c r="M829" s="130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128"/>
      <c r="D830" s="2"/>
      <c r="E830" s="2"/>
      <c r="F830" s="2"/>
      <c r="G830" s="2"/>
      <c r="H830" s="2"/>
      <c r="I830" s="2"/>
      <c r="J830" s="2"/>
      <c r="K830" s="128"/>
      <c r="L830" s="8"/>
      <c r="M830" s="130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128"/>
      <c r="D831" s="2"/>
      <c r="E831" s="2"/>
      <c r="F831" s="2"/>
      <c r="G831" s="2"/>
      <c r="H831" s="2"/>
      <c r="I831" s="2"/>
      <c r="J831" s="2"/>
      <c r="K831" s="128"/>
      <c r="L831" s="8"/>
      <c r="M831" s="130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128"/>
      <c r="D832" s="2"/>
      <c r="E832" s="2"/>
      <c r="F832" s="2"/>
      <c r="G832" s="2"/>
      <c r="H832" s="2"/>
      <c r="I832" s="2"/>
      <c r="J832" s="2"/>
      <c r="K832" s="128"/>
      <c r="L832" s="8"/>
      <c r="M832" s="130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128"/>
      <c r="D833" s="2"/>
      <c r="E833" s="2"/>
      <c r="F833" s="2"/>
      <c r="G833" s="2"/>
      <c r="H833" s="2"/>
      <c r="I833" s="2"/>
      <c r="J833" s="2"/>
      <c r="K833" s="128"/>
      <c r="L833" s="8"/>
      <c r="M833" s="130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128"/>
      <c r="D834" s="2"/>
      <c r="E834" s="2"/>
      <c r="F834" s="2"/>
      <c r="G834" s="2"/>
      <c r="H834" s="2"/>
      <c r="I834" s="2"/>
      <c r="J834" s="2"/>
      <c r="K834" s="128"/>
      <c r="L834" s="8"/>
      <c r="M834" s="130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128"/>
      <c r="D835" s="2"/>
      <c r="E835" s="2"/>
      <c r="F835" s="2"/>
      <c r="G835" s="2"/>
      <c r="H835" s="2"/>
      <c r="I835" s="2"/>
      <c r="J835" s="2"/>
      <c r="K835" s="128"/>
      <c r="L835" s="8"/>
      <c r="M835" s="130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128"/>
      <c r="D836" s="2"/>
      <c r="E836" s="2"/>
      <c r="F836" s="2"/>
      <c r="G836" s="2"/>
      <c r="H836" s="2"/>
      <c r="I836" s="2"/>
      <c r="J836" s="2"/>
      <c r="K836" s="128"/>
      <c r="L836" s="8"/>
      <c r="M836" s="130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128"/>
      <c r="D837" s="2"/>
      <c r="E837" s="2"/>
      <c r="F837" s="2"/>
      <c r="G837" s="2"/>
      <c r="H837" s="2"/>
      <c r="I837" s="2"/>
      <c r="J837" s="2"/>
      <c r="K837" s="128"/>
      <c r="L837" s="8"/>
      <c r="M837" s="130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128"/>
      <c r="D838" s="2"/>
      <c r="E838" s="2"/>
      <c r="F838" s="2"/>
      <c r="G838" s="2"/>
      <c r="H838" s="2"/>
      <c r="I838" s="2"/>
      <c r="J838" s="2"/>
      <c r="K838" s="128"/>
      <c r="L838" s="8"/>
      <c r="M838" s="130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128"/>
      <c r="D839" s="2"/>
      <c r="E839" s="2"/>
      <c r="F839" s="2"/>
      <c r="G839" s="2"/>
      <c r="H839" s="2"/>
      <c r="I839" s="2"/>
      <c r="J839" s="2"/>
      <c r="K839" s="128"/>
      <c r="L839" s="8"/>
      <c r="M839" s="130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128"/>
      <c r="D840" s="2"/>
      <c r="E840" s="2"/>
      <c r="F840" s="2"/>
      <c r="G840" s="2"/>
      <c r="H840" s="2"/>
      <c r="I840" s="2"/>
      <c r="J840" s="2"/>
      <c r="K840" s="128"/>
      <c r="L840" s="8"/>
      <c r="M840" s="130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128"/>
      <c r="D841" s="2"/>
      <c r="E841" s="2"/>
      <c r="F841" s="2"/>
      <c r="G841" s="2"/>
      <c r="H841" s="2"/>
      <c r="I841" s="2"/>
      <c r="J841" s="2"/>
      <c r="K841" s="128"/>
      <c r="L841" s="8"/>
      <c r="M841" s="130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128"/>
      <c r="D842" s="2"/>
      <c r="E842" s="2"/>
      <c r="F842" s="2"/>
      <c r="G842" s="2"/>
      <c r="H842" s="2"/>
      <c r="I842" s="2"/>
      <c r="J842" s="2"/>
      <c r="K842" s="128"/>
      <c r="L842" s="8"/>
      <c r="M842" s="130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128"/>
      <c r="D843" s="2"/>
      <c r="E843" s="2"/>
      <c r="F843" s="2"/>
      <c r="G843" s="2"/>
      <c r="H843" s="2"/>
      <c r="I843" s="2"/>
      <c r="J843" s="2"/>
      <c r="K843" s="128"/>
      <c r="L843" s="8"/>
      <c r="M843" s="130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128"/>
      <c r="D844" s="2"/>
      <c r="E844" s="2"/>
      <c r="F844" s="2"/>
      <c r="G844" s="2"/>
      <c r="H844" s="2"/>
      <c r="I844" s="2"/>
      <c r="J844" s="2"/>
      <c r="K844" s="128"/>
      <c r="L844" s="8"/>
      <c r="M844" s="130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128"/>
      <c r="D845" s="2"/>
      <c r="E845" s="2"/>
      <c r="F845" s="2"/>
      <c r="G845" s="2"/>
      <c r="H845" s="2"/>
      <c r="I845" s="2"/>
      <c r="J845" s="2"/>
      <c r="K845" s="128"/>
      <c r="L845" s="8"/>
      <c r="M845" s="130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128"/>
      <c r="D846" s="2"/>
      <c r="E846" s="2"/>
      <c r="F846" s="2"/>
      <c r="G846" s="2"/>
      <c r="H846" s="2"/>
      <c r="I846" s="2"/>
      <c r="J846" s="2"/>
      <c r="K846" s="128"/>
      <c r="L846" s="8"/>
      <c r="M846" s="130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128"/>
      <c r="D847" s="2"/>
      <c r="E847" s="2"/>
      <c r="F847" s="2"/>
      <c r="G847" s="2"/>
      <c r="H847" s="2"/>
      <c r="I847" s="2"/>
      <c r="J847" s="2"/>
      <c r="K847" s="128"/>
      <c r="L847" s="8"/>
      <c r="M847" s="130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128"/>
      <c r="D848" s="2"/>
      <c r="E848" s="2"/>
      <c r="F848" s="2"/>
      <c r="G848" s="2"/>
      <c r="H848" s="2"/>
      <c r="I848" s="2"/>
      <c r="J848" s="2"/>
      <c r="K848" s="128"/>
      <c r="L848" s="8"/>
      <c r="M848" s="130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128"/>
      <c r="D849" s="2"/>
      <c r="E849" s="2"/>
      <c r="F849" s="2"/>
      <c r="G849" s="2"/>
      <c r="H849" s="2"/>
      <c r="I849" s="2"/>
      <c r="J849" s="2"/>
      <c r="K849" s="128"/>
      <c r="L849" s="8"/>
      <c r="M849" s="130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128"/>
      <c r="D850" s="2"/>
      <c r="E850" s="2"/>
      <c r="F850" s="2"/>
      <c r="G850" s="2"/>
      <c r="H850" s="2"/>
      <c r="I850" s="2"/>
      <c r="J850" s="2"/>
      <c r="K850" s="128"/>
      <c r="L850" s="8"/>
      <c r="M850" s="130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128"/>
      <c r="D851" s="2"/>
      <c r="E851" s="2"/>
      <c r="F851" s="2"/>
      <c r="G851" s="2"/>
      <c r="H851" s="2"/>
      <c r="I851" s="2"/>
      <c r="J851" s="2"/>
      <c r="K851" s="128"/>
      <c r="L851" s="8"/>
      <c r="M851" s="130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128"/>
      <c r="D852" s="2"/>
      <c r="E852" s="2"/>
      <c r="F852" s="2"/>
      <c r="G852" s="2"/>
      <c r="H852" s="2"/>
      <c r="I852" s="2"/>
      <c r="J852" s="2"/>
      <c r="K852" s="128"/>
      <c r="L852" s="8"/>
      <c r="M852" s="130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128"/>
      <c r="D853" s="2"/>
      <c r="E853" s="2"/>
      <c r="F853" s="2"/>
      <c r="G853" s="2"/>
      <c r="H853" s="2"/>
      <c r="I853" s="2"/>
      <c r="J853" s="2"/>
      <c r="K853" s="128"/>
      <c r="L853" s="8"/>
      <c r="M853" s="130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128"/>
      <c r="D854" s="2"/>
      <c r="E854" s="2"/>
      <c r="F854" s="2"/>
      <c r="G854" s="2"/>
      <c r="H854" s="2"/>
      <c r="I854" s="2"/>
      <c r="J854" s="2"/>
      <c r="K854" s="128"/>
      <c r="L854" s="8"/>
      <c r="M854" s="130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128"/>
      <c r="D855" s="2"/>
      <c r="E855" s="2"/>
      <c r="F855" s="2"/>
      <c r="G855" s="2"/>
      <c r="H855" s="2"/>
      <c r="I855" s="2"/>
      <c r="J855" s="2"/>
      <c r="K855" s="128"/>
      <c r="L855" s="8"/>
      <c r="M855" s="130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128"/>
      <c r="D856" s="2"/>
      <c r="E856" s="2"/>
      <c r="F856" s="2"/>
      <c r="G856" s="2"/>
      <c r="H856" s="2"/>
      <c r="I856" s="2"/>
      <c r="J856" s="2"/>
      <c r="K856" s="128"/>
      <c r="L856" s="8"/>
      <c r="M856" s="130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128"/>
      <c r="D857" s="2"/>
      <c r="E857" s="2"/>
      <c r="F857" s="2"/>
      <c r="G857" s="2"/>
      <c r="H857" s="2"/>
      <c r="I857" s="2"/>
      <c r="J857" s="2"/>
      <c r="K857" s="128"/>
      <c r="L857" s="8"/>
      <c r="M857" s="130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128"/>
      <c r="D858" s="2"/>
      <c r="E858" s="2"/>
      <c r="F858" s="2"/>
      <c r="G858" s="2"/>
      <c r="H858" s="2"/>
      <c r="I858" s="2"/>
      <c r="J858" s="2"/>
      <c r="K858" s="128"/>
      <c r="L858" s="8"/>
      <c r="M858" s="130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128"/>
      <c r="D859" s="2"/>
      <c r="E859" s="2"/>
      <c r="F859" s="2"/>
      <c r="G859" s="2"/>
      <c r="H859" s="2"/>
      <c r="I859" s="2"/>
      <c r="J859" s="2"/>
      <c r="K859" s="128"/>
      <c r="L859" s="8"/>
      <c r="M859" s="130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128"/>
      <c r="D860" s="2"/>
      <c r="E860" s="2"/>
      <c r="F860" s="2"/>
      <c r="G860" s="2"/>
      <c r="H860" s="2"/>
      <c r="I860" s="2"/>
      <c r="J860" s="2"/>
      <c r="K860" s="128"/>
      <c r="L860" s="8"/>
      <c r="M860" s="130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128"/>
      <c r="D861" s="2"/>
      <c r="E861" s="2"/>
      <c r="F861" s="2"/>
      <c r="G861" s="2"/>
      <c r="H861" s="2"/>
      <c r="I861" s="2"/>
      <c r="J861" s="2"/>
      <c r="K861" s="128"/>
      <c r="L861" s="8"/>
      <c r="M861" s="130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128"/>
      <c r="D862" s="2"/>
      <c r="E862" s="2"/>
      <c r="F862" s="2"/>
      <c r="G862" s="2"/>
      <c r="H862" s="2"/>
      <c r="I862" s="2"/>
      <c r="J862" s="2"/>
      <c r="K862" s="128"/>
      <c r="L862" s="8"/>
      <c r="M862" s="130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128"/>
      <c r="D863" s="2"/>
      <c r="E863" s="2"/>
      <c r="F863" s="2"/>
      <c r="G863" s="2"/>
      <c r="H863" s="2"/>
      <c r="I863" s="2"/>
      <c r="J863" s="2"/>
      <c r="K863" s="128"/>
      <c r="L863" s="8"/>
      <c r="M863" s="130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128"/>
      <c r="D864" s="2"/>
      <c r="E864" s="2"/>
      <c r="F864" s="2"/>
      <c r="G864" s="2"/>
      <c r="H864" s="2"/>
      <c r="I864" s="2"/>
      <c r="J864" s="2"/>
      <c r="K864" s="128"/>
      <c r="L864" s="8"/>
      <c r="M864" s="130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128"/>
      <c r="D865" s="2"/>
      <c r="E865" s="2"/>
      <c r="F865" s="2"/>
      <c r="G865" s="2"/>
      <c r="H865" s="2"/>
      <c r="I865" s="2"/>
      <c r="J865" s="2"/>
      <c r="K865" s="128"/>
      <c r="L865" s="8"/>
      <c r="M865" s="130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128"/>
      <c r="D866" s="2"/>
      <c r="E866" s="2"/>
      <c r="F866" s="2"/>
      <c r="G866" s="2"/>
      <c r="H866" s="2"/>
      <c r="I866" s="2"/>
      <c r="J866" s="2"/>
      <c r="K866" s="128"/>
      <c r="L866" s="8"/>
      <c r="M866" s="130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128"/>
      <c r="D867" s="2"/>
      <c r="E867" s="2"/>
      <c r="F867" s="2"/>
      <c r="G867" s="2"/>
      <c r="H867" s="2"/>
      <c r="I867" s="2"/>
      <c r="J867" s="2"/>
      <c r="K867" s="128"/>
      <c r="L867" s="8"/>
      <c r="M867" s="130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128"/>
      <c r="D868" s="2"/>
      <c r="E868" s="2"/>
      <c r="F868" s="2"/>
      <c r="G868" s="2"/>
      <c r="H868" s="2"/>
      <c r="I868" s="2"/>
      <c r="J868" s="2"/>
      <c r="K868" s="128"/>
      <c r="L868" s="8"/>
      <c r="M868" s="130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128"/>
      <c r="D869" s="2"/>
      <c r="E869" s="2"/>
      <c r="F869" s="2"/>
      <c r="G869" s="2"/>
      <c r="H869" s="2"/>
      <c r="I869" s="2"/>
      <c r="J869" s="2"/>
      <c r="K869" s="128"/>
      <c r="L869" s="8"/>
      <c r="M869" s="130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128"/>
      <c r="D870" s="2"/>
      <c r="E870" s="2"/>
      <c r="F870" s="2"/>
      <c r="G870" s="2"/>
      <c r="H870" s="2"/>
      <c r="I870" s="2"/>
      <c r="J870" s="2"/>
      <c r="K870" s="128"/>
      <c r="L870" s="8"/>
      <c r="M870" s="130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128"/>
      <c r="D871" s="2"/>
      <c r="E871" s="2"/>
      <c r="F871" s="2"/>
      <c r="G871" s="2"/>
      <c r="H871" s="2"/>
      <c r="I871" s="2"/>
      <c r="J871" s="2"/>
      <c r="K871" s="128"/>
      <c r="L871" s="8"/>
      <c r="M871" s="130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128"/>
      <c r="D872" s="2"/>
      <c r="E872" s="2"/>
      <c r="F872" s="2"/>
      <c r="G872" s="2"/>
      <c r="H872" s="2"/>
      <c r="I872" s="2"/>
      <c r="J872" s="2"/>
      <c r="K872" s="128"/>
      <c r="L872" s="8"/>
      <c r="M872" s="130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128"/>
      <c r="D873" s="2"/>
      <c r="E873" s="2"/>
      <c r="F873" s="2"/>
      <c r="G873" s="2"/>
      <c r="H873" s="2"/>
      <c r="I873" s="2"/>
      <c r="J873" s="2"/>
      <c r="K873" s="128"/>
      <c r="L873" s="8"/>
      <c r="M873" s="130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128"/>
      <c r="D874" s="2"/>
      <c r="E874" s="2"/>
      <c r="F874" s="2"/>
      <c r="G874" s="2"/>
      <c r="H874" s="2"/>
      <c r="I874" s="2"/>
      <c r="J874" s="2"/>
      <c r="K874" s="128"/>
      <c r="L874" s="8"/>
      <c r="M874" s="130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128"/>
      <c r="D875" s="2"/>
      <c r="E875" s="2"/>
      <c r="F875" s="2"/>
      <c r="G875" s="2"/>
      <c r="H875" s="2"/>
      <c r="I875" s="2"/>
      <c r="J875" s="2"/>
      <c r="K875" s="128"/>
      <c r="L875" s="8"/>
      <c r="M875" s="130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128"/>
      <c r="D876" s="2"/>
      <c r="E876" s="2"/>
      <c r="F876" s="2"/>
      <c r="G876" s="2"/>
      <c r="H876" s="2"/>
      <c r="I876" s="2"/>
      <c r="J876" s="2"/>
      <c r="K876" s="128"/>
      <c r="L876" s="8"/>
      <c r="M876" s="130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128"/>
      <c r="D877" s="2"/>
      <c r="E877" s="2"/>
      <c r="F877" s="2"/>
      <c r="G877" s="2"/>
      <c r="H877" s="2"/>
      <c r="I877" s="2"/>
      <c r="J877" s="2"/>
      <c r="K877" s="128"/>
      <c r="L877" s="8"/>
      <c r="M877" s="130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128"/>
      <c r="D878" s="2"/>
      <c r="E878" s="2"/>
      <c r="F878" s="2"/>
      <c r="G878" s="2"/>
      <c r="H878" s="2"/>
      <c r="I878" s="2"/>
      <c r="J878" s="2"/>
      <c r="K878" s="128"/>
      <c r="L878" s="8"/>
      <c r="M878" s="130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128"/>
      <c r="D879" s="2"/>
      <c r="E879" s="2"/>
      <c r="F879" s="2"/>
      <c r="G879" s="2"/>
      <c r="H879" s="2"/>
      <c r="I879" s="2"/>
      <c r="J879" s="2"/>
      <c r="K879" s="128"/>
      <c r="L879" s="8"/>
      <c r="M879" s="130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128"/>
      <c r="D880" s="2"/>
      <c r="E880" s="2"/>
      <c r="F880" s="2"/>
      <c r="G880" s="2"/>
      <c r="H880" s="2"/>
      <c r="I880" s="2"/>
      <c r="J880" s="2"/>
      <c r="K880" s="128"/>
      <c r="L880" s="8"/>
      <c r="M880" s="130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128"/>
      <c r="D881" s="2"/>
      <c r="E881" s="2"/>
      <c r="F881" s="2"/>
      <c r="G881" s="2"/>
      <c r="H881" s="2"/>
      <c r="I881" s="2"/>
      <c r="J881" s="2"/>
      <c r="K881" s="128"/>
      <c r="L881" s="8"/>
      <c r="M881" s="130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128"/>
      <c r="D882" s="2"/>
      <c r="E882" s="2"/>
      <c r="F882" s="2"/>
      <c r="G882" s="2"/>
      <c r="H882" s="2"/>
      <c r="I882" s="2"/>
      <c r="J882" s="2"/>
      <c r="K882" s="128"/>
      <c r="L882" s="8"/>
      <c r="M882" s="130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128"/>
      <c r="D883" s="2"/>
      <c r="E883" s="2"/>
      <c r="F883" s="2"/>
      <c r="G883" s="2"/>
      <c r="H883" s="2"/>
      <c r="I883" s="2"/>
      <c r="J883" s="2"/>
      <c r="K883" s="128"/>
      <c r="L883" s="8"/>
      <c r="M883" s="130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128"/>
      <c r="D884" s="2"/>
      <c r="E884" s="2"/>
      <c r="F884" s="2"/>
      <c r="G884" s="2"/>
      <c r="H884" s="2"/>
      <c r="I884" s="2"/>
      <c r="J884" s="2"/>
      <c r="K884" s="128"/>
      <c r="L884" s="8"/>
      <c r="M884" s="130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128"/>
      <c r="D885" s="2"/>
      <c r="E885" s="2"/>
      <c r="F885" s="2"/>
      <c r="G885" s="2"/>
      <c r="H885" s="2"/>
      <c r="I885" s="2"/>
      <c r="J885" s="2"/>
      <c r="K885" s="128"/>
      <c r="L885" s="8"/>
      <c r="M885" s="130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128"/>
      <c r="D886" s="2"/>
      <c r="E886" s="2"/>
      <c r="F886" s="2"/>
      <c r="G886" s="2"/>
      <c r="H886" s="2"/>
      <c r="I886" s="2"/>
      <c r="J886" s="2"/>
      <c r="K886" s="128"/>
      <c r="L886" s="8"/>
      <c r="M886" s="130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128"/>
      <c r="D887" s="2"/>
      <c r="E887" s="2"/>
      <c r="F887" s="2"/>
      <c r="G887" s="2"/>
      <c r="H887" s="2"/>
      <c r="I887" s="2"/>
      <c r="J887" s="2"/>
      <c r="K887" s="128"/>
      <c r="L887" s="8"/>
      <c r="M887" s="130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128"/>
      <c r="D888" s="2"/>
      <c r="E888" s="2"/>
      <c r="F888" s="2"/>
      <c r="G888" s="2"/>
      <c r="H888" s="2"/>
      <c r="I888" s="2"/>
      <c r="J888" s="2"/>
      <c r="K888" s="128"/>
      <c r="L888" s="8"/>
      <c r="M888" s="130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128"/>
      <c r="D889" s="2"/>
      <c r="E889" s="2"/>
      <c r="F889" s="2"/>
      <c r="G889" s="2"/>
      <c r="H889" s="2"/>
      <c r="I889" s="2"/>
      <c r="J889" s="2"/>
      <c r="K889" s="128"/>
      <c r="L889" s="8"/>
      <c r="M889" s="130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128"/>
      <c r="D890" s="2"/>
      <c r="E890" s="2"/>
      <c r="F890" s="2"/>
      <c r="G890" s="2"/>
      <c r="H890" s="2"/>
      <c r="I890" s="2"/>
      <c r="J890" s="2"/>
      <c r="K890" s="128"/>
      <c r="L890" s="8"/>
      <c r="M890" s="130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128"/>
      <c r="D891" s="2"/>
      <c r="E891" s="2"/>
      <c r="F891" s="2"/>
      <c r="G891" s="2"/>
      <c r="H891" s="2"/>
      <c r="I891" s="2"/>
      <c r="J891" s="2"/>
      <c r="K891" s="128"/>
      <c r="L891" s="8"/>
      <c r="M891" s="130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128"/>
      <c r="D892" s="2"/>
      <c r="E892" s="2"/>
      <c r="F892" s="2"/>
      <c r="G892" s="2"/>
      <c r="H892" s="2"/>
      <c r="I892" s="2"/>
      <c r="J892" s="2"/>
      <c r="K892" s="128"/>
      <c r="L892" s="8"/>
      <c r="M892" s="130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128"/>
      <c r="D893" s="2"/>
      <c r="E893" s="2"/>
      <c r="F893" s="2"/>
      <c r="G893" s="2"/>
      <c r="H893" s="2"/>
      <c r="I893" s="2"/>
      <c r="J893" s="2"/>
      <c r="K893" s="128"/>
      <c r="L893" s="8"/>
      <c r="M893" s="130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128"/>
      <c r="D894" s="2"/>
      <c r="E894" s="2"/>
      <c r="F894" s="2"/>
      <c r="G894" s="2"/>
      <c r="H894" s="2"/>
      <c r="I894" s="2"/>
      <c r="J894" s="2"/>
      <c r="K894" s="128"/>
      <c r="L894" s="8"/>
      <c r="M894" s="130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128"/>
      <c r="D895" s="2"/>
      <c r="E895" s="2"/>
      <c r="F895" s="2"/>
      <c r="G895" s="2"/>
      <c r="H895" s="2"/>
      <c r="I895" s="2"/>
      <c r="J895" s="2"/>
      <c r="K895" s="128"/>
      <c r="L895" s="8"/>
      <c r="M895" s="130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128"/>
      <c r="D896" s="2"/>
      <c r="E896" s="2"/>
      <c r="F896" s="2"/>
      <c r="G896" s="2"/>
      <c r="H896" s="2"/>
      <c r="I896" s="2"/>
      <c r="J896" s="2"/>
      <c r="K896" s="128"/>
      <c r="L896" s="8"/>
      <c r="M896" s="130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128"/>
      <c r="D897" s="2"/>
      <c r="E897" s="2"/>
      <c r="F897" s="2"/>
      <c r="G897" s="2"/>
      <c r="H897" s="2"/>
      <c r="I897" s="2"/>
      <c r="J897" s="2"/>
      <c r="K897" s="128"/>
      <c r="L897" s="8"/>
      <c r="M897" s="130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128"/>
      <c r="D898" s="2"/>
      <c r="E898" s="2"/>
      <c r="F898" s="2"/>
      <c r="G898" s="2"/>
      <c r="H898" s="2"/>
      <c r="I898" s="2"/>
      <c r="J898" s="2"/>
      <c r="K898" s="128"/>
      <c r="L898" s="8"/>
      <c r="M898" s="130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128"/>
      <c r="D899" s="2"/>
      <c r="E899" s="2"/>
      <c r="F899" s="2"/>
      <c r="G899" s="2"/>
      <c r="H899" s="2"/>
      <c r="I899" s="2"/>
      <c r="J899" s="2"/>
      <c r="K899" s="128"/>
      <c r="L899" s="8"/>
      <c r="M899" s="130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128"/>
      <c r="D900" s="2"/>
      <c r="E900" s="2"/>
      <c r="F900" s="2"/>
      <c r="G900" s="2"/>
      <c r="H900" s="2"/>
      <c r="I900" s="2"/>
      <c r="J900" s="2"/>
      <c r="K900" s="128"/>
      <c r="L900" s="8"/>
      <c r="M900" s="130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128"/>
      <c r="D901" s="2"/>
      <c r="E901" s="2"/>
      <c r="F901" s="2"/>
      <c r="G901" s="2"/>
      <c r="H901" s="2"/>
      <c r="I901" s="2"/>
      <c r="J901" s="2"/>
      <c r="K901" s="128"/>
      <c r="L901" s="8"/>
      <c r="M901" s="130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128"/>
      <c r="D902" s="2"/>
      <c r="E902" s="2"/>
      <c r="F902" s="2"/>
      <c r="G902" s="2"/>
      <c r="H902" s="2"/>
      <c r="I902" s="2"/>
      <c r="J902" s="2"/>
      <c r="K902" s="128"/>
      <c r="L902" s="8"/>
      <c r="M902" s="130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128"/>
      <c r="D903" s="2"/>
      <c r="E903" s="2"/>
      <c r="F903" s="2"/>
      <c r="G903" s="2"/>
      <c r="H903" s="2"/>
      <c r="I903" s="2"/>
      <c r="J903" s="2"/>
      <c r="K903" s="128"/>
      <c r="L903" s="8"/>
      <c r="M903" s="130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128"/>
      <c r="D904" s="2"/>
      <c r="E904" s="2"/>
      <c r="F904" s="2"/>
      <c r="G904" s="2"/>
      <c r="H904" s="2"/>
      <c r="I904" s="2"/>
      <c r="J904" s="2"/>
      <c r="K904" s="128"/>
      <c r="L904" s="8"/>
      <c r="M904" s="130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128"/>
      <c r="D905" s="2"/>
      <c r="E905" s="2"/>
      <c r="F905" s="2"/>
      <c r="G905" s="2"/>
      <c r="H905" s="2"/>
      <c r="I905" s="2"/>
      <c r="J905" s="2"/>
      <c r="K905" s="128"/>
      <c r="L905" s="8"/>
      <c r="M905" s="130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128"/>
      <c r="D906" s="2"/>
      <c r="E906" s="2"/>
      <c r="F906" s="2"/>
      <c r="G906" s="2"/>
      <c r="H906" s="2"/>
      <c r="I906" s="2"/>
      <c r="J906" s="2"/>
      <c r="K906" s="128"/>
      <c r="L906" s="8"/>
      <c r="M906" s="130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128"/>
      <c r="D907" s="2"/>
      <c r="E907" s="2"/>
      <c r="F907" s="2"/>
      <c r="G907" s="2"/>
      <c r="H907" s="2"/>
      <c r="I907" s="2"/>
      <c r="J907" s="2"/>
      <c r="K907" s="128"/>
      <c r="L907" s="8"/>
      <c r="M907" s="130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128"/>
      <c r="D908" s="2"/>
      <c r="E908" s="2"/>
      <c r="F908" s="2"/>
      <c r="G908" s="2"/>
      <c r="H908" s="2"/>
      <c r="I908" s="2"/>
      <c r="J908" s="2"/>
      <c r="K908" s="128"/>
      <c r="L908" s="8"/>
      <c r="M908" s="130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128"/>
      <c r="D909" s="2"/>
      <c r="E909" s="2"/>
      <c r="F909" s="2"/>
      <c r="G909" s="2"/>
      <c r="H909" s="2"/>
      <c r="I909" s="2"/>
      <c r="J909" s="2"/>
      <c r="K909" s="128"/>
      <c r="L909" s="8"/>
      <c r="M909" s="130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128"/>
      <c r="D910" s="2"/>
      <c r="E910" s="2"/>
      <c r="F910" s="2"/>
      <c r="G910" s="2"/>
      <c r="H910" s="2"/>
      <c r="I910" s="2"/>
      <c r="J910" s="2"/>
      <c r="K910" s="128"/>
      <c r="L910" s="8"/>
      <c r="M910" s="130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128"/>
      <c r="D911" s="2"/>
      <c r="E911" s="2"/>
      <c r="F911" s="2"/>
      <c r="G911" s="2"/>
      <c r="H911" s="2"/>
      <c r="I911" s="2"/>
      <c r="J911" s="2"/>
      <c r="K911" s="128"/>
      <c r="L911" s="8"/>
      <c r="M911" s="130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128"/>
      <c r="D912" s="2"/>
      <c r="E912" s="2"/>
      <c r="F912" s="2"/>
      <c r="G912" s="2"/>
      <c r="H912" s="2"/>
      <c r="I912" s="2"/>
      <c r="J912" s="2"/>
      <c r="K912" s="128"/>
      <c r="L912" s="8"/>
      <c r="M912" s="130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128"/>
      <c r="D913" s="2"/>
      <c r="E913" s="2"/>
      <c r="F913" s="2"/>
      <c r="G913" s="2"/>
      <c r="H913" s="2"/>
      <c r="I913" s="2"/>
      <c r="J913" s="2"/>
      <c r="K913" s="128"/>
      <c r="L913" s="8"/>
      <c r="M913" s="130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128"/>
      <c r="D914" s="2"/>
      <c r="E914" s="2"/>
      <c r="F914" s="2"/>
      <c r="G914" s="2"/>
      <c r="H914" s="2"/>
      <c r="I914" s="2"/>
      <c r="J914" s="2"/>
      <c r="K914" s="128"/>
      <c r="L914" s="8"/>
      <c r="M914" s="130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128"/>
      <c r="D915" s="2"/>
      <c r="E915" s="2"/>
      <c r="F915" s="2"/>
      <c r="G915" s="2"/>
      <c r="H915" s="2"/>
      <c r="I915" s="2"/>
      <c r="J915" s="2"/>
      <c r="K915" s="128"/>
      <c r="L915" s="8"/>
      <c r="M915" s="130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128"/>
      <c r="D916" s="2"/>
      <c r="E916" s="2"/>
      <c r="F916" s="2"/>
      <c r="G916" s="2"/>
      <c r="H916" s="2"/>
      <c r="I916" s="2"/>
      <c r="J916" s="2"/>
      <c r="K916" s="128"/>
      <c r="L916" s="8"/>
      <c r="M916" s="130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128"/>
      <c r="D917" s="2"/>
      <c r="E917" s="2"/>
      <c r="F917" s="2"/>
      <c r="G917" s="2"/>
      <c r="H917" s="2"/>
      <c r="I917" s="2"/>
      <c r="J917" s="2"/>
      <c r="K917" s="128"/>
      <c r="L917" s="8"/>
      <c r="M917" s="130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128"/>
      <c r="D918" s="2"/>
      <c r="E918" s="2"/>
      <c r="F918" s="2"/>
      <c r="G918" s="2"/>
      <c r="H918" s="2"/>
      <c r="I918" s="2"/>
      <c r="J918" s="2"/>
      <c r="K918" s="128"/>
      <c r="L918" s="8"/>
      <c r="M918" s="130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128"/>
      <c r="D919" s="2"/>
      <c r="E919" s="2"/>
      <c r="F919" s="2"/>
      <c r="G919" s="2"/>
      <c r="H919" s="2"/>
      <c r="I919" s="2"/>
      <c r="J919" s="2"/>
      <c r="K919" s="128"/>
      <c r="L919" s="8"/>
      <c r="M919" s="130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128"/>
      <c r="D920" s="2"/>
      <c r="E920" s="2"/>
      <c r="F920" s="2"/>
      <c r="G920" s="2"/>
      <c r="H920" s="2"/>
      <c r="I920" s="2"/>
      <c r="J920" s="2"/>
      <c r="K920" s="128"/>
      <c r="L920" s="8"/>
      <c r="M920" s="130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128"/>
      <c r="D921" s="2"/>
      <c r="E921" s="2"/>
      <c r="F921" s="2"/>
      <c r="G921" s="2"/>
      <c r="H921" s="2"/>
      <c r="I921" s="2"/>
      <c r="J921" s="2"/>
      <c r="K921" s="128"/>
      <c r="L921" s="8"/>
      <c r="M921" s="130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128"/>
      <c r="D922" s="2"/>
      <c r="E922" s="2"/>
      <c r="F922" s="2"/>
      <c r="G922" s="2"/>
      <c r="H922" s="2"/>
      <c r="I922" s="2"/>
      <c r="J922" s="2"/>
      <c r="K922" s="128"/>
      <c r="L922" s="8"/>
      <c r="M922" s="130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128"/>
      <c r="D923" s="2"/>
      <c r="E923" s="2"/>
      <c r="F923" s="2"/>
      <c r="G923" s="2"/>
      <c r="H923" s="2"/>
      <c r="I923" s="2"/>
      <c r="J923" s="2"/>
      <c r="K923" s="128"/>
      <c r="L923" s="8"/>
      <c r="M923" s="130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128"/>
      <c r="D924" s="2"/>
      <c r="E924" s="2"/>
      <c r="F924" s="2"/>
      <c r="G924" s="2"/>
      <c r="H924" s="2"/>
      <c r="I924" s="2"/>
      <c r="J924" s="2"/>
      <c r="K924" s="128"/>
      <c r="L924" s="8"/>
      <c r="M924" s="130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128"/>
      <c r="D925" s="2"/>
      <c r="E925" s="2"/>
      <c r="F925" s="2"/>
      <c r="G925" s="2"/>
      <c r="H925" s="2"/>
      <c r="I925" s="2"/>
      <c r="J925" s="2"/>
      <c r="K925" s="128"/>
      <c r="L925" s="8"/>
      <c r="M925" s="130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128"/>
      <c r="D926" s="2"/>
      <c r="E926" s="2"/>
      <c r="F926" s="2"/>
      <c r="G926" s="2"/>
      <c r="H926" s="2"/>
      <c r="I926" s="2"/>
      <c r="J926" s="2"/>
      <c r="K926" s="128"/>
      <c r="L926" s="8"/>
      <c r="M926" s="130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128"/>
      <c r="D927" s="2"/>
      <c r="E927" s="2"/>
      <c r="F927" s="2"/>
      <c r="G927" s="2"/>
      <c r="H927" s="2"/>
      <c r="I927" s="2"/>
      <c r="J927" s="2"/>
      <c r="K927" s="128"/>
      <c r="L927" s="8"/>
      <c r="M927" s="130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128"/>
      <c r="D928" s="2"/>
      <c r="E928" s="2"/>
      <c r="F928" s="2"/>
      <c r="G928" s="2"/>
      <c r="H928" s="2"/>
      <c r="I928" s="2"/>
      <c r="J928" s="2"/>
      <c r="K928" s="128"/>
      <c r="L928" s="8"/>
      <c r="M928" s="130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128"/>
      <c r="D929" s="2"/>
      <c r="E929" s="2"/>
      <c r="F929" s="2"/>
      <c r="G929" s="2"/>
      <c r="H929" s="2"/>
      <c r="I929" s="2"/>
      <c r="J929" s="2"/>
      <c r="K929" s="128"/>
      <c r="L929" s="8"/>
      <c r="M929" s="130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128"/>
      <c r="D930" s="2"/>
      <c r="E930" s="2"/>
      <c r="F930" s="2"/>
      <c r="G930" s="2"/>
      <c r="H930" s="2"/>
      <c r="I930" s="2"/>
      <c r="J930" s="2"/>
      <c r="K930" s="128"/>
      <c r="L930" s="8"/>
      <c r="M930" s="130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128"/>
      <c r="D931" s="2"/>
      <c r="E931" s="2"/>
      <c r="F931" s="2"/>
      <c r="G931" s="2"/>
      <c r="H931" s="2"/>
      <c r="I931" s="2"/>
      <c r="J931" s="2"/>
      <c r="K931" s="128"/>
      <c r="L931" s="8"/>
      <c r="M931" s="130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128"/>
      <c r="D932" s="2"/>
      <c r="E932" s="2"/>
      <c r="F932" s="2"/>
      <c r="G932" s="2"/>
      <c r="H932" s="2"/>
      <c r="I932" s="2"/>
      <c r="J932" s="2"/>
      <c r="K932" s="128"/>
      <c r="L932" s="8"/>
      <c r="M932" s="130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128"/>
      <c r="D933" s="2"/>
      <c r="E933" s="2"/>
      <c r="F933" s="2"/>
      <c r="G933" s="2"/>
      <c r="H933" s="2"/>
      <c r="I933" s="2"/>
      <c r="J933" s="2"/>
      <c r="K933" s="128"/>
      <c r="L933" s="8"/>
      <c r="M933" s="130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128"/>
      <c r="D934" s="2"/>
      <c r="E934" s="2"/>
      <c r="F934" s="2"/>
      <c r="G934" s="2"/>
      <c r="H934" s="2"/>
      <c r="I934" s="2"/>
      <c r="J934" s="2"/>
      <c r="K934" s="128"/>
      <c r="L934" s="8"/>
      <c r="M934" s="130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128"/>
      <c r="D935" s="2"/>
      <c r="E935" s="2"/>
      <c r="F935" s="2"/>
      <c r="G935" s="2"/>
      <c r="H935" s="2"/>
      <c r="I935" s="2"/>
      <c r="J935" s="2"/>
      <c r="K935" s="128"/>
      <c r="L935" s="8"/>
      <c r="M935" s="130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128"/>
      <c r="D936" s="2"/>
      <c r="E936" s="2"/>
      <c r="F936" s="2"/>
      <c r="G936" s="2"/>
      <c r="H936" s="2"/>
      <c r="I936" s="2"/>
      <c r="J936" s="2"/>
      <c r="K936" s="128"/>
      <c r="L936" s="8"/>
      <c r="M936" s="130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128"/>
      <c r="D937" s="2"/>
      <c r="E937" s="2"/>
      <c r="F937" s="2"/>
      <c r="G937" s="2"/>
      <c r="H937" s="2"/>
      <c r="I937" s="2"/>
      <c r="J937" s="2"/>
      <c r="K937" s="128"/>
      <c r="L937" s="8"/>
      <c r="M937" s="130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128"/>
      <c r="D938" s="2"/>
      <c r="E938" s="2"/>
      <c r="F938" s="2"/>
      <c r="G938" s="2"/>
      <c r="H938" s="2"/>
      <c r="I938" s="2"/>
      <c r="J938" s="2"/>
      <c r="K938" s="128"/>
      <c r="L938" s="8"/>
      <c r="M938" s="130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128"/>
      <c r="D939" s="2"/>
      <c r="E939" s="2"/>
      <c r="F939" s="2"/>
      <c r="G939" s="2"/>
      <c r="H939" s="2"/>
      <c r="I939" s="2"/>
      <c r="J939" s="2"/>
      <c r="K939" s="128"/>
      <c r="L939" s="8"/>
      <c r="M939" s="130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128"/>
      <c r="D940" s="2"/>
      <c r="E940" s="2"/>
      <c r="F940" s="2"/>
      <c r="G940" s="2"/>
      <c r="H940" s="2"/>
      <c r="I940" s="2"/>
      <c r="J940" s="2"/>
      <c r="K940" s="128"/>
      <c r="L940" s="8"/>
      <c r="M940" s="130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128"/>
      <c r="D941" s="2"/>
      <c r="E941" s="2"/>
      <c r="F941" s="2"/>
      <c r="G941" s="2"/>
      <c r="H941" s="2"/>
      <c r="I941" s="2"/>
      <c r="J941" s="2"/>
      <c r="K941" s="128"/>
      <c r="L941" s="8"/>
      <c r="M941" s="130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128"/>
      <c r="D942" s="2"/>
      <c r="E942" s="2"/>
      <c r="F942" s="2"/>
      <c r="G942" s="2"/>
      <c r="H942" s="2"/>
      <c r="I942" s="2"/>
      <c r="J942" s="2"/>
      <c r="K942" s="128"/>
      <c r="L942" s="8"/>
      <c r="M942" s="130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128"/>
      <c r="D943" s="2"/>
      <c r="E943" s="2"/>
      <c r="F943" s="2"/>
      <c r="G943" s="2"/>
      <c r="H943" s="2"/>
      <c r="I943" s="2"/>
      <c r="J943" s="2"/>
      <c r="K943" s="128"/>
      <c r="L943" s="8"/>
      <c r="M943" s="130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128"/>
      <c r="D944" s="2"/>
      <c r="E944" s="2"/>
      <c r="F944" s="2"/>
      <c r="G944" s="2"/>
      <c r="H944" s="2"/>
      <c r="I944" s="2"/>
      <c r="J944" s="2"/>
      <c r="K944" s="128"/>
      <c r="L944" s="8"/>
      <c r="M944" s="130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128"/>
      <c r="D945" s="2"/>
      <c r="E945" s="2"/>
      <c r="F945" s="2"/>
      <c r="G945" s="2"/>
      <c r="H945" s="2"/>
      <c r="I945" s="2"/>
      <c r="J945" s="2"/>
      <c r="K945" s="128"/>
      <c r="L945" s="8"/>
      <c r="M945" s="130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128"/>
      <c r="D946" s="2"/>
      <c r="E946" s="2"/>
      <c r="F946" s="2"/>
      <c r="G946" s="2"/>
      <c r="H946" s="2"/>
      <c r="I946" s="2"/>
      <c r="J946" s="2"/>
      <c r="K946" s="128"/>
      <c r="L946" s="8"/>
      <c r="M946" s="130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128"/>
      <c r="D947" s="2"/>
      <c r="E947" s="2"/>
      <c r="F947" s="2"/>
      <c r="G947" s="2"/>
      <c r="H947" s="2"/>
      <c r="I947" s="2"/>
      <c r="J947" s="2"/>
      <c r="K947" s="128"/>
      <c r="L947" s="8"/>
      <c r="M947" s="130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128"/>
      <c r="D948" s="2"/>
      <c r="E948" s="2"/>
      <c r="F948" s="2"/>
      <c r="G948" s="2"/>
      <c r="H948" s="2"/>
      <c r="I948" s="2"/>
      <c r="J948" s="2"/>
      <c r="K948" s="128"/>
      <c r="L948" s="8"/>
      <c r="M948" s="130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128"/>
      <c r="D949" s="2"/>
      <c r="E949" s="2"/>
      <c r="F949" s="2"/>
      <c r="G949" s="2"/>
      <c r="H949" s="2"/>
      <c r="I949" s="2"/>
      <c r="J949" s="2"/>
      <c r="K949" s="128"/>
      <c r="L949" s="8"/>
      <c r="M949" s="130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128"/>
      <c r="D950" s="2"/>
      <c r="E950" s="2"/>
      <c r="F950" s="2"/>
      <c r="G950" s="2"/>
      <c r="H950" s="2"/>
      <c r="I950" s="2"/>
      <c r="J950" s="2"/>
      <c r="K950" s="128"/>
      <c r="L950" s="8"/>
      <c r="M950" s="130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128"/>
      <c r="D951" s="2"/>
      <c r="E951" s="2"/>
      <c r="F951" s="2"/>
      <c r="G951" s="2"/>
      <c r="H951" s="2"/>
      <c r="I951" s="2"/>
      <c r="J951" s="2"/>
      <c r="K951" s="128"/>
      <c r="L951" s="8"/>
      <c r="M951" s="130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128"/>
      <c r="D952" s="2"/>
      <c r="E952" s="2"/>
      <c r="F952" s="2"/>
      <c r="G952" s="2"/>
      <c r="H952" s="2"/>
      <c r="I952" s="2"/>
      <c r="J952" s="2"/>
      <c r="K952" s="128"/>
      <c r="L952" s="8"/>
      <c r="M952" s="130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128"/>
      <c r="D953" s="2"/>
      <c r="E953" s="2"/>
      <c r="F953" s="2"/>
      <c r="G953" s="2"/>
      <c r="H953" s="2"/>
      <c r="I953" s="2"/>
      <c r="J953" s="2"/>
      <c r="K953" s="128"/>
      <c r="L953" s="8"/>
      <c r="M953" s="130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128"/>
      <c r="D954" s="2"/>
      <c r="E954" s="2"/>
      <c r="F954" s="2"/>
      <c r="G954" s="2"/>
      <c r="H954" s="2"/>
      <c r="I954" s="2"/>
      <c r="J954" s="2"/>
      <c r="K954" s="128"/>
      <c r="L954" s="8"/>
      <c r="M954" s="130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128"/>
      <c r="D955" s="2"/>
      <c r="E955" s="2"/>
      <c r="F955" s="2"/>
      <c r="G955" s="2"/>
      <c r="H955" s="2"/>
      <c r="I955" s="2"/>
      <c r="J955" s="2"/>
      <c r="K955" s="128"/>
      <c r="L955" s="8"/>
      <c r="M955" s="130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128"/>
      <c r="D956" s="2"/>
      <c r="E956" s="2"/>
      <c r="F956" s="2"/>
      <c r="G956" s="2"/>
      <c r="H956" s="2"/>
      <c r="I956" s="2"/>
      <c r="J956" s="2"/>
      <c r="K956" s="128"/>
      <c r="L956" s="8"/>
      <c r="M956" s="130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128"/>
      <c r="D957" s="2"/>
      <c r="E957" s="2"/>
      <c r="F957" s="2"/>
      <c r="G957" s="2"/>
      <c r="H957" s="2"/>
      <c r="I957" s="2"/>
      <c r="J957" s="2"/>
      <c r="K957" s="128"/>
      <c r="L957" s="8"/>
      <c r="M957" s="130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128"/>
      <c r="D958" s="2"/>
      <c r="E958" s="2"/>
      <c r="F958" s="2"/>
      <c r="G958" s="2"/>
      <c r="H958" s="2"/>
      <c r="I958" s="2"/>
      <c r="J958" s="2"/>
      <c r="K958" s="128"/>
      <c r="L958" s="8"/>
      <c r="M958" s="130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128"/>
      <c r="D959" s="2"/>
      <c r="E959" s="2"/>
      <c r="F959" s="2"/>
      <c r="G959" s="2"/>
      <c r="H959" s="2"/>
      <c r="I959" s="2"/>
      <c r="J959" s="2"/>
      <c r="K959" s="128"/>
      <c r="L959" s="8"/>
      <c r="M959" s="130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128"/>
      <c r="D960" s="2"/>
      <c r="E960" s="2"/>
      <c r="F960" s="2"/>
      <c r="G960" s="2"/>
      <c r="H960" s="2"/>
      <c r="I960" s="2"/>
      <c r="J960" s="2"/>
      <c r="K960" s="128"/>
      <c r="L960" s="8"/>
      <c r="M960" s="130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128"/>
      <c r="D961" s="2"/>
      <c r="E961" s="2"/>
      <c r="F961" s="2"/>
      <c r="G961" s="2"/>
      <c r="H961" s="2"/>
      <c r="I961" s="2"/>
      <c r="J961" s="2"/>
      <c r="K961" s="128"/>
      <c r="L961" s="8"/>
      <c r="M961" s="130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128"/>
      <c r="D962" s="2"/>
      <c r="E962" s="2"/>
      <c r="F962" s="2"/>
      <c r="G962" s="2"/>
      <c r="H962" s="2"/>
      <c r="I962" s="2"/>
      <c r="J962" s="2"/>
      <c r="K962" s="128"/>
      <c r="L962" s="8"/>
      <c r="M962" s="130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128"/>
      <c r="D963" s="2"/>
      <c r="E963" s="2"/>
      <c r="F963" s="2"/>
      <c r="G963" s="2"/>
      <c r="H963" s="2"/>
      <c r="I963" s="2"/>
      <c r="J963" s="2"/>
      <c r="K963" s="128"/>
      <c r="L963" s="8"/>
      <c r="M963" s="130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128"/>
      <c r="D964" s="2"/>
      <c r="E964" s="2"/>
      <c r="F964" s="2"/>
      <c r="G964" s="2"/>
      <c r="H964" s="2"/>
      <c r="I964" s="2"/>
      <c r="J964" s="2"/>
      <c r="K964" s="128"/>
      <c r="L964" s="8"/>
      <c r="M964" s="130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128"/>
      <c r="D965" s="2"/>
      <c r="E965" s="2"/>
      <c r="F965" s="2"/>
      <c r="G965" s="2"/>
      <c r="H965" s="2"/>
      <c r="I965" s="2"/>
      <c r="J965" s="2"/>
      <c r="K965" s="128"/>
      <c r="L965" s="8"/>
      <c r="M965" s="130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128"/>
      <c r="D966" s="2"/>
      <c r="E966" s="2"/>
      <c r="F966" s="2"/>
      <c r="G966" s="2"/>
      <c r="H966" s="2"/>
      <c r="I966" s="2"/>
      <c r="J966" s="2"/>
      <c r="K966" s="128"/>
      <c r="L966" s="8"/>
      <c r="M966" s="130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128"/>
      <c r="D967" s="2"/>
      <c r="E967" s="2"/>
      <c r="F967" s="2"/>
      <c r="G967" s="2"/>
      <c r="H967" s="2"/>
      <c r="I967" s="2"/>
      <c r="J967" s="2"/>
      <c r="K967" s="128"/>
      <c r="L967" s="8"/>
      <c r="M967" s="130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128"/>
      <c r="D968" s="2"/>
      <c r="E968" s="2"/>
      <c r="F968" s="2"/>
      <c r="G968" s="2"/>
      <c r="H968" s="2"/>
      <c r="I968" s="2"/>
      <c r="J968" s="2"/>
      <c r="K968" s="128"/>
      <c r="L968" s="8"/>
      <c r="M968" s="130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128"/>
      <c r="D969" s="2"/>
      <c r="E969" s="2"/>
      <c r="F969" s="2"/>
      <c r="G969" s="2"/>
      <c r="H969" s="2"/>
      <c r="I969" s="2"/>
      <c r="J969" s="2"/>
      <c r="K969" s="128"/>
      <c r="L969" s="8"/>
      <c r="M969" s="130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128"/>
      <c r="D970" s="2"/>
      <c r="E970" s="2"/>
      <c r="F970" s="2"/>
      <c r="G970" s="2"/>
      <c r="H970" s="2"/>
      <c r="I970" s="2"/>
      <c r="J970" s="2"/>
      <c r="K970" s="128"/>
      <c r="L970" s="8"/>
      <c r="M970" s="130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128"/>
      <c r="D971" s="2"/>
      <c r="E971" s="2"/>
      <c r="F971" s="2"/>
      <c r="G971" s="2"/>
      <c r="H971" s="2"/>
      <c r="I971" s="2"/>
      <c r="J971" s="2"/>
      <c r="K971" s="128"/>
      <c r="L971" s="8"/>
      <c r="M971" s="130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128"/>
      <c r="D972" s="2"/>
      <c r="E972" s="2"/>
      <c r="F972" s="2"/>
      <c r="G972" s="2"/>
      <c r="H972" s="2"/>
      <c r="I972" s="2"/>
      <c r="J972" s="2"/>
      <c r="K972" s="128"/>
      <c r="L972" s="8"/>
      <c r="M972" s="130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128"/>
      <c r="D973" s="2"/>
      <c r="E973" s="2"/>
      <c r="F973" s="2"/>
      <c r="G973" s="2"/>
      <c r="H973" s="2"/>
      <c r="I973" s="2"/>
      <c r="J973" s="2"/>
      <c r="K973" s="128"/>
      <c r="L973" s="8"/>
      <c r="M973" s="130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128"/>
      <c r="D974" s="2"/>
      <c r="E974" s="2"/>
      <c r="F974" s="2"/>
      <c r="G974" s="2"/>
      <c r="H974" s="2"/>
      <c r="I974" s="2"/>
      <c r="J974" s="2"/>
      <c r="K974" s="128"/>
      <c r="L974" s="8"/>
      <c r="M974" s="130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128"/>
      <c r="D975" s="2"/>
      <c r="E975" s="2"/>
      <c r="F975" s="2"/>
      <c r="G975" s="2"/>
      <c r="H975" s="2"/>
      <c r="I975" s="2"/>
      <c r="J975" s="2"/>
      <c r="K975" s="128"/>
      <c r="L975" s="8"/>
      <c r="M975" s="130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128"/>
      <c r="D976" s="2"/>
      <c r="E976" s="2"/>
      <c r="F976" s="2"/>
      <c r="G976" s="2"/>
      <c r="H976" s="2"/>
      <c r="I976" s="2"/>
      <c r="J976" s="2"/>
      <c r="K976" s="128"/>
      <c r="L976" s="8"/>
      <c r="M976" s="130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128"/>
      <c r="D977" s="2"/>
      <c r="E977" s="2"/>
      <c r="F977" s="2"/>
      <c r="G977" s="2"/>
      <c r="H977" s="2"/>
      <c r="I977" s="2"/>
      <c r="J977" s="2"/>
      <c r="K977" s="128"/>
      <c r="L977" s="8"/>
      <c r="M977" s="130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128"/>
      <c r="D978" s="2"/>
      <c r="E978" s="2"/>
      <c r="F978" s="2"/>
      <c r="G978" s="2"/>
      <c r="H978" s="2"/>
      <c r="I978" s="2"/>
      <c r="J978" s="2"/>
      <c r="K978" s="128"/>
      <c r="L978" s="8"/>
      <c r="M978" s="130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128"/>
      <c r="D979" s="2"/>
      <c r="E979" s="2"/>
      <c r="F979" s="2"/>
      <c r="G979" s="2"/>
      <c r="H979" s="2"/>
      <c r="I979" s="2"/>
      <c r="J979" s="2"/>
      <c r="K979" s="128"/>
      <c r="L979" s="8"/>
      <c r="M979" s="130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128"/>
      <c r="D980" s="2"/>
      <c r="E980" s="2"/>
      <c r="F980" s="2"/>
      <c r="G980" s="2"/>
      <c r="H980" s="2"/>
      <c r="I980" s="2"/>
      <c r="J980" s="2"/>
      <c r="K980" s="128"/>
      <c r="L980" s="8"/>
      <c r="M980" s="130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128"/>
      <c r="D981" s="2"/>
      <c r="E981" s="2"/>
      <c r="F981" s="2"/>
      <c r="G981" s="2"/>
      <c r="H981" s="2"/>
      <c r="I981" s="2"/>
      <c r="J981" s="2"/>
      <c r="K981" s="128"/>
      <c r="L981" s="8"/>
      <c r="M981" s="130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128"/>
      <c r="D982" s="2"/>
      <c r="E982" s="2"/>
      <c r="F982" s="2"/>
      <c r="G982" s="2"/>
      <c r="H982" s="2"/>
      <c r="I982" s="2"/>
      <c r="J982" s="2"/>
      <c r="K982" s="128"/>
      <c r="L982" s="8"/>
      <c r="M982" s="130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128"/>
      <c r="D983" s="2"/>
      <c r="E983" s="2"/>
      <c r="F983" s="2"/>
      <c r="G983" s="2"/>
      <c r="H983" s="2"/>
      <c r="I983" s="2"/>
      <c r="J983" s="2"/>
      <c r="K983" s="128"/>
      <c r="L983" s="8"/>
      <c r="M983" s="130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128"/>
      <c r="D984" s="2"/>
      <c r="E984" s="2"/>
      <c r="F984" s="2"/>
      <c r="G984" s="2"/>
      <c r="H984" s="2"/>
      <c r="I984" s="2"/>
      <c r="J984" s="2"/>
      <c r="K984" s="128"/>
      <c r="L984" s="8"/>
      <c r="M984" s="130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128"/>
      <c r="D985" s="2"/>
      <c r="E985" s="2"/>
      <c r="F985" s="2"/>
      <c r="G985" s="2"/>
      <c r="H985" s="2"/>
      <c r="I985" s="2"/>
      <c r="J985" s="2"/>
      <c r="K985" s="128"/>
      <c r="L985" s="8"/>
      <c r="M985" s="130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128"/>
      <c r="D986" s="2"/>
      <c r="E986" s="2"/>
      <c r="F986" s="2"/>
      <c r="G986" s="2"/>
      <c r="H986" s="2"/>
      <c r="I986" s="2"/>
      <c r="J986" s="2"/>
      <c r="K986" s="128"/>
      <c r="L986" s="8"/>
      <c r="M986" s="130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128"/>
      <c r="D987" s="2"/>
      <c r="E987" s="2"/>
      <c r="F987" s="2"/>
      <c r="G987" s="2"/>
      <c r="H987" s="2"/>
      <c r="I987" s="2"/>
      <c r="J987" s="2"/>
      <c r="K987" s="128"/>
      <c r="L987" s="8"/>
      <c r="M987" s="130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128"/>
      <c r="D988" s="2"/>
      <c r="E988" s="2"/>
      <c r="F988" s="2"/>
      <c r="G988" s="2"/>
      <c r="H988" s="2"/>
      <c r="I988" s="2"/>
      <c r="J988" s="2"/>
      <c r="K988" s="128"/>
      <c r="L988" s="8"/>
      <c r="M988" s="130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128"/>
      <c r="D989" s="2"/>
      <c r="E989" s="2"/>
      <c r="F989" s="2"/>
      <c r="G989" s="2"/>
      <c r="H989" s="2"/>
      <c r="I989" s="2"/>
      <c r="J989" s="2"/>
      <c r="K989" s="128"/>
      <c r="L989" s="8"/>
      <c r="M989" s="130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128"/>
      <c r="D990" s="2"/>
      <c r="E990" s="2"/>
      <c r="F990" s="2"/>
      <c r="G990" s="2"/>
      <c r="H990" s="2"/>
      <c r="I990" s="2"/>
      <c r="J990" s="2"/>
      <c r="K990" s="128"/>
      <c r="L990" s="8"/>
      <c r="M990" s="130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128"/>
      <c r="D991" s="2"/>
      <c r="E991" s="2"/>
      <c r="F991" s="2"/>
      <c r="G991" s="2"/>
      <c r="H991" s="2"/>
      <c r="I991" s="2"/>
      <c r="J991" s="2"/>
      <c r="K991" s="128"/>
      <c r="L991" s="8"/>
      <c r="M991" s="130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128"/>
      <c r="D992" s="2"/>
      <c r="E992" s="2"/>
      <c r="F992" s="2"/>
      <c r="G992" s="2"/>
      <c r="H992" s="2"/>
      <c r="I992" s="2"/>
      <c r="J992" s="2"/>
      <c r="K992" s="128"/>
      <c r="L992" s="8"/>
      <c r="M992" s="130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128"/>
      <c r="D993" s="2"/>
      <c r="E993" s="2"/>
      <c r="F993" s="2"/>
      <c r="G993" s="2"/>
      <c r="H993" s="2"/>
      <c r="I993" s="2"/>
      <c r="J993" s="2"/>
      <c r="K993" s="128"/>
      <c r="L993" s="8"/>
      <c r="M993" s="130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128"/>
      <c r="D994" s="2"/>
      <c r="E994" s="2"/>
      <c r="F994" s="2"/>
      <c r="G994" s="2"/>
      <c r="H994" s="2"/>
      <c r="I994" s="2"/>
      <c r="J994" s="2"/>
      <c r="K994" s="128"/>
      <c r="L994" s="8"/>
      <c r="M994" s="130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128"/>
      <c r="D995" s="2"/>
      <c r="E995" s="2"/>
      <c r="F995" s="2"/>
      <c r="G995" s="2"/>
      <c r="H995" s="2"/>
      <c r="I995" s="2"/>
      <c r="J995" s="2"/>
      <c r="K995" s="128"/>
      <c r="L995" s="8"/>
      <c r="M995" s="130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128"/>
      <c r="D996" s="2"/>
      <c r="E996" s="2"/>
      <c r="F996" s="2"/>
      <c r="G996" s="2"/>
      <c r="H996" s="2"/>
      <c r="I996" s="2"/>
      <c r="J996" s="2"/>
      <c r="K996" s="128"/>
      <c r="L996" s="8"/>
      <c r="M996" s="130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128"/>
      <c r="D997" s="2"/>
      <c r="E997" s="2"/>
      <c r="F997" s="2"/>
      <c r="G997" s="2"/>
      <c r="H997" s="2"/>
      <c r="I997" s="2"/>
      <c r="J997" s="2"/>
      <c r="K997" s="128"/>
      <c r="L997" s="8"/>
      <c r="M997" s="130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128"/>
      <c r="D998" s="2"/>
      <c r="E998" s="2"/>
      <c r="F998" s="2"/>
      <c r="G998" s="2"/>
      <c r="H998" s="2"/>
      <c r="I998" s="2"/>
      <c r="J998" s="2"/>
      <c r="K998" s="128"/>
      <c r="L998" s="8"/>
      <c r="M998" s="130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128"/>
      <c r="D999" s="2"/>
      <c r="E999" s="2"/>
      <c r="F999" s="2"/>
      <c r="G999" s="2"/>
      <c r="H999" s="2"/>
      <c r="I999" s="2"/>
      <c r="J999" s="2"/>
      <c r="K999" s="128"/>
      <c r="L999" s="8"/>
      <c r="M999" s="130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128"/>
      <c r="D1000" s="2"/>
      <c r="E1000" s="2"/>
      <c r="F1000" s="2"/>
      <c r="G1000" s="2"/>
      <c r="H1000" s="2"/>
      <c r="I1000" s="2"/>
      <c r="J1000" s="2"/>
      <c r="K1000" s="128"/>
      <c r="L1000" s="8"/>
      <c r="M1000" s="130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128"/>
      <c r="D1001" s="2"/>
      <c r="E1001" s="2"/>
      <c r="F1001" s="2"/>
      <c r="G1001" s="2"/>
      <c r="H1001" s="2"/>
      <c r="I1001" s="2"/>
      <c r="J1001" s="2"/>
      <c r="K1001" s="128"/>
      <c r="L1001" s="8"/>
      <c r="M1001" s="130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autoFilter ref="$A$1:$M$7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3.75"/>
  </cols>
  <sheetData>
    <row r="1">
      <c r="A1" s="86" t="s">
        <v>173</v>
      </c>
      <c r="B1" s="86" t="s">
        <v>164</v>
      </c>
      <c r="C1" s="86" t="s">
        <v>162</v>
      </c>
      <c r="D1" s="86" t="s">
        <v>174</v>
      </c>
      <c r="E1" s="86" t="s">
        <v>162</v>
      </c>
      <c r="F1" s="86" t="s">
        <v>175</v>
      </c>
      <c r="G1" s="86" t="s">
        <v>162</v>
      </c>
      <c r="H1" s="86" t="s">
        <v>176</v>
      </c>
      <c r="I1" s="86" t="s">
        <v>162</v>
      </c>
      <c r="J1" s="86" t="s">
        <v>177</v>
      </c>
      <c r="K1" s="86" t="s">
        <v>162</v>
      </c>
      <c r="L1" s="86" t="s">
        <v>178</v>
      </c>
      <c r="M1" s="86" t="s">
        <v>162</v>
      </c>
      <c r="N1" s="86" t="s">
        <v>179</v>
      </c>
      <c r="O1" s="86" t="s">
        <v>162</v>
      </c>
      <c r="P1" s="86" t="s">
        <v>172</v>
      </c>
      <c r="Q1" s="86" t="s">
        <v>162</v>
      </c>
      <c r="R1" s="24" t="s">
        <v>163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31">
        <v>1.0</v>
      </c>
      <c r="B2" s="132">
        <f>IFERROR(__xludf.DUMMYFUNCTION("query({'Player Season Stats'!$A2:$A73,'Player Season Stats'!D2:D73}, ""select Col2, Col1 order by Col2 desc limit 20"") "),24.0)</f>
        <v>24</v>
      </c>
      <c r="C2" s="2" t="str">
        <f>IFERROR(__xludf.DUMMYFUNCTION("""COMPUTED_VALUE"""),"Arnav")</f>
        <v>Arnav</v>
      </c>
      <c r="D2" s="133">
        <f>IFERROR(__xludf.DUMMYFUNCTION("query({'Player Season Stats'!$A2:$A73,'Player Season Stats'!E2:E73}, ""select Col2, Col1 order by Col2 desc limit 20"") "),22.285714285714285)</f>
        <v>22.28571429</v>
      </c>
      <c r="E2" s="82" t="str">
        <f>IFERROR(__xludf.DUMMYFUNCTION("""COMPUTED_VALUE"""),"Arnav")</f>
        <v>Arnav</v>
      </c>
      <c r="F2" s="132">
        <f>IFERROR(__xludf.DUMMYFUNCTION("query({'Player Season Stats'!$A2:$A73,'Player Season Stats'!F2:F73}, ""select Col2, Col1 order by Col2 desc limit 20"") "),16.333333333333332)</f>
        <v>16.33333333</v>
      </c>
      <c r="G2" s="2" t="str">
        <f>IFERROR(__xludf.DUMMYFUNCTION("""COMPUTED_VALUE"""),"Hershey")</f>
        <v>Hershey</v>
      </c>
      <c r="H2" s="133">
        <f>IFERROR(__xludf.DUMMYFUNCTION("query({'Player Season Stats'!$A2:$A73,'Player Season Stats'!G2:G73}, ""select Col2, Col1 order by Col2 desc limit 20"") "),3.857142857142857)</f>
        <v>3.857142857</v>
      </c>
      <c r="I2" s="82" t="str">
        <f>IFERROR(__xludf.DUMMYFUNCTION("""COMPUTED_VALUE"""),"Fritz")</f>
        <v>Fritz</v>
      </c>
      <c r="J2" s="132">
        <f>IFERROR(__xludf.DUMMYFUNCTION("query({'Player Season Stats'!$A2:$A73,'Player Season Stats'!H2:H73}, ""select Col2, Col1 order by Col2 desc limit 20"") "),11.0)</f>
        <v>11</v>
      </c>
      <c r="K2" s="2" t="str">
        <f>IFERROR(__xludf.DUMMYFUNCTION("""COMPUTED_VALUE"""),"Dave")</f>
        <v>Dave</v>
      </c>
      <c r="L2" s="133">
        <f>IFERROR(__xludf.DUMMYFUNCTION("query({'Player Season Stats'!$A2:$A73,'Player Season Stats'!I2:I73}, ""select Col2, Col1 order by Col2 desc limit 20"") "),4.285714285714286)</f>
        <v>4.285714286</v>
      </c>
      <c r="M2" s="82" t="str">
        <f>IFERROR(__xludf.DUMMYFUNCTION("""COMPUTED_VALUE"""),"Arnav")</f>
        <v>Arnav</v>
      </c>
      <c r="N2" s="134">
        <f>IFERROR(__xludf.DUMMYFUNCTION("query({'Player Season Stats'!$A2:$A73,'Player Season Stats'!K2:K73}, ""select Col2, Col1 order by Col2 desc limit 20"") "),0.5081433224755699)</f>
        <v>0.5081433225</v>
      </c>
      <c r="O2" s="2" t="str">
        <f>IFERROR(__xludf.DUMMYFUNCTION("""COMPUTED_VALUE"""),"Arnav")</f>
        <v>Arnav</v>
      </c>
      <c r="P2" s="133">
        <f>IFERROR(__xludf.DUMMYFUNCTION("query({'Player Season Stats'!$A2:$A73,'Player Season Stats'!M2:M73}, ""select Col2, Col1 order by Col2 desc limit 20"") "),31.42068144333113)</f>
        <v>31.42068144</v>
      </c>
      <c r="Q2" s="82" t="str">
        <f>IFERROR(__xludf.DUMMYFUNCTION("""COMPUTED_VALUE"""),"Arnav")</f>
        <v>Arnav</v>
      </c>
      <c r="R2" s="2">
        <f t="array" ref="R2">xlookup(Q2, 'Player Season Stats'!A:A, 'Player Season Stats'!B:B)</f>
        <v>7</v>
      </c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31">
        <f t="shared" ref="A3:A21" si="1">A2+1</f>
        <v>2</v>
      </c>
      <c r="B3" s="132">
        <f>IFERROR(__xludf.DUMMYFUNCTION("""COMPUTED_VALUE"""),22.49285714285714)</f>
        <v>22.49285714</v>
      </c>
      <c r="C3" s="2" t="str">
        <f>IFERROR(__xludf.DUMMYFUNCTION("""COMPUTED_VALUE"""),"Fritz")</f>
        <v>Fritz</v>
      </c>
      <c r="D3" s="133">
        <f>IFERROR(__xludf.DUMMYFUNCTION("""COMPUTED_VALUE"""),20.714285714285715)</f>
        <v>20.71428571</v>
      </c>
      <c r="E3" s="82" t="str">
        <f>IFERROR(__xludf.DUMMYFUNCTION("""COMPUTED_VALUE"""),"Fritz")</f>
        <v>Fritz</v>
      </c>
      <c r="F3" s="132">
        <f>IFERROR(__xludf.DUMMYFUNCTION("""COMPUTED_VALUE"""),11.571428571428571)</f>
        <v>11.57142857</v>
      </c>
      <c r="G3" s="2" t="str">
        <f>IFERROR(__xludf.DUMMYFUNCTION("""COMPUTED_VALUE"""),"Samos")</f>
        <v>Samos</v>
      </c>
      <c r="H3" s="133">
        <f>IFERROR(__xludf.DUMMYFUNCTION("""COMPUTED_VALUE"""),3.2857142857142856)</f>
        <v>3.285714286</v>
      </c>
      <c r="I3" s="82" t="str">
        <f>IFERROR(__xludf.DUMMYFUNCTION("""COMPUTED_VALUE"""),"John")</f>
        <v>John</v>
      </c>
      <c r="J3" s="132">
        <f>IFERROR(__xludf.DUMMYFUNCTION("""COMPUTED_VALUE"""),10.0)</f>
        <v>10</v>
      </c>
      <c r="K3" s="2" t="str">
        <f>IFERROR(__xludf.DUMMYFUNCTION("""COMPUTED_VALUE"""),"Pasha")</f>
        <v>Pasha</v>
      </c>
      <c r="L3" s="133">
        <f>IFERROR(__xludf.DUMMYFUNCTION("""COMPUTED_VALUE"""),3.5714285714285716)</f>
        <v>3.571428571</v>
      </c>
      <c r="M3" s="82" t="str">
        <f>IFERROR(__xludf.DUMMYFUNCTION("""COMPUTED_VALUE"""),"Fritz")</f>
        <v>Fritz</v>
      </c>
      <c r="N3" s="134">
        <f>IFERROR(__xludf.DUMMYFUNCTION("""COMPUTED_VALUE"""),0.4814814814814814)</f>
        <v>0.4814814815</v>
      </c>
      <c r="O3" s="2" t="str">
        <f>IFERROR(__xludf.DUMMYFUNCTION("""COMPUTED_VALUE"""),"John")</f>
        <v>John</v>
      </c>
      <c r="P3" s="133">
        <f>IFERROR(__xludf.DUMMYFUNCTION("""COMPUTED_VALUE"""),27.371108536386238)</f>
        <v>27.37110854</v>
      </c>
      <c r="Q3" s="82" t="str">
        <f>IFERROR(__xludf.DUMMYFUNCTION("""COMPUTED_VALUE"""),"Fritz")</f>
        <v>Fritz</v>
      </c>
      <c r="R3" s="2">
        <f t="array" ref="R3">xlookup(Q3, 'Player Season Stats'!A:A, 'Player Season Stats'!B:B)</f>
        <v>7</v>
      </c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31">
        <f t="shared" si="1"/>
        <v>3</v>
      </c>
      <c r="B4" s="132">
        <f>IFERROR(__xludf.DUMMYFUNCTION("""COMPUTED_VALUE"""),21.59285714285714)</f>
        <v>21.59285714</v>
      </c>
      <c r="C4" s="2" t="str">
        <f>IFERROR(__xludf.DUMMYFUNCTION("""COMPUTED_VALUE"""),"John")</f>
        <v>John</v>
      </c>
      <c r="D4" s="133">
        <f>IFERROR(__xludf.DUMMYFUNCTION("""COMPUTED_VALUE"""),20.428571428571427)</f>
        <v>20.42857143</v>
      </c>
      <c r="E4" s="82" t="str">
        <f>IFERROR(__xludf.DUMMYFUNCTION("""COMPUTED_VALUE"""),"John")</f>
        <v>John</v>
      </c>
      <c r="F4" s="132">
        <f>IFERROR(__xludf.DUMMYFUNCTION("""COMPUTED_VALUE"""),11.5)</f>
        <v>11.5</v>
      </c>
      <c r="G4" s="2" t="str">
        <f>IFERROR(__xludf.DUMMYFUNCTION("""COMPUTED_VALUE"""),"Soho")</f>
        <v>Soho</v>
      </c>
      <c r="H4" s="133">
        <f>IFERROR(__xludf.DUMMYFUNCTION("""COMPUTED_VALUE"""),3.2857142857142856)</f>
        <v>3.285714286</v>
      </c>
      <c r="I4" s="82" t="str">
        <f>IFERROR(__xludf.DUMMYFUNCTION("""COMPUTED_VALUE"""),"Guel")</f>
        <v>Guel</v>
      </c>
      <c r="J4" s="132">
        <f>IFERROR(__xludf.DUMMYFUNCTION("""COMPUTED_VALUE"""),9.6)</f>
        <v>9.6</v>
      </c>
      <c r="K4" s="2" t="str">
        <f>IFERROR(__xludf.DUMMYFUNCTION("""COMPUTED_VALUE"""),"Adi")</f>
        <v>Adi</v>
      </c>
      <c r="L4" s="133">
        <f>IFERROR(__xludf.DUMMYFUNCTION("""COMPUTED_VALUE"""),2.4285714285714284)</f>
        <v>2.428571429</v>
      </c>
      <c r="M4" s="82" t="str">
        <f>IFERROR(__xludf.DUMMYFUNCTION("""COMPUTED_VALUE"""),"John")</f>
        <v>John</v>
      </c>
      <c r="N4" s="134">
        <f>IFERROR(__xludf.DUMMYFUNCTION("""COMPUTED_VALUE"""),0.4723127035830619)</f>
        <v>0.4723127036</v>
      </c>
      <c r="O4" s="2" t="str">
        <f>IFERROR(__xludf.DUMMYFUNCTION("""COMPUTED_VALUE"""),"Fritz")</f>
        <v>Fritz</v>
      </c>
      <c r="P4" s="133">
        <f>IFERROR(__xludf.DUMMYFUNCTION("""COMPUTED_VALUE"""),26.785998163744974)</f>
        <v>26.78599816</v>
      </c>
      <c r="Q4" s="82" t="str">
        <f>IFERROR(__xludf.DUMMYFUNCTION("""COMPUTED_VALUE"""),"John")</f>
        <v>John</v>
      </c>
      <c r="R4" s="2">
        <f t="array" ref="R4">xlookup(Q4, 'Player Season Stats'!A:A, 'Player Season Stats'!B:B)</f>
        <v>7</v>
      </c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31">
        <f t="shared" si="1"/>
        <v>4</v>
      </c>
      <c r="B5" s="132">
        <f>IFERROR(__xludf.DUMMYFUNCTION("""COMPUTED_VALUE"""),21.107142857142858)</f>
        <v>21.10714286</v>
      </c>
      <c r="C5" s="2" t="str">
        <f>IFERROR(__xludf.DUMMYFUNCTION("""COMPUTED_VALUE"""),"Guel")</f>
        <v>Guel</v>
      </c>
      <c r="D5" s="133">
        <f>IFERROR(__xludf.DUMMYFUNCTION("""COMPUTED_VALUE"""),20.333333333333332)</f>
        <v>20.33333333</v>
      </c>
      <c r="E5" s="82" t="str">
        <f>IFERROR(__xludf.DUMMYFUNCTION("""COMPUTED_VALUE"""),"Hershey")</f>
        <v>Hershey</v>
      </c>
      <c r="F5" s="132">
        <f>IFERROR(__xludf.DUMMYFUNCTION("""COMPUTED_VALUE"""),11.333333333333334)</f>
        <v>11.33333333</v>
      </c>
      <c r="G5" s="2" t="str">
        <f>IFERROR(__xludf.DUMMYFUNCTION("""COMPUTED_VALUE"""),"Steven")</f>
        <v>Steven</v>
      </c>
      <c r="H5" s="133">
        <f>IFERROR(__xludf.DUMMYFUNCTION("""COMPUTED_VALUE"""),2.4)</f>
        <v>2.4</v>
      </c>
      <c r="I5" s="82" t="str">
        <f>IFERROR(__xludf.DUMMYFUNCTION("""COMPUTED_VALUE"""),"Vishal")</f>
        <v>Vishal</v>
      </c>
      <c r="J5" s="132">
        <f>IFERROR(__xludf.DUMMYFUNCTION("""COMPUTED_VALUE"""),9.5)</f>
        <v>9.5</v>
      </c>
      <c r="K5" s="2" t="str">
        <f>IFERROR(__xludf.DUMMYFUNCTION("""COMPUTED_VALUE"""),"Lucas")</f>
        <v>Lucas</v>
      </c>
      <c r="L5" s="133">
        <f>IFERROR(__xludf.DUMMYFUNCTION("""COMPUTED_VALUE"""),2.2857142857142856)</f>
        <v>2.285714286</v>
      </c>
      <c r="M5" s="82" t="str">
        <f>IFERROR(__xludf.DUMMYFUNCTION("""COMPUTED_VALUE"""),"Yost")</f>
        <v>Yost</v>
      </c>
      <c r="N5" s="134">
        <f>IFERROR(__xludf.DUMMYFUNCTION("""COMPUTED_VALUE"""),0.468013468013468)</f>
        <v>0.468013468</v>
      </c>
      <c r="O5" s="2" t="str">
        <f>IFERROR(__xludf.DUMMYFUNCTION("""COMPUTED_VALUE"""),"Cole")</f>
        <v>Cole</v>
      </c>
      <c r="P5" s="133">
        <f>IFERROR(__xludf.DUMMYFUNCTION("""COMPUTED_VALUE"""),25.252967296502895)</f>
        <v>25.2529673</v>
      </c>
      <c r="Q5" s="82" t="str">
        <f>IFERROR(__xludf.DUMMYFUNCTION("""COMPUTED_VALUE"""),"Cole")</f>
        <v>Cole</v>
      </c>
      <c r="R5" s="2">
        <f t="array" ref="R5">xlookup(Q5, 'Player Season Stats'!A:A, 'Player Season Stats'!B:B)</f>
        <v>7</v>
      </c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31">
        <f t="shared" si="1"/>
        <v>5</v>
      </c>
      <c r="B6" s="132">
        <f>IFERROR(__xludf.DUMMYFUNCTION("""COMPUTED_VALUE"""),20.942857142857143)</f>
        <v>20.94285714</v>
      </c>
      <c r="C6" s="2" t="str">
        <f>IFERROR(__xludf.DUMMYFUNCTION("""COMPUTED_VALUE"""),"Cole")</f>
        <v>Cole</v>
      </c>
      <c r="D6" s="133">
        <f>IFERROR(__xludf.DUMMYFUNCTION("""COMPUTED_VALUE"""),19.857142857142858)</f>
        <v>19.85714286</v>
      </c>
      <c r="E6" s="82" t="str">
        <f>IFERROR(__xludf.DUMMYFUNCTION("""COMPUTED_VALUE"""),"Cole")</f>
        <v>Cole</v>
      </c>
      <c r="F6" s="132">
        <f>IFERROR(__xludf.DUMMYFUNCTION("""COMPUTED_VALUE"""),11.25)</f>
        <v>11.25</v>
      </c>
      <c r="G6" s="2" t="str">
        <f>IFERROR(__xludf.DUMMYFUNCTION("""COMPUTED_VALUE"""),"Kento")</f>
        <v>Kento</v>
      </c>
      <c r="H6" s="133">
        <f>IFERROR(__xludf.DUMMYFUNCTION("""COMPUTED_VALUE"""),2.1666666666666665)</f>
        <v>2.166666667</v>
      </c>
      <c r="I6" s="82" t="str">
        <f>IFERROR(__xludf.DUMMYFUNCTION("""COMPUTED_VALUE"""),"Andy Yu")</f>
        <v>Andy Yu</v>
      </c>
      <c r="J6" s="132">
        <f>IFERROR(__xludf.DUMMYFUNCTION("""COMPUTED_VALUE"""),9.142857142857142)</f>
        <v>9.142857143</v>
      </c>
      <c r="K6" s="2" t="str">
        <f>IFERROR(__xludf.DUMMYFUNCTION("""COMPUTED_VALUE"""),"Jay")</f>
        <v>Jay</v>
      </c>
      <c r="L6" s="133">
        <f>IFERROR(__xludf.DUMMYFUNCTION("""COMPUTED_VALUE"""),2.142857142857143)</f>
        <v>2.142857143</v>
      </c>
      <c r="M6" s="82" t="str">
        <f>IFERROR(__xludf.DUMMYFUNCTION("""COMPUTED_VALUE"""),"Guel")</f>
        <v>Guel</v>
      </c>
      <c r="N6" s="134">
        <f>IFERROR(__xludf.DUMMYFUNCTION("""COMPUTED_VALUE"""),0.4621212121212121)</f>
        <v>0.4621212121</v>
      </c>
      <c r="O6" s="2" t="str">
        <f>IFERROR(__xludf.DUMMYFUNCTION("""COMPUTED_VALUE"""),"Hershey")</f>
        <v>Hershey</v>
      </c>
      <c r="P6" s="133">
        <f>IFERROR(__xludf.DUMMYFUNCTION("""COMPUTED_VALUE"""),24.705414226048926)</f>
        <v>24.70541423</v>
      </c>
      <c r="Q6" s="82" t="str">
        <f>IFERROR(__xludf.DUMMYFUNCTION("""COMPUTED_VALUE"""),"Hershey")</f>
        <v>Hershey</v>
      </c>
      <c r="R6" s="2">
        <f t="array" ref="R6">xlookup(Q6, 'Player Season Stats'!A:A, 'Player Season Stats'!B:B)</f>
        <v>3</v>
      </c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31">
        <f t="shared" si="1"/>
        <v>6</v>
      </c>
      <c r="B7" s="132">
        <f>IFERROR(__xludf.DUMMYFUNCTION("""COMPUTED_VALUE"""),20.75)</f>
        <v>20.75</v>
      </c>
      <c r="C7" s="2" t="str">
        <f>IFERROR(__xludf.DUMMYFUNCTION("""COMPUTED_VALUE"""),"Hershey")</f>
        <v>Hershey</v>
      </c>
      <c r="D7" s="133">
        <f>IFERROR(__xludf.DUMMYFUNCTION("""COMPUTED_VALUE"""),19.857142857142858)</f>
        <v>19.85714286</v>
      </c>
      <c r="E7" s="82" t="str">
        <f>IFERROR(__xludf.DUMMYFUNCTION("""COMPUTED_VALUE"""),"Guel")</f>
        <v>Guel</v>
      </c>
      <c r="F7" s="132">
        <f>IFERROR(__xludf.DUMMYFUNCTION("""COMPUTED_VALUE"""),10.833333333333334)</f>
        <v>10.83333333</v>
      </c>
      <c r="G7" s="2" t="str">
        <f>IFERROR(__xludf.DUMMYFUNCTION("""COMPUTED_VALUE"""),"Raymond")</f>
        <v>Raymond</v>
      </c>
      <c r="H7" s="133">
        <f>IFERROR(__xludf.DUMMYFUNCTION("""COMPUTED_VALUE"""),2.0)</f>
        <v>2</v>
      </c>
      <c r="I7" s="82" t="str">
        <f>IFERROR(__xludf.DUMMYFUNCTION("""COMPUTED_VALUE"""),"Haldar")</f>
        <v>Haldar</v>
      </c>
      <c r="J7" s="132">
        <f>IFERROR(__xludf.DUMMYFUNCTION("""COMPUTED_VALUE"""),9.0)</f>
        <v>9</v>
      </c>
      <c r="K7" s="2" t="str">
        <f>IFERROR(__xludf.DUMMYFUNCTION("""COMPUTED_VALUE"""),"Yost")</f>
        <v>Yost</v>
      </c>
      <c r="L7" s="133">
        <f>IFERROR(__xludf.DUMMYFUNCTION("""COMPUTED_VALUE"""),1.8333333333333333)</f>
        <v>1.833333333</v>
      </c>
      <c r="M7" s="82" t="str">
        <f>IFERROR(__xludf.DUMMYFUNCTION("""COMPUTED_VALUE"""),"Lucas")</f>
        <v>Lucas</v>
      </c>
      <c r="N7" s="134">
        <f>IFERROR(__xludf.DUMMYFUNCTION("""COMPUTED_VALUE"""),0.4444444444444444)</f>
        <v>0.4444444444</v>
      </c>
      <c r="O7" s="2" t="str">
        <f>IFERROR(__xludf.DUMMYFUNCTION("""COMPUTED_VALUE"""),"DC")</f>
        <v>DC</v>
      </c>
      <c r="P7" s="135">
        <f>IFERROR(__xludf.DUMMYFUNCTION("""COMPUTED_VALUE"""),23.41687454931735)</f>
        <v>23.41687455</v>
      </c>
      <c r="Q7" s="136" t="str">
        <f>IFERROR(__xludf.DUMMYFUNCTION("""COMPUTED_VALUE"""),"DC")</f>
        <v>DC</v>
      </c>
      <c r="R7" s="2">
        <f t="array" ref="R7">xlookup(Q7, 'Player Season Stats'!A:A, 'Player Season Stats'!B:B)</f>
        <v>6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1">
        <f t="shared" si="1"/>
        <v>7</v>
      </c>
      <c r="B8" s="132">
        <f>IFERROR(__xludf.DUMMYFUNCTION("""COMPUTED_VALUE"""),20.45)</f>
        <v>20.45</v>
      </c>
      <c r="C8" s="2" t="str">
        <f>IFERROR(__xludf.DUMMYFUNCTION("""COMPUTED_VALUE"""),"DC")</f>
        <v>DC</v>
      </c>
      <c r="D8" s="133">
        <f>IFERROR(__xludf.DUMMYFUNCTION("""COMPUTED_VALUE"""),19.333333333333332)</f>
        <v>19.33333333</v>
      </c>
      <c r="E8" s="82" t="str">
        <f>IFERROR(__xludf.DUMMYFUNCTION("""COMPUTED_VALUE"""),"DC")</f>
        <v>DC</v>
      </c>
      <c r="F8" s="132">
        <f>IFERROR(__xludf.DUMMYFUNCTION("""COMPUTED_VALUE"""),10.714285714285714)</f>
        <v>10.71428571</v>
      </c>
      <c r="G8" s="2" t="str">
        <f>IFERROR(__xludf.DUMMYFUNCTION("""COMPUTED_VALUE"""),"Dli")</f>
        <v>Dli</v>
      </c>
      <c r="H8" s="133">
        <f>IFERROR(__xludf.DUMMYFUNCTION("""COMPUTED_VALUE"""),2.0)</f>
        <v>2</v>
      </c>
      <c r="I8" s="82" t="str">
        <f>IFERROR(__xludf.DUMMYFUNCTION("""COMPUTED_VALUE"""),"Arnav")</f>
        <v>Arnav</v>
      </c>
      <c r="J8" s="132">
        <f>IFERROR(__xludf.DUMMYFUNCTION("""COMPUTED_VALUE"""),9.0)</f>
        <v>9</v>
      </c>
      <c r="K8" s="2" t="str">
        <f>IFERROR(__xludf.DUMMYFUNCTION("""COMPUTED_VALUE"""),"Haldar")</f>
        <v>Haldar</v>
      </c>
      <c r="L8" s="133">
        <f>IFERROR(__xludf.DUMMYFUNCTION("""COMPUTED_VALUE"""),1.8333333333333333)</f>
        <v>1.833333333</v>
      </c>
      <c r="M8" s="82" t="str">
        <f>IFERROR(__xludf.DUMMYFUNCTION("""COMPUTED_VALUE"""),"Andy Yu")</f>
        <v>Andy Yu</v>
      </c>
      <c r="N8" s="134">
        <f>IFERROR(__xludf.DUMMYFUNCTION("""COMPUTED_VALUE"""),0.43349753694581283)</f>
        <v>0.4334975369</v>
      </c>
      <c r="O8" s="2" t="str">
        <f>IFERROR(__xludf.DUMMYFUNCTION("""COMPUTED_VALUE"""),"Vishal")</f>
        <v>Vishal</v>
      </c>
      <c r="P8" s="133">
        <f>IFERROR(__xludf.DUMMYFUNCTION("""COMPUTED_VALUE"""),22.631634364218)</f>
        <v>22.63163436</v>
      </c>
      <c r="Q8" s="82" t="str">
        <f>IFERROR(__xludf.DUMMYFUNCTION("""COMPUTED_VALUE"""),"Guel")</f>
        <v>Guel</v>
      </c>
      <c r="R8" s="2">
        <f t="array" ref="R8">xlookup(Q8, 'Player Season Stats'!A:A, 'Player Season Stats'!B:B)</f>
        <v>7</v>
      </c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1">
        <f t="shared" si="1"/>
        <v>8</v>
      </c>
      <c r="B9" s="132">
        <f>IFERROR(__xludf.DUMMYFUNCTION("""COMPUTED_VALUE"""),20.2)</f>
        <v>20.2</v>
      </c>
      <c r="C9" s="2" t="str">
        <f>IFERROR(__xludf.DUMMYFUNCTION("""COMPUTED_VALUE"""),"Haldar")</f>
        <v>Haldar</v>
      </c>
      <c r="D9" s="133">
        <f>IFERROR(__xludf.DUMMYFUNCTION("""COMPUTED_VALUE"""),19.0)</f>
        <v>19</v>
      </c>
      <c r="E9" s="82" t="str">
        <f>IFERROR(__xludf.DUMMYFUNCTION("""COMPUTED_VALUE"""),"Haldar")</f>
        <v>Haldar</v>
      </c>
      <c r="F9" s="132">
        <f>IFERROR(__xludf.DUMMYFUNCTION("""COMPUTED_VALUE"""),9.8)</f>
        <v>9.8</v>
      </c>
      <c r="G9" s="2" t="str">
        <f>IFERROR(__xludf.DUMMYFUNCTION("""COMPUTED_VALUE"""),"Ilt")</f>
        <v>Ilt</v>
      </c>
      <c r="H9" s="133">
        <f>IFERROR(__xludf.DUMMYFUNCTION("""COMPUTED_VALUE"""),2.0)</f>
        <v>2</v>
      </c>
      <c r="I9" s="82" t="str">
        <f>IFERROR(__xludf.DUMMYFUNCTION("""COMPUTED_VALUE"""),"DC")</f>
        <v>DC</v>
      </c>
      <c r="J9" s="132">
        <f>IFERROR(__xludf.DUMMYFUNCTION("""COMPUTED_VALUE"""),8.714285714285714)</f>
        <v>8.714285714</v>
      </c>
      <c r="K9" s="2" t="str">
        <f>IFERROR(__xludf.DUMMYFUNCTION("""COMPUTED_VALUE"""),"Fritz")</f>
        <v>Fritz</v>
      </c>
      <c r="L9" s="133">
        <f>IFERROR(__xludf.DUMMYFUNCTION("""COMPUTED_VALUE"""),1.5714285714285714)</f>
        <v>1.571428571</v>
      </c>
      <c r="M9" s="82" t="str">
        <f>IFERROR(__xludf.DUMMYFUNCTION("""COMPUTED_VALUE"""),"Dannegger")</f>
        <v>Dannegger</v>
      </c>
      <c r="N9" s="134">
        <f>IFERROR(__xludf.DUMMYFUNCTION("""COMPUTED_VALUE"""),0.4251700680272109)</f>
        <v>0.425170068</v>
      </c>
      <c r="O9" s="2" t="str">
        <f>IFERROR(__xludf.DUMMYFUNCTION("""COMPUTED_VALUE"""),"Jay")</f>
        <v>Jay</v>
      </c>
      <c r="P9" s="133">
        <f>IFERROR(__xludf.DUMMYFUNCTION("""COMPUTED_VALUE"""),20.914704878545393)</f>
        <v>20.91470488</v>
      </c>
      <c r="Q9" s="82" t="str">
        <f>IFERROR(__xludf.DUMMYFUNCTION("""COMPUTED_VALUE"""),"Jay")</f>
        <v>Jay</v>
      </c>
      <c r="R9" s="2">
        <f t="array" ref="R9">xlookup(Q9, 'Player Season Stats'!A:A, 'Player Season Stats'!B:B)</f>
        <v>7</v>
      </c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1">
        <f t="shared" si="1"/>
        <v>9</v>
      </c>
      <c r="B10" s="132">
        <f>IFERROR(__xludf.DUMMYFUNCTION("""COMPUTED_VALUE"""),19.62857142857143)</f>
        <v>19.62857143</v>
      </c>
      <c r="C10" s="2" t="str">
        <f>IFERROR(__xludf.DUMMYFUNCTION("""COMPUTED_VALUE"""),"Pasha")</f>
        <v>Pasha</v>
      </c>
      <c r="D10" s="133">
        <f>IFERROR(__xludf.DUMMYFUNCTION("""COMPUTED_VALUE"""),18.571428571428573)</f>
        <v>18.57142857</v>
      </c>
      <c r="E10" s="82" t="str">
        <f>IFERROR(__xludf.DUMMYFUNCTION("""COMPUTED_VALUE"""),"Pasha")</f>
        <v>Pasha</v>
      </c>
      <c r="F10" s="132">
        <f>IFERROR(__xludf.DUMMYFUNCTION("""COMPUTED_VALUE"""),9.714285714285714)</f>
        <v>9.714285714</v>
      </c>
      <c r="G10" s="2" t="str">
        <f>IFERROR(__xludf.DUMMYFUNCTION("""COMPUTED_VALUE"""),"TC")</f>
        <v>TC</v>
      </c>
      <c r="H10" s="133">
        <f>IFERROR(__xludf.DUMMYFUNCTION("""COMPUTED_VALUE"""),1.8333333333333333)</f>
        <v>1.833333333</v>
      </c>
      <c r="I10" s="82" t="str">
        <f>IFERROR(__xludf.DUMMYFUNCTION("""COMPUTED_VALUE"""),"Sean")</f>
        <v>Sean</v>
      </c>
      <c r="J10" s="132">
        <f>IFERROR(__xludf.DUMMYFUNCTION("""COMPUTED_VALUE"""),8.285714285714286)</f>
        <v>8.285714286</v>
      </c>
      <c r="K10" s="2" t="str">
        <f>IFERROR(__xludf.DUMMYFUNCTION("""COMPUTED_VALUE"""),"Cole")</f>
        <v>Cole</v>
      </c>
      <c r="L10" s="133">
        <f>IFERROR(__xludf.DUMMYFUNCTION("""COMPUTED_VALUE"""),1.5)</f>
        <v>1.5</v>
      </c>
      <c r="M10" s="82" t="str">
        <f>IFERROR(__xludf.DUMMYFUNCTION("""COMPUTED_VALUE"""),"Dave")</f>
        <v>Dave</v>
      </c>
      <c r="N10" s="134">
        <f>IFERROR(__xludf.DUMMYFUNCTION("""COMPUTED_VALUE"""),0.4161676646706587)</f>
        <v>0.4161676647</v>
      </c>
      <c r="O10" s="2" t="str">
        <f>IFERROR(__xludf.DUMMYFUNCTION("""COMPUTED_VALUE"""),"Guel")</f>
        <v>Guel</v>
      </c>
      <c r="P10" s="133">
        <f>IFERROR(__xludf.DUMMYFUNCTION("""COMPUTED_VALUE"""),20.840897072005934)</f>
        <v>20.84089707</v>
      </c>
      <c r="Q10" s="82" t="str">
        <f>IFERROR(__xludf.DUMMYFUNCTION("""COMPUTED_VALUE"""),"Vishal")</f>
        <v>Vishal</v>
      </c>
      <c r="R10" s="2">
        <f t="array" ref="R10">xlookup(Q10, 'Player Season Stats'!A:A, 'Player Season Stats'!B:B)</f>
        <v>5</v>
      </c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1">
        <f t="shared" si="1"/>
        <v>10</v>
      </c>
      <c r="B11" s="132">
        <f>IFERROR(__xludf.DUMMYFUNCTION("""COMPUTED_VALUE"""),19.21666666666667)</f>
        <v>19.21666667</v>
      </c>
      <c r="C11" s="2" t="str">
        <f>IFERROR(__xludf.DUMMYFUNCTION("""COMPUTED_VALUE"""),"Lucas")</f>
        <v>Lucas</v>
      </c>
      <c r="D11" s="133">
        <f>IFERROR(__xludf.DUMMYFUNCTION("""COMPUTED_VALUE"""),17.857142857142858)</f>
        <v>17.85714286</v>
      </c>
      <c r="E11" s="82" t="str">
        <f>IFERROR(__xludf.DUMMYFUNCTION("""COMPUTED_VALUE"""),"Dli")</f>
        <v>Dli</v>
      </c>
      <c r="F11" s="132">
        <f>IFERROR(__xludf.DUMMYFUNCTION("""COMPUTED_VALUE"""),9.571428571428571)</f>
        <v>9.571428571</v>
      </c>
      <c r="G11" s="2" t="str">
        <f>IFERROR(__xludf.DUMMYFUNCTION("""COMPUTED_VALUE"""),"John")</f>
        <v>John</v>
      </c>
      <c r="H11" s="133">
        <f>IFERROR(__xludf.DUMMYFUNCTION("""COMPUTED_VALUE"""),1.6666666666666667)</f>
        <v>1.666666667</v>
      </c>
      <c r="I11" s="82" t="str">
        <f>IFERROR(__xludf.DUMMYFUNCTION("""COMPUTED_VALUE"""),"Schmid")</f>
        <v>Schmid</v>
      </c>
      <c r="J11" s="132">
        <f>IFERROR(__xludf.DUMMYFUNCTION("""COMPUTED_VALUE"""),8.166666666666666)</f>
        <v>8.166666667</v>
      </c>
      <c r="K11" s="2" t="str">
        <f>IFERROR(__xludf.DUMMYFUNCTION("""COMPUTED_VALUE"""),"DC")</f>
        <v>DC</v>
      </c>
      <c r="L11" s="133">
        <f>IFERROR(__xludf.DUMMYFUNCTION("""COMPUTED_VALUE"""),1.4285714285714286)</f>
        <v>1.428571429</v>
      </c>
      <c r="M11" s="82" t="str">
        <f>IFERROR(__xludf.DUMMYFUNCTION("""COMPUTED_VALUE"""),"Jay")</f>
        <v>Jay</v>
      </c>
      <c r="N11" s="134">
        <f>IFERROR(__xludf.DUMMYFUNCTION("""COMPUTED_VALUE"""),0.4142857142857143)</f>
        <v>0.4142857143</v>
      </c>
      <c r="O11" s="2" t="str">
        <f>IFERROR(__xludf.DUMMYFUNCTION("""COMPUTED_VALUE"""),"Dannegger")</f>
        <v>Dannegger</v>
      </c>
      <c r="P11" s="133">
        <f>IFERROR(__xludf.DUMMYFUNCTION("""COMPUTED_VALUE"""),20.60069480140892)</f>
        <v>20.6006948</v>
      </c>
      <c r="Q11" s="82" t="str">
        <f>IFERROR(__xludf.DUMMYFUNCTION("""COMPUTED_VALUE"""),"Haldar")</f>
        <v>Haldar</v>
      </c>
      <c r="R11" s="2">
        <f t="array" ref="R11">xlookup(Q11, 'Player Season Stats'!A:A, 'Player Season Stats'!B:B)</f>
        <v>1</v>
      </c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1">
        <f t="shared" si="1"/>
        <v>11</v>
      </c>
      <c r="B12" s="130">
        <f>IFERROR(__xludf.DUMMYFUNCTION("""COMPUTED_VALUE"""),19.09285714285714)</f>
        <v>19.09285714</v>
      </c>
      <c r="C12" s="2" t="str">
        <f>IFERROR(__xludf.DUMMYFUNCTION("""COMPUTED_VALUE"""),"Jay")</f>
        <v>Jay</v>
      </c>
      <c r="D12" s="137">
        <f>IFERROR(__xludf.DUMMYFUNCTION("""COMPUTED_VALUE"""),17.857142857142858)</f>
        <v>17.85714286</v>
      </c>
      <c r="E12" s="82" t="str">
        <f>IFERROR(__xludf.DUMMYFUNCTION("""COMPUTED_VALUE"""),"Jay")</f>
        <v>Jay</v>
      </c>
      <c r="F12" s="130">
        <f>IFERROR(__xludf.DUMMYFUNCTION("""COMPUTED_VALUE"""),9.428571428571429)</f>
        <v>9.428571429</v>
      </c>
      <c r="G12" s="2" t="str">
        <f>IFERROR(__xludf.DUMMYFUNCTION("""COMPUTED_VALUE"""),"Cole")</f>
        <v>Cole</v>
      </c>
      <c r="H12" s="137">
        <f>IFERROR(__xludf.DUMMYFUNCTION("""COMPUTED_VALUE"""),1.5714285714285714)</f>
        <v>1.571428571</v>
      </c>
      <c r="I12" s="82" t="str">
        <f>IFERROR(__xludf.DUMMYFUNCTION("""COMPUTED_VALUE"""),"Dannegger")</f>
        <v>Dannegger</v>
      </c>
      <c r="J12" s="130">
        <f>IFERROR(__xludf.DUMMYFUNCTION("""COMPUTED_VALUE"""),8.0)</f>
        <v>8</v>
      </c>
      <c r="K12" s="2" t="str">
        <f>IFERROR(__xludf.DUMMYFUNCTION("""COMPUTED_VALUE"""),"Eric")</f>
        <v>Eric</v>
      </c>
      <c r="L12" s="137">
        <f>IFERROR(__xludf.DUMMYFUNCTION("""COMPUTED_VALUE"""),1.4)</f>
        <v>1.4</v>
      </c>
      <c r="M12" s="82" t="str">
        <f>IFERROR(__xludf.DUMMYFUNCTION("""COMPUTED_VALUE"""),"Vishal")</f>
        <v>Vishal</v>
      </c>
      <c r="N12" s="128">
        <f>IFERROR(__xludf.DUMMYFUNCTION("""COMPUTED_VALUE"""),0.4105263157894737)</f>
        <v>0.4105263158</v>
      </c>
      <c r="O12" s="2" t="str">
        <f>IFERROR(__xludf.DUMMYFUNCTION("""COMPUTED_VALUE"""),"TC")</f>
        <v>TC</v>
      </c>
      <c r="P12" s="138">
        <f>IFERROR(__xludf.DUMMYFUNCTION("""COMPUTED_VALUE"""),19.982705235114608)</f>
        <v>19.98270524</v>
      </c>
      <c r="Q12" s="136" t="str">
        <f>IFERROR(__xludf.DUMMYFUNCTION("""COMPUTED_VALUE"""),"Pasha")</f>
        <v>Pasha</v>
      </c>
      <c r="R12" s="2">
        <f t="array" ref="R12">xlookup(Q12, 'Player Season Stats'!A:A, 'Player Season Stats'!B:B)</f>
        <v>7</v>
      </c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1">
        <f t="shared" si="1"/>
        <v>12</v>
      </c>
      <c r="B13" s="130">
        <f>IFERROR(__xludf.DUMMYFUNCTION("""COMPUTED_VALUE"""),18.66)</f>
        <v>18.66</v>
      </c>
      <c r="C13" s="2" t="str">
        <f>IFERROR(__xludf.DUMMYFUNCTION("""COMPUTED_VALUE"""),"Vishal")</f>
        <v>Vishal</v>
      </c>
      <c r="D13" s="137">
        <f>IFERROR(__xludf.DUMMYFUNCTION("""COMPUTED_VALUE"""),17.833333333333332)</f>
        <v>17.83333333</v>
      </c>
      <c r="E13" s="82" t="str">
        <f>IFERROR(__xludf.DUMMYFUNCTION("""COMPUTED_VALUE"""),"Lucas")</f>
        <v>Lucas</v>
      </c>
      <c r="F13" s="130">
        <f>IFERROR(__xludf.DUMMYFUNCTION("""COMPUTED_VALUE"""),8.5)</f>
        <v>8.5</v>
      </c>
      <c r="G13" s="2" t="str">
        <f>IFERROR(__xludf.DUMMYFUNCTION("""COMPUTED_VALUE"""),"Somil")</f>
        <v>Somil</v>
      </c>
      <c r="H13" s="137">
        <f>IFERROR(__xludf.DUMMYFUNCTION("""COMPUTED_VALUE"""),1.5)</f>
        <v>1.5</v>
      </c>
      <c r="I13" s="82" t="str">
        <f>IFERROR(__xludf.DUMMYFUNCTION("""COMPUTED_VALUE"""),"Kyi")</f>
        <v>Kyi</v>
      </c>
      <c r="J13" s="130">
        <f>IFERROR(__xludf.DUMMYFUNCTION("""COMPUTED_VALUE"""),7.571428571428571)</f>
        <v>7.571428571</v>
      </c>
      <c r="K13" s="2" t="str">
        <f>IFERROR(__xludf.DUMMYFUNCTION("""COMPUTED_VALUE"""),"Du")</f>
        <v>Du</v>
      </c>
      <c r="L13" s="137">
        <f>IFERROR(__xludf.DUMMYFUNCTION("""COMPUTED_VALUE"""),1.3333333333333333)</f>
        <v>1.333333333</v>
      </c>
      <c r="M13" s="82" t="str">
        <f>IFERROR(__xludf.DUMMYFUNCTION("""COMPUTED_VALUE"""),"Sean")</f>
        <v>Sean</v>
      </c>
      <c r="N13" s="128">
        <f>IFERROR(__xludf.DUMMYFUNCTION("""COMPUTED_VALUE"""),0.40584415584415584)</f>
        <v>0.4058441558</v>
      </c>
      <c r="O13" s="2" t="str">
        <f>IFERROR(__xludf.DUMMYFUNCTION("""COMPUTED_VALUE"""),"Dli")</f>
        <v>Dli</v>
      </c>
      <c r="P13" s="137">
        <f>IFERROR(__xludf.DUMMYFUNCTION("""COMPUTED_VALUE"""),19.841235337104962)</f>
        <v>19.84123534</v>
      </c>
      <c r="Q13" s="82" t="str">
        <f>IFERROR(__xludf.DUMMYFUNCTION("""COMPUTED_VALUE"""),"Lucas")</f>
        <v>Lucas</v>
      </c>
      <c r="R13" s="2">
        <f t="array" ref="R13">xlookup(Q13, 'Player Season Stats'!A:A, 'Player Season Stats'!B:B)</f>
        <v>6</v>
      </c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1">
        <f t="shared" si="1"/>
        <v>13</v>
      </c>
      <c r="B14" s="130">
        <f>IFERROR(__xludf.DUMMYFUNCTION("""COMPUTED_VALUE"""),18.59285714285714)</f>
        <v>18.59285714</v>
      </c>
      <c r="C14" s="2" t="str">
        <f>IFERROR(__xludf.DUMMYFUNCTION("""COMPUTED_VALUE"""),"Dli")</f>
        <v>Dli</v>
      </c>
      <c r="D14" s="137">
        <f>IFERROR(__xludf.DUMMYFUNCTION("""COMPUTED_VALUE"""),17.6)</f>
        <v>17.6</v>
      </c>
      <c r="E14" s="82" t="str">
        <f>IFERROR(__xludf.DUMMYFUNCTION("""COMPUTED_VALUE"""),"Vishal")</f>
        <v>Vishal</v>
      </c>
      <c r="F14" s="130">
        <f>IFERROR(__xludf.DUMMYFUNCTION("""COMPUTED_VALUE"""),8.428571428571429)</f>
        <v>8.428571429</v>
      </c>
      <c r="G14" s="2" t="str">
        <f>IFERROR(__xludf.DUMMYFUNCTION("""COMPUTED_VALUE"""),"Arnav")</f>
        <v>Arnav</v>
      </c>
      <c r="H14" s="137">
        <f>IFERROR(__xludf.DUMMYFUNCTION("""COMPUTED_VALUE"""),1.4285714285714286)</f>
        <v>1.428571429</v>
      </c>
      <c r="I14" s="82" t="str">
        <f>IFERROR(__xludf.DUMMYFUNCTION("""COMPUTED_VALUE"""),"Yost")</f>
        <v>Yost</v>
      </c>
      <c r="J14" s="130">
        <f>IFERROR(__xludf.DUMMYFUNCTION("""COMPUTED_VALUE"""),7.571428571428571)</f>
        <v>7.571428571</v>
      </c>
      <c r="K14" s="2" t="str">
        <f>IFERROR(__xludf.DUMMYFUNCTION("""COMPUTED_VALUE"""),"Arnav")</f>
        <v>Arnav</v>
      </c>
      <c r="L14" s="137">
        <f>IFERROR(__xludf.DUMMYFUNCTION("""COMPUTED_VALUE"""),1.0)</f>
        <v>1</v>
      </c>
      <c r="M14" s="82" t="str">
        <f>IFERROR(__xludf.DUMMYFUNCTION("""COMPUTED_VALUE"""),"Porco")</f>
        <v>Porco</v>
      </c>
      <c r="N14" s="128">
        <f>IFERROR(__xludf.DUMMYFUNCTION("""COMPUTED_VALUE"""),0.40074906367041196)</f>
        <v>0.4007490637</v>
      </c>
      <c r="O14" s="2" t="str">
        <f>IFERROR(__xludf.DUMMYFUNCTION("""COMPUTED_VALUE"""),"Lucas")</f>
        <v>Lucas</v>
      </c>
      <c r="P14" s="137">
        <f>IFERROR(__xludf.DUMMYFUNCTION("""COMPUTED_VALUE"""),19.441222201406774)</f>
        <v>19.4412222</v>
      </c>
      <c r="Q14" s="82" t="str">
        <f>IFERROR(__xludf.DUMMYFUNCTION("""COMPUTED_VALUE"""),"Dli")</f>
        <v>Dli</v>
      </c>
      <c r="R14" s="2">
        <f t="array" ref="R14">xlookup(Q14, 'Player Season Stats'!A:A, 'Player Season Stats'!B:B)</f>
        <v>7</v>
      </c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31">
        <f t="shared" si="1"/>
        <v>14</v>
      </c>
      <c r="B15" s="130">
        <f>IFERROR(__xludf.DUMMYFUNCTION("""COMPUTED_VALUE"""),18.425000000000004)</f>
        <v>18.425</v>
      </c>
      <c r="C15" s="2" t="str">
        <f>IFERROR(__xludf.DUMMYFUNCTION("""COMPUTED_VALUE"""),"Dave")</f>
        <v>Dave</v>
      </c>
      <c r="D15" s="137">
        <f>IFERROR(__xludf.DUMMYFUNCTION("""COMPUTED_VALUE"""),17.0)</f>
        <v>17</v>
      </c>
      <c r="E15" s="82" t="str">
        <f>IFERROR(__xludf.DUMMYFUNCTION("""COMPUTED_VALUE"""),"Dave")</f>
        <v>Dave</v>
      </c>
      <c r="F15" s="130">
        <f>IFERROR(__xludf.DUMMYFUNCTION("""COMPUTED_VALUE"""),8.285714285714286)</f>
        <v>8.285714286</v>
      </c>
      <c r="G15" s="2" t="str">
        <f>IFERROR(__xludf.DUMMYFUNCTION("""COMPUTED_VALUE"""),"Pasha")</f>
        <v>Pasha</v>
      </c>
      <c r="H15" s="137">
        <f>IFERROR(__xludf.DUMMYFUNCTION("""COMPUTED_VALUE"""),1.3333333333333333)</f>
        <v>1.333333333</v>
      </c>
      <c r="I15" s="82" t="str">
        <f>IFERROR(__xludf.DUMMYFUNCTION("""COMPUTED_VALUE"""),"Lucas")</f>
        <v>Lucas</v>
      </c>
      <c r="J15" s="130">
        <f>IFERROR(__xludf.DUMMYFUNCTION("""COMPUTED_VALUE"""),7.5)</f>
        <v>7.5</v>
      </c>
      <c r="K15" s="2" t="str">
        <f>IFERROR(__xludf.DUMMYFUNCTION("""COMPUTED_VALUE"""),"KZ")</f>
        <v>KZ</v>
      </c>
      <c r="L15" s="137">
        <f>IFERROR(__xludf.DUMMYFUNCTION("""COMPUTED_VALUE"""),1.0)</f>
        <v>1</v>
      </c>
      <c r="M15" s="82" t="str">
        <f>IFERROR(__xludf.DUMMYFUNCTION("""COMPUTED_VALUE"""),"James")</f>
        <v>James</v>
      </c>
      <c r="N15" s="128">
        <f>IFERROR(__xludf.DUMMYFUNCTION("""COMPUTED_VALUE"""),0.4)</f>
        <v>0.4</v>
      </c>
      <c r="O15" s="2" t="str">
        <f>IFERROR(__xludf.DUMMYFUNCTION("""COMPUTED_VALUE"""),"Dave")</f>
        <v>Dave</v>
      </c>
      <c r="P15" s="137">
        <f>IFERROR(__xludf.DUMMYFUNCTION("""COMPUTED_VALUE"""),18.988279814868218)</f>
        <v>18.98827981</v>
      </c>
      <c r="Q15" s="82" t="str">
        <f>IFERROR(__xludf.DUMMYFUNCTION("""COMPUTED_VALUE"""),"Dave")</f>
        <v>Dave</v>
      </c>
      <c r="R15" s="2">
        <f t="array" ref="R15">xlookup(Q15, 'Player Season Stats'!A:A, 'Player Season Stats'!B:B)</f>
        <v>6</v>
      </c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31">
        <f t="shared" si="1"/>
        <v>15</v>
      </c>
      <c r="B16" s="130">
        <f>IFERROR(__xludf.DUMMYFUNCTION("""COMPUTED_VALUE"""),18.0)</f>
        <v>18</v>
      </c>
      <c r="C16" s="2" t="str">
        <f>IFERROR(__xludf.DUMMYFUNCTION("""COMPUTED_VALUE"""),"Yost")</f>
        <v>Yost</v>
      </c>
      <c r="D16" s="137">
        <f>IFERROR(__xludf.DUMMYFUNCTION("""COMPUTED_VALUE"""),16.714285714285715)</f>
        <v>16.71428571</v>
      </c>
      <c r="E16" s="82" t="str">
        <f>IFERROR(__xludf.DUMMYFUNCTION("""COMPUTED_VALUE"""),"Samos")</f>
        <v>Samos</v>
      </c>
      <c r="F16" s="130">
        <f>IFERROR(__xludf.DUMMYFUNCTION("""COMPUTED_VALUE"""),8.25)</f>
        <v>8.25</v>
      </c>
      <c r="G16" s="2" t="str">
        <f>IFERROR(__xludf.DUMMYFUNCTION("""COMPUTED_VALUE"""),"Dji")</f>
        <v>Dji</v>
      </c>
      <c r="H16" s="137">
        <f>IFERROR(__xludf.DUMMYFUNCTION("""COMPUTED_VALUE"""),1.1428571428571428)</f>
        <v>1.142857143</v>
      </c>
      <c r="I16" s="82" t="str">
        <f>IFERROR(__xludf.DUMMYFUNCTION("""COMPUTED_VALUE"""),"Cole")</f>
        <v>Cole</v>
      </c>
      <c r="J16" s="130">
        <f>IFERROR(__xludf.DUMMYFUNCTION("""COMPUTED_VALUE"""),7.333333333333333)</f>
        <v>7.333333333</v>
      </c>
      <c r="K16" s="2" t="str">
        <f>IFERROR(__xludf.DUMMYFUNCTION("""COMPUTED_VALUE"""),"Schmid")</f>
        <v>Schmid</v>
      </c>
      <c r="L16" s="137">
        <f>IFERROR(__xludf.DUMMYFUNCTION("""COMPUTED_VALUE"""),1.0)</f>
        <v>1</v>
      </c>
      <c r="M16" s="82" t="str">
        <f>IFERROR(__xludf.DUMMYFUNCTION("""COMPUTED_VALUE"""),"Cole")</f>
        <v>Cole</v>
      </c>
      <c r="N16" s="128">
        <f>IFERROR(__xludf.DUMMYFUNCTION("""COMPUTED_VALUE"""),0.3958333333333333)</f>
        <v>0.3958333333</v>
      </c>
      <c r="O16" s="2" t="str">
        <f>IFERROR(__xludf.DUMMYFUNCTION("""COMPUTED_VALUE"""),"Haldar")</f>
        <v>Haldar</v>
      </c>
      <c r="P16" s="137">
        <f>IFERROR(__xludf.DUMMYFUNCTION("""COMPUTED_VALUE"""),18.808718505733623)</f>
        <v>18.80871851</v>
      </c>
      <c r="Q16" s="82" t="str">
        <f>IFERROR(__xludf.DUMMYFUNCTION("""COMPUTED_VALUE"""),"Dannegger")</f>
        <v>Dannegger</v>
      </c>
      <c r="R16" s="2">
        <f t="array" ref="R16">xlookup(Q16, 'Player Season Stats'!A:A, 'Player Season Stats'!B:B)</f>
        <v>7</v>
      </c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31">
        <f t="shared" si="1"/>
        <v>16</v>
      </c>
      <c r="B17" s="130">
        <f>IFERROR(__xludf.DUMMYFUNCTION("""COMPUTED_VALUE"""),17.825)</f>
        <v>17.825</v>
      </c>
      <c r="C17" s="2" t="str">
        <f>IFERROR(__xludf.DUMMYFUNCTION("""COMPUTED_VALUE"""),"Andy Yu")</f>
        <v>Andy Yu</v>
      </c>
      <c r="D17" s="137">
        <f>IFERROR(__xludf.DUMMYFUNCTION("""COMPUTED_VALUE"""),16.714285714285715)</f>
        <v>16.71428571</v>
      </c>
      <c r="E17" s="82" t="str">
        <f>IFERROR(__xludf.DUMMYFUNCTION("""COMPUTED_VALUE"""),"TC")</f>
        <v>TC</v>
      </c>
      <c r="F17" s="130">
        <f>IFERROR(__xludf.DUMMYFUNCTION("""COMPUTED_VALUE"""),8.166666666666666)</f>
        <v>8.166666667</v>
      </c>
      <c r="G17" s="2" t="str">
        <f>IFERROR(__xludf.DUMMYFUNCTION("""COMPUTED_VALUE"""),"DC")</f>
        <v>DC</v>
      </c>
      <c r="H17" s="137">
        <f>IFERROR(__xludf.DUMMYFUNCTION("""COMPUTED_VALUE"""),1.0)</f>
        <v>1</v>
      </c>
      <c r="I17" s="82" t="str">
        <f>IFERROR(__xludf.DUMMYFUNCTION("""COMPUTED_VALUE"""),"Tyler")</f>
        <v>Tyler</v>
      </c>
      <c r="J17" s="130">
        <f>IFERROR(__xludf.DUMMYFUNCTION("""COMPUTED_VALUE"""),6.833333333333333)</f>
        <v>6.833333333</v>
      </c>
      <c r="K17" s="2" t="str">
        <f>IFERROR(__xludf.DUMMYFUNCTION("""COMPUTED_VALUE"""),"Porco")</f>
        <v>Porco</v>
      </c>
      <c r="L17" s="137">
        <f>IFERROR(__xludf.DUMMYFUNCTION("""COMPUTED_VALUE"""),1.0)</f>
        <v>1</v>
      </c>
      <c r="M17" s="82" t="str">
        <f>IFERROR(__xludf.DUMMYFUNCTION("""COMPUTED_VALUE"""),"Adi")</f>
        <v>Adi</v>
      </c>
      <c r="N17" s="128">
        <f>IFERROR(__xludf.DUMMYFUNCTION("""COMPUTED_VALUE"""),0.3951367781155016)</f>
        <v>0.3951367781</v>
      </c>
      <c r="O17" s="2" t="str">
        <f>IFERROR(__xludf.DUMMYFUNCTION("""COMPUTED_VALUE"""),"Pasha")</f>
        <v>Pasha</v>
      </c>
      <c r="P17" s="137">
        <f>IFERROR(__xludf.DUMMYFUNCTION("""COMPUTED_VALUE"""),18.4113922368117)</f>
        <v>18.41139224</v>
      </c>
      <c r="Q17" s="82" t="str">
        <f>IFERROR(__xludf.DUMMYFUNCTION("""COMPUTED_VALUE"""),"TC")</f>
        <v>TC</v>
      </c>
      <c r="R17" s="2">
        <f t="array" ref="R17">xlookup(Q17, 'Player Season Stats'!A:A, 'Player Season Stats'!B:B)</f>
        <v>7</v>
      </c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31">
        <f t="shared" si="1"/>
        <v>17</v>
      </c>
      <c r="B18" s="130">
        <f>IFERROR(__xludf.DUMMYFUNCTION("""COMPUTED_VALUE"""),17.62142857142857)</f>
        <v>17.62142857</v>
      </c>
      <c r="C18" s="2" t="str">
        <f>IFERROR(__xludf.DUMMYFUNCTION("""COMPUTED_VALUE"""),"Dannegger")</f>
        <v>Dannegger</v>
      </c>
      <c r="D18" s="137">
        <f>IFERROR(__xludf.DUMMYFUNCTION("""COMPUTED_VALUE"""),16.666666666666668)</f>
        <v>16.66666667</v>
      </c>
      <c r="E18" s="82" t="str">
        <f>IFERROR(__xludf.DUMMYFUNCTION("""COMPUTED_VALUE"""),"Andy Yu")</f>
        <v>Andy Yu</v>
      </c>
      <c r="F18" s="130">
        <f>IFERROR(__xludf.DUMMYFUNCTION("""COMPUTED_VALUE"""),7.857142857142857)</f>
        <v>7.857142857</v>
      </c>
      <c r="G18" s="2" t="str">
        <f>IFERROR(__xludf.DUMMYFUNCTION("""COMPUTED_VALUE"""),"Guel")</f>
        <v>Guel</v>
      </c>
      <c r="H18" s="137">
        <f>IFERROR(__xludf.DUMMYFUNCTION("""COMPUTED_VALUE"""),1.0)</f>
        <v>1</v>
      </c>
      <c r="I18" s="82" t="str">
        <f>IFERROR(__xludf.DUMMYFUNCTION("""COMPUTED_VALUE"""),"Raymond")</f>
        <v>Raymond</v>
      </c>
      <c r="J18" s="130">
        <f>IFERROR(__xludf.DUMMYFUNCTION("""COMPUTED_VALUE"""),6.833333333333333)</f>
        <v>6.833333333</v>
      </c>
      <c r="K18" s="2" t="str">
        <f>IFERROR(__xludf.DUMMYFUNCTION("""COMPUTED_VALUE"""),"Andy Yu")</f>
        <v>Andy Yu</v>
      </c>
      <c r="L18" s="137">
        <f>IFERROR(__xludf.DUMMYFUNCTION("""COMPUTED_VALUE"""),1.0)</f>
        <v>1</v>
      </c>
      <c r="M18" s="82" t="str">
        <f>IFERROR(__xludf.DUMMYFUNCTION("""COMPUTED_VALUE"""),"Haldar")</f>
        <v>Haldar</v>
      </c>
      <c r="N18" s="128">
        <f>IFERROR(__xludf.DUMMYFUNCTION("""COMPUTED_VALUE"""),0.3884297520661157)</f>
        <v>0.3884297521</v>
      </c>
      <c r="O18" s="2" t="str">
        <f>IFERROR(__xludf.DUMMYFUNCTION("""COMPUTED_VALUE"""),"Raymond")</f>
        <v>Raymond</v>
      </c>
      <c r="P18" s="137">
        <f>IFERROR(__xludf.DUMMYFUNCTION("""COMPUTED_VALUE"""),17.528565760718916)</f>
        <v>17.52856576</v>
      </c>
      <c r="Q18" s="82" t="str">
        <f>IFERROR(__xludf.DUMMYFUNCTION("""COMPUTED_VALUE"""),"Andy Yu")</f>
        <v>Andy Yu</v>
      </c>
      <c r="R18" s="2">
        <f t="array" ref="R18">xlookup(Q18, 'Player Season Stats'!A:A, 'Player Season Stats'!B:B)</f>
        <v>6</v>
      </c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31">
        <f t="shared" si="1"/>
        <v>18</v>
      </c>
      <c r="B19" s="130">
        <f>IFERROR(__xludf.DUMMYFUNCTION("""COMPUTED_VALUE"""),17.40714285714286)</f>
        <v>17.40714286</v>
      </c>
      <c r="C19" s="2" t="str">
        <f>IFERROR(__xludf.DUMMYFUNCTION("""COMPUTED_VALUE"""),"TC")</f>
        <v>TC</v>
      </c>
      <c r="D19" s="137">
        <f>IFERROR(__xludf.DUMMYFUNCTION("""COMPUTED_VALUE"""),16.571428571428573)</f>
        <v>16.57142857</v>
      </c>
      <c r="E19" s="82" t="str">
        <f>IFERROR(__xludf.DUMMYFUNCTION("""COMPUTED_VALUE"""),"Dannegger")</f>
        <v>Dannegger</v>
      </c>
      <c r="F19" s="130">
        <f>IFERROR(__xludf.DUMMYFUNCTION("""COMPUTED_VALUE"""),7.8)</f>
        <v>7.8</v>
      </c>
      <c r="G19" s="2" t="str">
        <f>IFERROR(__xludf.DUMMYFUNCTION("""COMPUTED_VALUE"""),"Matvey")</f>
        <v>Matvey</v>
      </c>
      <c r="H19" s="137">
        <f>IFERROR(__xludf.DUMMYFUNCTION("""COMPUTED_VALUE"""),0.8571428571428571)</f>
        <v>0.8571428571</v>
      </c>
      <c r="I19" s="82" t="str">
        <f>IFERROR(__xludf.DUMMYFUNCTION("""COMPUTED_VALUE"""),"Samos")</f>
        <v>Samos</v>
      </c>
      <c r="J19" s="130">
        <f>IFERROR(__xludf.DUMMYFUNCTION("""COMPUTED_VALUE"""),6.6)</f>
        <v>6.6</v>
      </c>
      <c r="K19" s="2" t="str">
        <f>IFERROR(__xludf.DUMMYFUNCTION("""COMPUTED_VALUE"""),"Vishal")</f>
        <v>Vishal</v>
      </c>
      <c r="L19" s="137">
        <f>IFERROR(__xludf.DUMMYFUNCTION("""COMPUTED_VALUE"""),1.0)</f>
        <v>1</v>
      </c>
      <c r="M19" s="82" t="str">
        <f>IFERROR(__xludf.DUMMYFUNCTION("""COMPUTED_VALUE"""),"DC")</f>
        <v>DC</v>
      </c>
      <c r="N19" s="128">
        <f>IFERROR(__xludf.DUMMYFUNCTION("""COMPUTED_VALUE"""),0.38793103448275856)</f>
        <v>0.3879310345</v>
      </c>
      <c r="O19" s="2" t="str">
        <f>IFERROR(__xludf.DUMMYFUNCTION("""COMPUTED_VALUE"""),"Schmid")</f>
        <v>Schmid</v>
      </c>
      <c r="P19" s="137">
        <f>IFERROR(__xludf.DUMMYFUNCTION("""COMPUTED_VALUE"""),17.07804193467504)</f>
        <v>17.07804193</v>
      </c>
      <c r="Q19" s="82" t="str">
        <f>IFERROR(__xludf.DUMMYFUNCTION("""COMPUTED_VALUE"""),"Yost")</f>
        <v>Yost</v>
      </c>
      <c r="R19" s="2">
        <f t="array" ref="R19">xlookup(Q19, 'Player Season Stats'!A:A, 'Player Season Stats'!B:B)</f>
        <v>7</v>
      </c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31">
        <f t="shared" si="1"/>
        <v>19</v>
      </c>
      <c r="B20" s="130">
        <f>IFERROR(__xludf.DUMMYFUNCTION("""COMPUTED_VALUE"""),17.200000000000003)</f>
        <v>17.2</v>
      </c>
      <c r="C20" s="2" t="str">
        <f>IFERROR(__xludf.DUMMYFUNCTION("""COMPUTED_VALUE"""),"Samos")</f>
        <v>Samos</v>
      </c>
      <c r="D20" s="137">
        <f>IFERROR(__xludf.DUMMYFUNCTION("""COMPUTED_VALUE"""),16.571428571428573)</f>
        <v>16.57142857</v>
      </c>
      <c r="E20" s="82" t="str">
        <f>IFERROR(__xludf.DUMMYFUNCTION("""COMPUTED_VALUE"""),"Yost")</f>
        <v>Yost</v>
      </c>
      <c r="F20" s="130">
        <f>IFERROR(__xludf.DUMMYFUNCTION("""COMPUTED_VALUE"""),7.666666666666667)</f>
        <v>7.666666667</v>
      </c>
      <c r="G20" s="2" t="str">
        <f>IFERROR(__xludf.DUMMYFUNCTION("""COMPUTED_VALUE"""),"Gavin")</f>
        <v>Gavin</v>
      </c>
      <c r="H20" s="137">
        <f>IFERROR(__xludf.DUMMYFUNCTION("""COMPUTED_VALUE"""),0.8)</f>
        <v>0.8</v>
      </c>
      <c r="I20" s="82" t="str">
        <f>IFERROR(__xludf.DUMMYFUNCTION("""COMPUTED_VALUE"""),"Neo")</f>
        <v>Neo</v>
      </c>
      <c r="J20" s="130">
        <f>IFERROR(__xludf.DUMMYFUNCTION("""COMPUTED_VALUE"""),6.571428571428571)</f>
        <v>6.571428571</v>
      </c>
      <c r="K20" s="2" t="str">
        <f>IFERROR(__xludf.DUMMYFUNCTION("""COMPUTED_VALUE"""),"Dannegger")</f>
        <v>Dannegger</v>
      </c>
      <c r="L20" s="137">
        <f>IFERROR(__xludf.DUMMYFUNCTION("""COMPUTED_VALUE"""),0.8571428571428571)</f>
        <v>0.8571428571</v>
      </c>
      <c r="M20" s="82" t="str">
        <f>IFERROR(__xludf.DUMMYFUNCTION("""COMPUTED_VALUE"""),"Eric")</f>
        <v>Eric</v>
      </c>
      <c r="N20" s="128">
        <f>IFERROR(__xludf.DUMMYFUNCTION("""COMPUTED_VALUE"""),0.38461538461538464)</f>
        <v>0.3846153846</v>
      </c>
      <c r="O20" s="2" t="str">
        <f>IFERROR(__xludf.DUMMYFUNCTION("""COMPUTED_VALUE"""),"Eric")</f>
        <v>Eric</v>
      </c>
      <c r="P20" s="137">
        <f>IFERROR(__xludf.DUMMYFUNCTION("""COMPUTED_VALUE"""),16.56275618664605)</f>
        <v>16.56275619</v>
      </c>
      <c r="Q20" s="82" t="str">
        <f>IFERROR(__xludf.DUMMYFUNCTION("""COMPUTED_VALUE"""),"Eric")</f>
        <v>Eric</v>
      </c>
      <c r="R20" s="2">
        <f t="array" ref="R20">xlookup(Q20, 'Player Season Stats'!A:A, 'Player Season Stats'!B:B)</f>
        <v>7</v>
      </c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31">
        <f t="shared" si="1"/>
        <v>20</v>
      </c>
      <c r="B21" s="130">
        <f>IFERROR(__xludf.DUMMYFUNCTION("""COMPUTED_VALUE"""),16.714285714285715)</f>
        <v>16.71428571</v>
      </c>
      <c r="C21" s="2" t="str">
        <f>IFERROR(__xludf.DUMMYFUNCTION("""COMPUTED_VALUE"""),"Eric")</f>
        <v>Eric</v>
      </c>
      <c r="D21" s="137">
        <f>IFERROR(__xludf.DUMMYFUNCTION("""COMPUTED_VALUE"""),16.0)</f>
        <v>16</v>
      </c>
      <c r="E21" s="82" t="str">
        <f>IFERROR(__xludf.DUMMYFUNCTION("""COMPUTED_VALUE"""),"Steven")</f>
        <v>Steven</v>
      </c>
      <c r="F21" s="130">
        <f>IFERROR(__xludf.DUMMYFUNCTION("""COMPUTED_VALUE"""),7.2)</f>
        <v>7.2</v>
      </c>
      <c r="G21" s="2" t="str">
        <f>IFERROR(__xludf.DUMMYFUNCTION("""COMPUTED_VALUE"""),"Vishal")</f>
        <v>Vishal</v>
      </c>
      <c r="H21" s="137">
        <f>IFERROR(__xludf.DUMMYFUNCTION("""COMPUTED_VALUE"""),0.8)</f>
        <v>0.8</v>
      </c>
      <c r="I21" s="82" t="str">
        <f>IFERROR(__xludf.DUMMYFUNCTION("""COMPUTED_VALUE"""),"Matvey")</f>
        <v>Matvey</v>
      </c>
      <c r="J21" s="130">
        <f>IFERROR(__xludf.DUMMYFUNCTION("""COMPUTED_VALUE"""),6.571428571428571)</f>
        <v>6.571428571</v>
      </c>
      <c r="K21" s="2" t="str">
        <f>IFERROR(__xludf.DUMMYFUNCTION("""COMPUTED_VALUE"""),"Guel")</f>
        <v>Guel</v>
      </c>
      <c r="L21" s="137">
        <f>IFERROR(__xludf.DUMMYFUNCTION("""COMPUTED_VALUE"""),0.6666666666666666)</f>
        <v>0.6666666667</v>
      </c>
      <c r="M21" s="82" t="str">
        <f>IFERROR(__xludf.DUMMYFUNCTION("""COMPUTED_VALUE"""),"Steven")</f>
        <v>Steven</v>
      </c>
      <c r="N21" s="128">
        <f>IFERROR(__xludf.DUMMYFUNCTION("""COMPUTED_VALUE"""),0.38421052631578945)</f>
        <v>0.3842105263</v>
      </c>
      <c r="O21" s="2" t="str">
        <f>IFERROR(__xludf.DUMMYFUNCTION("""COMPUTED_VALUE"""),"Adi")</f>
        <v>Adi</v>
      </c>
      <c r="P21" s="137">
        <f>IFERROR(__xludf.DUMMYFUNCTION("""COMPUTED_VALUE"""),16.512118460725095)</f>
        <v>16.51211846</v>
      </c>
      <c r="Q21" s="82" t="str">
        <f>IFERROR(__xludf.DUMMYFUNCTION("""COMPUTED_VALUE"""),"Samos")</f>
        <v>Samos</v>
      </c>
      <c r="R21" s="2">
        <f t="array" ref="R21">xlookup(Q21, 'Player Season Stats'!A:A, 'Player Season Stats'!B:B)</f>
        <v>7</v>
      </c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39" t="str">
        <f>Draft!B24</f>
        <v>Gargantuan</v>
      </c>
      <c r="B1" s="140" t="s">
        <v>180</v>
      </c>
      <c r="C1" s="140" t="s">
        <v>145</v>
      </c>
      <c r="D1" s="5" t="s">
        <v>165</v>
      </c>
      <c r="E1" s="5" t="s">
        <v>166</v>
      </c>
      <c r="F1" s="5" t="s">
        <v>167</v>
      </c>
      <c r="G1" s="5" t="s">
        <v>168</v>
      </c>
      <c r="H1" s="5" t="s">
        <v>169</v>
      </c>
      <c r="I1" s="5" t="s">
        <v>170</v>
      </c>
      <c r="J1" s="53" t="s">
        <v>171</v>
      </c>
      <c r="K1" s="141" t="str">
        <f>Draft!C24</f>
        <v>Team C</v>
      </c>
      <c r="L1" s="140" t="s">
        <v>180</v>
      </c>
      <c r="M1" s="140" t="s">
        <v>145</v>
      </c>
      <c r="N1" s="5" t="s">
        <v>165</v>
      </c>
      <c r="O1" s="5" t="s">
        <v>166</v>
      </c>
      <c r="P1" s="5" t="s">
        <v>167</v>
      </c>
      <c r="Q1" s="5" t="s">
        <v>168</v>
      </c>
      <c r="R1" s="5" t="s">
        <v>169</v>
      </c>
      <c r="S1" s="5" t="s">
        <v>170</v>
      </c>
      <c r="T1" s="53" t="s">
        <v>171</v>
      </c>
      <c r="U1" s="141" t="str">
        <f>Draft!D24</f>
        <v>Candice?</v>
      </c>
      <c r="V1" s="140" t="s">
        <v>180</v>
      </c>
      <c r="W1" s="140" t="s">
        <v>145</v>
      </c>
      <c r="X1" s="5" t="s">
        <v>165</v>
      </c>
      <c r="Y1" s="5" t="s">
        <v>166</v>
      </c>
      <c r="Z1" s="5" t="s">
        <v>167</v>
      </c>
      <c r="AA1" s="5" t="s">
        <v>168</v>
      </c>
      <c r="AB1" s="5" t="s">
        <v>169</v>
      </c>
      <c r="AC1" s="5" t="s">
        <v>170</v>
      </c>
      <c r="AD1" s="53" t="s">
        <v>171</v>
      </c>
      <c r="AE1" s="141" t="str">
        <f>Draft!E24</f>
        <v>Team E</v>
      </c>
      <c r="AF1" s="140" t="s">
        <v>180</v>
      </c>
      <c r="AG1" s="140" t="s">
        <v>145</v>
      </c>
      <c r="AH1" s="5" t="s">
        <v>165</v>
      </c>
      <c r="AI1" s="5" t="s">
        <v>166</v>
      </c>
      <c r="AJ1" s="5" t="s">
        <v>167</v>
      </c>
      <c r="AK1" s="5" t="s">
        <v>168</v>
      </c>
      <c r="AL1" s="5" t="s">
        <v>169</v>
      </c>
      <c r="AM1" s="5" t="s">
        <v>170</v>
      </c>
      <c r="AN1" s="53" t="s">
        <v>171</v>
      </c>
      <c r="AO1" s="141" t="str">
        <f>Draft!F24</f>
        <v>Migos</v>
      </c>
      <c r="AP1" s="140" t="s">
        <v>180</v>
      </c>
      <c r="AQ1" s="140" t="s">
        <v>145</v>
      </c>
      <c r="AR1" s="5" t="s">
        <v>165</v>
      </c>
      <c r="AS1" s="5" t="s">
        <v>166</v>
      </c>
      <c r="AT1" s="5" t="s">
        <v>167</v>
      </c>
      <c r="AU1" s="5" t="s">
        <v>168</v>
      </c>
      <c r="AV1" s="5" t="s">
        <v>169</v>
      </c>
      <c r="AW1" s="5" t="s">
        <v>170</v>
      </c>
      <c r="AX1" s="53" t="s">
        <v>171</v>
      </c>
      <c r="AY1" s="141" t="str">
        <f>Draft!G24</f>
        <v>Team F</v>
      </c>
      <c r="AZ1" s="140" t="s">
        <v>180</v>
      </c>
      <c r="BA1" s="140" t="s">
        <v>145</v>
      </c>
      <c r="BB1" s="5" t="s">
        <v>165</v>
      </c>
      <c r="BC1" s="5" t="s">
        <v>166</v>
      </c>
      <c r="BD1" s="5" t="s">
        <v>167</v>
      </c>
      <c r="BE1" s="5" t="s">
        <v>168</v>
      </c>
      <c r="BF1" s="5" t="s">
        <v>169</v>
      </c>
      <c r="BG1" s="5" t="s">
        <v>170</v>
      </c>
      <c r="BH1" s="53" t="s">
        <v>171</v>
      </c>
      <c r="BI1" s="8"/>
      <c r="BJ1" s="8"/>
      <c r="BK1" s="8"/>
      <c r="BL1" s="8"/>
    </row>
    <row r="2">
      <c r="A2" s="142" t="str">
        <f>Draft!B46</f>
        <v>Tyler</v>
      </c>
      <c r="B2" s="129">
        <f t="shared" ref="B2:J2" si="1">B12</f>
        <v>4</v>
      </c>
      <c r="C2" s="143">
        <f t="shared" si="1"/>
        <v>0.25</v>
      </c>
      <c r="D2" s="144">
        <f t="shared" si="1"/>
        <v>10.75</v>
      </c>
      <c r="E2" s="144">
        <f t="shared" si="1"/>
        <v>5.75</v>
      </c>
      <c r="F2" s="144">
        <f t="shared" si="1"/>
        <v>1</v>
      </c>
      <c r="G2" s="144">
        <f t="shared" si="1"/>
        <v>4</v>
      </c>
      <c r="H2" s="144">
        <f t="shared" si="1"/>
        <v>0</v>
      </c>
      <c r="I2" s="144">
        <f t="shared" si="1"/>
        <v>30.75</v>
      </c>
      <c r="J2" s="145">
        <f t="shared" si="1"/>
        <v>0.2590361446</v>
      </c>
      <c r="K2" s="146" t="str">
        <f>Draft!C46</f>
        <v>Du</v>
      </c>
      <c r="L2" s="129">
        <f t="shared" ref="L2:T2" si="2">L12</f>
        <v>7</v>
      </c>
      <c r="M2" s="143">
        <f t="shared" si="2"/>
        <v>0.4285714286</v>
      </c>
      <c r="N2" s="144">
        <f t="shared" si="2"/>
        <v>14</v>
      </c>
      <c r="O2" s="144">
        <f t="shared" si="2"/>
        <v>5.428571429</v>
      </c>
      <c r="P2" s="144">
        <f t="shared" si="2"/>
        <v>0.7142857143</v>
      </c>
      <c r="Q2" s="144">
        <f t="shared" si="2"/>
        <v>7.571428571</v>
      </c>
      <c r="R2" s="144">
        <f t="shared" si="2"/>
        <v>0.2857142857</v>
      </c>
      <c r="S2" s="144">
        <f t="shared" si="2"/>
        <v>26.14285714</v>
      </c>
      <c r="T2" s="145">
        <f t="shared" si="2"/>
        <v>0.3487544484</v>
      </c>
      <c r="U2" s="147" t="str">
        <f>Draft!D46</f>
        <v>John</v>
      </c>
      <c r="V2" s="129">
        <f t="shared" ref="V2:AD2" si="3">V12</f>
        <v>7</v>
      </c>
      <c r="W2" s="143">
        <f t="shared" si="3"/>
        <v>0.4285714286</v>
      </c>
      <c r="X2" s="144">
        <f t="shared" si="3"/>
        <v>20.42857143</v>
      </c>
      <c r="Y2" s="144">
        <f t="shared" si="3"/>
        <v>9.571428571</v>
      </c>
      <c r="Z2" s="144">
        <f t="shared" si="3"/>
        <v>3.285714286</v>
      </c>
      <c r="AA2" s="144">
        <f t="shared" si="3"/>
        <v>5.142857143</v>
      </c>
      <c r="AB2" s="144">
        <f t="shared" si="3"/>
        <v>2.428571429</v>
      </c>
      <c r="AC2" s="144">
        <f t="shared" si="3"/>
        <v>22</v>
      </c>
      <c r="AD2" s="145">
        <f t="shared" si="3"/>
        <v>0.4814814815</v>
      </c>
      <c r="AE2" s="148" t="str">
        <f>Draft!E46</f>
        <v>Guel</v>
      </c>
      <c r="AF2" s="129">
        <f t="shared" ref="AF2:AN2" si="4">AF12</f>
        <v>7</v>
      </c>
      <c r="AG2" s="143">
        <f t="shared" si="4"/>
        <v>0.4285714286</v>
      </c>
      <c r="AH2" s="144">
        <f t="shared" si="4"/>
        <v>19.85714286</v>
      </c>
      <c r="AI2" s="144">
        <f t="shared" si="4"/>
        <v>7.857142857</v>
      </c>
      <c r="AJ2" s="144">
        <f t="shared" si="4"/>
        <v>3.285714286</v>
      </c>
      <c r="AK2" s="144">
        <f t="shared" si="4"/>
        <v>6.571428571</v>
      </c>
      <c r="AL2" s="144">
        <f t="shared" si="4"/>
        <v>2.142857143</v>
      </c>
      <c r="AM2" s="144">
        <f t="shared" si="4"/>
        <v>27.85714286</v>
      </c>
      <c r="AN2" s="145">
        <f t="shared" si="4"/>
        <v>0.4161676647</v>
      </c>
      <c r="AO2" s="149" t="str">
        <f>Draft!F46</f>
        <v>Arnav</v>
      </c>
      <c r="AP2" s="129">
        <f t="shared" ref="AP2:AX2" si="5">AP12</f>
        <v>7</v>
      </c>
      <c r="AQ2" s="143">
        <f t="shared" si="5"/>
        <v>0.8571428571</v>
      </c>
      <c r="AR2" s="144">
        <f t="shared" si="5"/>
        <v>22.28571429</v>
      </c>
      <c r="AS2" s="144">
        <f t="shared" si="5"/>
        <v>8.428571429</v>
      </c>
      <c r="AT2" s="144">
        <f t="shared" si="5"/>
        <v>2</v>
      </c>
      <c r="AU2" s="144">
        <f t="shared" si="5"/>
        <v>7.571428571</v>
      </c>
      <c r="AV2" s="144">
        <f t="shared" si="5"/>
        <v>4.285714286</v>
      </c>
      <c r="AW2" s="144">
        <f t="shared" si="5"/>
        <v>21.57142857</v>
      </c>
      <c r="AX2" s="145">
        <f t="shared" si="5"/>
        <v>0.5081433225</v>
      </c>
      <c r="AY2" s="150" t="str">
        <f>Draft!G46</f>
        <v>Jay</v>
      </c>
      <c r="AZ2" s="129">
        <f t="shared" ref="AZ2:BH2" si="6">AZ12</f>
        <v>7</v>
      </c>
      <c r="BA2" s="143">
        <f t="shared" si="6"/>
        <v>0.4285714286</v>
      </c>
      <c r="BB2" s="144">
        <f t="shared" si="6"/>
        <v>17.85714286</v>
      </c>
      <c r="BC2" s="144">
        <f t="shared" si="6"/>
        <v>6.571428571</v>
      </c>
      <c r="BD2" s="144">
        <f t="shared" si="6"/>
        <v>0.7142857143</v>
      </c>
      <c r="BE2" s="144">
        <f t="shared" si="6"/>
        <v>9.142857143</v>
      </c>
      <c r="BF2" s="144">
        <f t="shared" si="6"/>
        <v>1.428571429</v>
      </c>
      <c r="BG2" s="144">
        <f t="shared" si="6"/>
        <v>24.14285714</v>
      </c>
      <c r="BH2" s="145">
        <f t="shared" si="6"/>
        <v>0.425170068</v>
      </c>
      <c r="BI2" s="8"/>
      <c r="BJ2" s="8"/>
      <c r="BK2" s="8"/>
      <c r="BL2" s="8"/>
    </row>
    <row r="3">
      <c r="A3" s="151" t="s">
        <v>5</v>
      </c>
      <c r="B3" s="2" t="str">
        <f t="shared" ref="B3:B9" si="7">ifna(if(I3&lt;&gt;"", "Yes", ""), "")</f>
        <v>Yes</v>
      </c>
      <c r="C3" s="152" t="str">
        <f t="array" ref="C3">ifna(xlookup(A2, 'Week 1'!$A:$A, 'Week 1'!$B:$B), "")</f>
        <v>Loss</v>
      </c>
      <c r="D3" s="152">
        <f t="array" ref="D3">ifna(xlookup(A2, 'Week 1'!$A:$A, 'Week 1'!$D:$D), "")</f>
        <v>10</v>
      </c>
      <c r="E3" s="152">
        <f t="array" ref="E3">ifna(xlookup(A2, 'Week 1'!$A:$A, 'Week 1'!$G:$G), "")</f>
        <v>1</v>
      </c>
      <c r="F3" s="152">
        <f t="array" ref="F3">ifna(xlookup(A2, 'Week 1'!$A:$A, 'Week 1'!$H:$H), "")</f>
        <v>1</v>
      </c>
      <c r="G3" s="152">
        <f t="array" ref="G3">ifna(xlookup(A2, 'Week 1'!$A:$A, 'Week 1'!$E:$E), "")</f>
        <v>8</v>
      </c>
      <c r="H3" s="152">
        <f t="array" ref="H3">ifna(xlookup(A2, 'Week 1'!$A:$A, 'Week 1'!$F:$F), "")</f>
        <v>0</v>
      </c>
      <c r="I3" s="152">
        <f t="array" ref="I3">ifna(xlookup(A2, 'Week 1'!$A:$A, 'Week 1'!$I:$I), "")</f>
        <v>41</v>
      </c>
      <c r="J3" s="153">
        <f t="shared" ref="J3:J9" si="8">iferror(IF(D3&gt;0, (D3/(D3+I3)), ""),"")</f>
        <v>0.1960784314</v>
      </c>
      <c r="K3" s="151" t="s">
        <v>5</v>
      </c>
      <c r="L3" s="2" t="str">
        <f t="shared" ref="L3:L9" si="9">ifna(if(S3&lt;&gt;"", "Yes", ""), "")</f>
        <v>Yes</v>
      </c>
      <c r="M3" s="152" t="str">
        <f t="array" ref="M3">ifna(xlookup(K2, 'Week 1'!$A:$A, 'Week 1'!$B:$B), "")</f>
        <v>Loss</v>
      </c>
      <c r="N3" s="152">
        <f t="array" ref="N3">ifna(xlookup(K2, 'Week 1'!$A:$A, 'Week 1'!$D:$D), "")</f>
        <v>14</v>
      </c>
      <c r="O3" s="152">
        <f t="array" ref="O3">ifna(xlookup(K2, 'Week 1'!$A:$A, 'Week 1'!$G:$G), "")</f>
        <v>1</v>
      </c>
      <c r="P3" s="152">
        <f t="array" ref="P3">ifna(xlookup(K2, 'Week 1'!$A:$A, 'Week 1'!$H:$H), "")</f>
        <v>0</v>
      </c>
      <c r="Q3" s="152">
        <f t="array" ref="Q3">ifna(xlookup(K2, 'Week 1'!$A:$A, 'Week 1'!$E:$E), "")</f>
        <v>12</v>
      </c>
      <c r="R3" s="152">
        <f t="array" ref="R3">ifna(xlookup(K2, 'Week 1'!$A:$A, 'Week 1'!$F:$F), "")</f>
        <v>1</v>
      </c>
      <c r="S3" s="152">
        <f t="array" ref="S3">ifna(xlookup(K2, 'Week 1'!$A:$A, 'Week 1'!$I:$I), "")</f>
        <v>22</v>
      </c>
      <c r="T3" s="153">
        <f t="shared" ref="T3:T9" si="10">iferror(IF(N3&gt;0, (N3/(N3+S3)), ""),"")</f>
        <v>0.3888888889</v>
      </c>
      <c r="U3" s="151" t="s">
        <v>5</v>
      </c>
      <c r="V3" s="2" t="str">
        <f t="shared" ref="V3:V9" si="11">ifna(if(AC3&lt;&gt;"", "Yes", ""), "")</f>
        <v>Yes</v>
      </c>
      <c r="W3" s="152" t="str">
        <f t="array" ref="W3">ifna(xlookup(U2, 'Week 1'!$A:$A, 'Week 1'!$B:$B), "")</f>
        <v>Win</v>
      </c>
      <c r="X3" s="152">
        <f t="array" ref="X3">ifna(xlookup(U2, 'Week 1'!$A:$A, 'Week 1'!$D:$D), "")</f>
        <v>22</v>
      </c>
      <c r="Y3" s="152">
        <f t="array" ref="Y3">ifna(xlookup(U2, 'Week 1'!$A:$A, 'Week 1'!$G:$G), "")</f>
        <v>7</v>
      </c>
      <c r="Z3" s="152">
        <f t="array" ref="Z3">ifna(xlookup(U2, 'Week 1'!$A:$A, 'Week 1'!$H:$H), "")</f>
        <v>6</v>
      </c>
      <c r="AA3" s="152">
        <f t="array" ref="AA3">ifna(xlookup(U2, 'Week 1'!$A:$A, 'Week 1'!$E:$E), "")</f>
        <v>6</v>
      </c>
      <c r="AB3" s="152">
        <f t="array" ref="AB3">ifna(xlookup(U2, 'Week 1'!$A:$A, 'Week 1'!$F:$F), "")</f>
        <v>3</v>
      </c>
      <c r="AC3" s="152">
        <f t="array" ref="AC3">ifna(xlookup(U2, 'Week 1'!$A:$A, 'Week 1'!$I:$I), "")</f>
        <v>23</v>
      </c>
      <c r="AD3" s="153">
        <f t="shared" ref="AD3:AD9" si="12">iferror(IF(X3&gt;0, (X3/(X3+AC3)), ""),"")</f>
        <v>0.4888888889</v>
      </c>
      <c r="AE3" s="151" t="s">
        <v>5</v>
      </c>
      <c r="AF3" s="2" t="str">
        <f t="shared" ref="AF3:AF9" si="13">ifna(if(AM3&lt;&gt;"", "Yes", ""), "")</f>
        <v>Yes</v>
      </c>
      <c r="AG3" s="152" t="str">
        <f t="array" ref="AG3">ifna(xlookup(AE2, 'Week 1'!$A:$A, 'Week 1'!$B:$B), "")</f>
        <v>Win</v>
      </c>
      <c r="AH3" s="152">
        <f t="array" ref="AH3">ifna(xlookup(AE2, 'Week 1'!$A:$A, 'Week 1'!$D:$D), "")</f>
        <v>20</v>
      </c>
      <c r="AI3" s="152">
        <f t="array" ref="AI3">ifna(xlookup(AE2, 'Week 1'!$A:$A, 'Week 1'!$G:$G), "")</f>
        <v>11</v>
      </c>
      <c r="AJ3" s="152">
        <f t="array" ref="AJ3">ifna(xlookup(AE2, 'Week 1'!$A:$A, 'Week 1'!$H:$H), "")</f>
        <v>5</v>
      </c>
      <c r="AK3" s="152">
        <f t="array" ref="AK3">ifna(xlookup(AE2, 'Week 1'!$A:$A, 'Week 1'!$E:$E), "")</f>
        <v>4</v>
      </c>
      <c r="AL3" s="152">
        <f t="array" ref="AL3">ifna(xlookup(AE2, 'Week 1'!$A:$A, 'Week 1'!$F:$F), "")</f>
        <v>0</v>
      </c>
      <c r="AM3" s="152">
        <f t="array" ref="AM3">ifna(xlookup(AE2, 'Week 1'!$A:$A, 'Week 1'!$I:$I), "")</f>
        <v>40</v>
      </c>
      <c r="AN3" s="153">
        <f t="shared" ref="AN3:AN9" si="14">iferror(IF(AH3&gt;0, (AH3/(AH3+AM3)), ""),"")</f>
        <v>0.3333333333</v>
      </c>
      <c r="AO3" s="151" t="s">
        <v>5</v>
      </c>
      <c r="AP3" s="2" t="str">
        <f t="shared" ref="AP3:AP9" si="15">ifna(if(AW3&lt;&gt;"", "Yes", ""), "")</f>
        <v>Yes</v>
      </c>
      <c r="AQ3" s="152" t="str">
        <f t="array" ref="AQ3">ifna(xlookup(AO2, 'Week 1'!$A:$A, 'Week 1'!$B:$B), "")</f>
        <v>Loss</v>
      </c>
      <c r="AR3" s="152">
        <f t="array" ref="AR3">ifna(xlookup(AO2, 'Week 1'!$A:$A, 'Week 1'!$D:$D), "")</f>
        <v>18</v>
      </c>
      <c r="AS3" s="152">
        <f t="array" ref="AS3">ifna(xlookup(AO2, 'Week 1'!$A:$A, 'Week 1'!$G:$G), "")</f>
        <v>3</v>
      </c>
      <c r="AT3" s="152">
        <f t="array" ref="AT3">ifna(xlookup(AO2, 'Week 1'!$A:$A, 'Week 1'!$H:$H), "")</f>
        <v>2</v>
      </c>
      <c r="AU3" s="152">
        <f t="array" ref="AU3">ifna(xlookup(AO2, 'Week 1'!$A:$A, 'Week 1'!$E:$E), "")</f>
        <v>8</v>
      </c>
      <c r="AV3" s="152">
        <f t="array" ref="AV3">ifna(xlookup(AO2, 'Week 1'!$A:$A, 'Week 1'!$F:$F), "")</f>
        <v>5</v>
      </c>
      <c r="AW3" s="152">
        <f t="array" ref="AW3">ifna(xlookup(AO2, 'Week 1'!$A:$A, 'Week 1'!$I:$I), "")</f>
        <v>24</v>
      </c>
      <c r="AX3" s="153">
        <f t="shared" ref="AX3:AX9" si="16">iferror(IF(AR3&gt;0, (AR3/(AR3+AW3)), ""),"")</f>
        <v>0.4285714286</v>
      </c>
      <c r="AY3" s="151" t="s">
        <v>5</v>
      </c>
      <c r="AZ3" s="2" t="str">
        <f t="shared" ref="AZ3:AZ9" si="17">ifna(if(BG3&lt;&gt;"", "Yes", ""), "")</f>
        <v>Yes</v>
      </c>
      <c r="BA3" s="152" t="str">
        <f t="array" ref="BA3">ifna(xlookup(AY2, 'Week 1'!$A:$A, 'Week 1'!$B:$B), "")</f>
        <v>Win</v>
      </c>
      <c r="BB3" s="152">
        <f t="array" ref="BB3">ifna(xlookup(AY2, 'Week 1'!$A:$A, 'Week 1'!$D:$D), "")</f>
        <v>22</v>
      </c>
      <c r="BC3" s="152">
        <f t="array" ref="BC3">ifna(xlookup(AY2, 'Week 1'!$A:$A, 'Week 1'!$G:$G), "")</f>
        <v>7</v>
      </c>
      <c r="BD3" s="152">
        <f t="array" ref="BD3">ifna(xlookup(AY2, 'Week 1'!$A:$A, 'Week 1'!$H:$H), "")</f>
        <v>2</v>
      </c>
      <c r="BE3" s="152">
        <f t="array" ref="BE3">ifna(xlookup(AY2, 'Week 1'!$A:$A, 'Week 1'!$E:$E), "")</f>
        <v>11</v>
      </c>
      <c r="BF3" s="152">
        <f t="array" ref="BF3">ifna(xlookup(AY2, 'Week 1'!$A:$A, 'Week 1'!$F:$F), "")</f>
        <v>2</v>
      </c>
      <c r="BG3" s="152">
        <f t="array" ref="BG3">ifna(xlookup(AY2, 'Week 1'!$A:$A, 'Week 1'!$I:$I), "")</f>
        <v>21</v>
      </c>
      <c r="BH3" s="153">
        <f t="shared" ref="BH3:BH9" si="18">iferror(IF(BB3&gt;0, (BB3/(BB3+BG3)), ""),"")</f>
        <v>0.511627907</v>
      </c>
      <c r="BI3" s="8"/>
      <c r="BJ3" s="8"/>
      <c r="BK3" s="8"/>
      <c r="BL3" s="8"/>
    </row>
    <row r="4">
      <c r="A4" s="151" t="s">
        <v>7</v>
      </c>
      <c r="B4" s="2" t="str">
        <f t="shared" si="7"/>
        <v>Yes</v>
      </c>
      <c r="C4" s="152" t="str">
        <f t="array" ref="C4">ifna(xlookup(A2, 'Week 2'!$A:$A, 'Week 2'!$B:$B), "")</f>
        <v>Loss</v>
      </c>
      <c r="D4" s="152">
        <f t="array" ref="D4">ifna(xlookup(A2, 'Week 2'!$A:$A, 'Week 2'!$D:$D), "")</f>
        <v>11</v>
      </c>
      <c r="E4" s="152">
        <f t="array" ref="E4">ifna(xlookup(A2, 'Week 2'!$A:$A, 'Week 2'!$G:$G), "")</f>
        <v>5</v>
      </c>
      <c r="F4" s="152">
        <f t="array" ref="F4">ifna(xlookup(A2, 'Week 2'!$A:$A, 'Week 2'!$H:$H), "")</f>
        <v>2</v>
      </c>
      <c r="G4" s="152">
        <f t="array" ref="G4">ifna(xlookup(A2, 'Week 2'!$A:$A, 'Week 2'!$E:$E), "")</f>
        <v>4</v>
      </c>
      <c r="H4" s="152">
        <f t="array" ref="H4">ifna(xlookup(A2, 'Week 2'!$A:$A, 'Week 2'!$F:$F), "")</f>
        <v>0</v>
      </c>
      <c r="I4" s="152">
        <f t="array" ref="I4">ifna(xlookup(A2, 'Week 2'!$A:$A, 'Week 2'!$I:$I), "")</f>
        <v>24</v>
      </c>
      <c r="J4" s="153">
        <f t="shared" si="8"/>
        <v>0.3142857143</v>
      </c>
      <c r="K4" s="151" t="s">
        <v>7</v>
      </c>
      <c r="L4" s="2" t="str">
        <f t="shared" si="9"/>
        <v>Yes</v>
      </c>
      <c r="M4" s="152" t="str">
        <f t="array" ref="M4">ifna(xlookup(K2, 'Week 2'!$A:$A, 'Week 2'!$B:$B), "")</f>
        <v>Loss</v>
      </c>
      <c r="N4" s="152">
        <f t="array" ref="N4">ifna(xlookup(K2, 'Week 2'!$A:$A, 'Week 2'!$D:$D), "")</f>
        <v>12</v>
      </c>
      <c r="O4" s="152">
        <f t="array" ref="O4">ifna(xlookup(K2, 'Week 2'!$A:$A, 'Week 2'!$G:$G), "")</f>
        <v>4</v>
      </c>
      <c r="P4" s="152">
        <f t="array" ref="P4">ifna(xlookup(K2, 'Week 2'!$A:$A, 'Week 2'!$H:$H), "")</f>
        <v>0</v>
      </c>
      <c r="Q4" s="152">
        <f t="array" ref="Q4">ifna(xlookup(K2, 'Week 2'!$A:$A, 'Week 2'!$E:$E), "")</f>
        <v>8</v>
      </c>
      <c r="R4" s="152">
        <f t="array" ref="R4">ifna(xlookup(K2, 'Week 2'!$A:$A, 'Week 2'!$F:$F), "")</f>
        <v>0</v>
      </c>
      <c r="S4" s="152">
        <f t="array" ref="S4">ifna(xlookup(K2, 'Week 2'!$A:$A, 'Week 2'!$I:$I), "")</f>
        <v>23</v>
      </c>
      <c r="T4" s="153">
        <f t="shared" si="10"/>
        <v>0.3428571429</v>
      </c>
      <c r="U4" s="151" t="s">
        <v>7</v>
      </c>
      <c r="V4" s="2" t="str">
        <f t="shared" si="11"/>
        <v>Yes</v>
      </c>
      <c r="W4" s="152" t="str">
        <f t="array" ref="W4">ifna(xlookup(U2, 'Week 2'!$A:$A, 'Week 2'!$B:$B), "")</f>
        <v>Win</v>
      </c>
      <c r="X4" s="152">
        <f t="array" ref="X4">ifna(xlookup(U2, 'Week 2'!$A:$A, 'Week 2'!$D:$D), "")</f>
        <v>20</v>
      </c>
      <c r="Y4" s="152">
        <f t="array" ref="Y4">ifna(xlookup(U2, 'Week 2'!$A:$A, 'Week 2'!$G:$G), "")</f>
        <v>15</v>
      </c>
      <c r="Z4" s="152">
        <f t="array" ref="Z4">ifna(xlookup(U2, 'Week 2'!$A:$A, 'Week 2'!$H:$H), "")</f>
        <v>1</v>
      </c>
      <c r="AA4" s="152">
        <f t="array" ref="AA4">ifna(xlookup(U2, 'Week 2'!$A:$A, 'Week 2'!$E:$E), "")</f>
        <v>3</v>
      </c>
      <c r="AB4" s="152">
        <f t="array" ref="AB4">ifna(xlookup(U2, 'Week 2'!$A:$A, 'Week 2'!$F:$F), "")</f>
        <v>1</v>
      </c>
      <c r="AC4" s="152">
        <f t="array" ref="AC4">ifna(xlookup(U2, 'Week 2'!$A:$A, 'Week 2'!$I:$I), "")</f>
        <v>24</v>
      </c>
      <c r="AD4" s="153">
        <f t="shared" si="12"/>
        <v>0.4545454545</v>
      </c>
      <c r="AE4" s="151" t="s">
        <v>7</v>
      </c>
      <c r="AF4" s="2" t="str">
        <f t="shared" si="13"/>
        <v>Yes</v>
      </c>
      <c r="AG4" s="152" t="str">
        <f t="array" ref="AG4">ifna(xlookup(AE2, 'Week 2'!$A:$A, 'Week 2'!$B:$B), "")</f>
        <v>Loss</v>
      </c>
      <c r="AH4" s="152">
        <f t="array" ref="AH4">ifna(xlookup(AE2, 'Week 2'!$A:$A, 'Week 2'!$D:$D), "")</f>
        <v>20</v>
      </c>
      <c r="AI4" s="152">
        <f t="array" ref="AI4">ifna(xlookup(AE2, 'Week 2'!$A:$A, 'Week 2'!$G:$G), "")</f>
        <v>6</v>
      </c>
      <c r="AJ4" s="152">
        <f t="array" ref="AJ4">ifna(xlookup(AE2, 'Week 2'!$A:$A, 'Week 2'!$H:$H), "")</f>
        <v>5</v>
      </c>
      <c r="AK4" s="152">
        <f t="array" ref="AK4">ifna(xlookup(AE2, 'Week 2'!$A:$A, 'Week 2'!$E:$E), "")</f>
        <v>6</v>
      </c>
      <c r="AL4" s="152">
        <f t="array" ref="AL4">ifna(xlookup(AE2, 'Week 2'!$A:$A, 'Week 2'!$F:$F), "")</f>
        <v>3</v>
      </c>
      <c r="AM4" s="152">
        <f t="array" ref="AM4">ifna(xlookup(AE2, 'Week 2'!$A:$A, 'Week 2'!$I:$I), "")</f>
        <v>21</v>
      </c>
      <c r="AN4" s="153">
        <f t="shared" si="14"/>
        <v>0.487804878</v>
      </c>
      <c r="AO4" s="151" t="s">
        <v>7</v>
      </c>
      <c r="AP4" s="2" t="str">
        <f t="shared" si="15"/>
        <v>Yes</v>
      </c>
      <c r="AQ4" s="152" t="str">
        <f t="array" ref="AQ4">ifna(xlookup(AO2, 'Week 2'!$A:$A, 'Week 2'!$B:$B), "")</f>
        <v>Win</v>
      </c>
      <c r="AR4" s="152">
        <f t="array" ref="AR4">ifna(xlookup(AO2, 'Week 2'!$A:$A, 'Week 2'!$D:$D), "")</f>
        <v>20</v>
      </c>
      <c r="AS4" s="152">
        <f t="array" ref="AS4">ifna(xlookup(AO2, 'Week 2'!$A:$A, 'Week 2'!$G:$G), "")</f>
        <v>13</v>
      </c>
      <c r="AT4" s="152">
        <f t="array" ref="AT4">ifna(xlookup(AO2, 'Week 2'!$A:$A, 'Week 2'!$H:$H), "")</f>
        <v>0</v>
      </c>
      <c r="AU4" s="152">
        <f t="array" ref="AU4">ifna(xlookup(AO2, 'Week 2'!$A:$A, 'Week 2'!$E:$E), "")</f>
        <v>6</v>
      </c>
      <c r="AV4" s="152">
        <f t="array" ref="AV4">ifna(xlookup(AO2, 'Week 2'!$A:$A, 'Week 2'!$F:$F), "")</f>
        <v>1</v>
      </c>
      <c r="AW4" s="152">
        <f t="array" ref="AW4">ifna(xlookup(AO2, 'Week 2'!$A:$A, 'Week 2'!$I:$I), "")</f>
        <v>21</v>
      </c>
      <c r="AX4" s="153">
        <f t="shared" si="16"/>
        <v>0.487804878</v>
      </c>
      <c r="AY4" s="151" t="s">
        <v>7</v>
      </c>
      <c r="AZ4" s="2" t="str">
        <f t="shared" si="17"/>
        <v>Yes</v>
      </c>
      <c r="BA4" s="152" t="str">
        <f t="array" ref="BA4">ifna(xlookup(AY2, 'Week 2'!$A:$A, 'Week 2'!$B:$B), "")</f>
        <v>Win</v>
      </c>
      <c r="BB4" s="152">
        <f t="array" ref="BB4">ifna(xlookup(AY2, 'Week 2'!$A:$A, 'Week 2'!$D:$D), "")</f>
        <v>24</v>
      </c>
      <c r="BC4" s="152">
        <f t="array" ref="BC4">ifna(xlookup(AY2, 'Week 2'!$A:$A, 'Week 2'!$G:$G), "")</f>
        <v>14</v>
      </c>
      <c r="BD4" s="152">
        <f t="array" ref="BD4">ifna(xlookup(AY2, 'Week 2'!$A:$A, 'Week 2'!$H:$H), "")</f>
        <v>0</v>
      </c>
      <c r="BE4" s="152">
        <f t="array" ref="BE4">ifna(xlookup(AY2, 'Week 2'!$A:$A, 'Week 2'!$E:$E), "")</f>
        <v>8</v>
      </c>
      <c r="BF4" s="152">
        <f t="array" ref="BF4">ifna(xlookup(AY2, 'Week 2'!$A:$A, 'Week 2'!$F:$F), "")</f>
        <v>2</v>
      </c>
      <c r="BG4" s="152">
        <f t="array" ref="BG4">ifna(xlookup(AY2, 'Week 2'!$A:$A, 'Week 2'!$I:$I), "")</f>
        <v>19</v>
      </c>
      <c r="BH4" s="153">
        <f t="shared" si="18"/>
        <v>0.5581395349</v>
      </c>
      <c r="BI4" s="8"/>
      <c r="BJ4" s="8"/>
      <c r="BK4" s="8"/>
      <c r="BL4" s="8"/>
    </row>
    <row r="5">
      <c r="A5" s="151" t="s">
        <v>12</v>
      </c>
      <c r="B5" s="2" t="str">
        <f t="shared" si="7"/>
        <v>Yes</v>
      </c>
      <c r="C5" s="152" t="str">
        <f t="array" ref="C5">ifna(xlookup(A2, 'Week 3'!$A:$A, 'Week 3'!$B:$B), "")</f>
        <v>Loss</v>
      </c>
      <c r="D5" s="152">
        <f t="array" ref="D5">ifna(xlookup(A2, 'Week 3'!$A:$A, 'Week 3'!$D:$D), "")</f>
        <v>12</v>
      </c>
      <c r="E5" s="152">
        <f t="array" ref="E5">ifna(xlookup(A2, 'Week 3'!$A:$A, 'Week 3'!$G:$G), "")</f>
        <v>10</v>
      </c>
      <c r="F5" s="152">
        <f t="array" ref="F5">ifna(xlookup(A2, 'Week 3'!$A:$A, 'Week 3'!$H:$H), "")</f>
        <v>0</v>
      </c>
      <c r="G5" s="152">
        <f t="array" ref="G5">ifna(xlookup(A2, 'Week 3'!$A:$A, 'Week 3'!$E:$E), "")</f>
        <v>2</v>
      </c>
      <c r="H5" s="152">
        <f t="array" ref="H5">ifna(xlookup(A2, 'Week 3'!$A:$A, 'Week 3'!$F:$F), "")</f>
        <v>0</v>
      </c>
      <c r="I5" s="152">
        <f t="array" ref="I5">ifna(xlookup(A2, 'Week 3'!$A:$A, 'Week 3'!$I:$I), "")</f>
        <v>29</v>
      </c>
      <c r="J5" s="153">
        <f t="shared" si="8"/>
        <v>0.2926829268</v>
      </c>
      <c r="K5" s="151" t="s">
        <v>12</v>
      </c>
      <c r="L5" s="2" t="str">
        <f t="shared" si="9"/>
        <v>Yes</v>
      </c>
      <c r="M5" s="152" t="str">
        <f t="array" ref="M5">ifna(xlookup(K2, 'Week 3'!$A:$A, 'Week 3'!$B:$B), "")</f>
        <v>Win</v>
      </c>
      <c r="N5" s="152">
        <f t="array" ref="N5">ifna(xlookup(K2, 'Week 3'!$A:$A, 'Week 3'!$D:$D), "")</f>
        <v>22</v>
      </c>
      <c r="O5" s="152">
        <f t="array" ref="O5">ifna(xlookup(K2, 'Week 3'!$A:$A, 'Week 3'!$G:$G), "")</f>
        <v>6</v>
      </c>
      <c r="P5" s="152">
        <f t="array" ref="P5">ifna(xlookup(K2, 'Week 3'!$A:$A, 'Week 3'!$H:$H), "")</f>
        <v>0</v>
      </c>
      <c r="Q5" s="152">
        <f t="array" ref="Q5">ifna(xlookup(K2, 'Week 3'!$A:$A, 'Week 3'!$E:$E), "")</f>
        <v>16</v>
      </c>
      <c r="R5" s="152">
        <f t="array" ref="R5">ifna(xlookup(K2, 'Week 3'!$A:$A, 'Week 3'!$F:$F), "")</f>
        <v>0</v>
      </c>
      <c r="S5" s="152">
        <f t="array" ref="S5">ifna(xlookup(K2, 'Week 3'!$A:$A, 'Week 3'!$I:$I), "")</f>
        <v>28</v>
      </c>
      <c r="T5" s="153">
        <f t="shared" si="10"/>
        <v>0.44</v>
      </c>
      <c r="U5" s="151" t="s">
        <v>12</v>
      </c>
      <c r="V5" s="2" t="str">
        <f t="shared" si="11"/>
        <v>Yes</v>
      </c>
      <c r="W5" s="152" t="str">
        <f t="array" ref="W5">ifna(xlookup(U2, 'Week 3'!$A:$A, 'Week 3'!$B:$B), "")</f>
        <v>Win</v>
      </c>
      <c r="X5" s="152">
        <f t="array" ref="X5">ifna(xlookup(U2, 'Week 3'!$A:$A, 'Week 3'!$D:$D), "")</f>
        <v>19</v>
      </c>
      <c r="Y5" s="152">
        <f t="array" ref="Y5">ifna(xlookup(U2, 'Week 3'!$A:$A, 'Week 3'!$G:$G), "")</f>
        <v>9</v>
      </c>
      <c r="Z5" s="152">
        <f t="array" ref="Z5">ifna(xlookup(U2, 'Week 3'!$A:$A, 'Week 3'!$H:$H), "")</f>
        <v>3</v>
      </c>
      <c r="AA5" s="152">
        <f t="array" ref="AA5">ifna(xlookup(U2, 'Week 3'!$A:$A, 'Week 3'!$E:$E), "")</f>
        <v>4</v>
      </c>
      <c r="AB5" s="152">
        <f t="array" ref="AB5">ifna(xlookup(U2, 'Week 3'!$A:$A, 'Week 3'!$F:$F), "")</f>
        <v>3</v>
      </c>
      <c r="AC5" s="152">
        <f t="array" ref="AC5">ifna(xlookup(U2, 'Week 3'!$A:$A, 'Week 3'!$I:$I), "")</f>
        <v>21</v>
      </c>
      <c r="AD5" s="153">
        <f t="shared" si="12"/>
        <v>0.475</v>
      </c>
      <c r="AE5" s="151" t="s">
        <v>12</v>
      </c>
      <c r="AF5" s="2" t="str">
        <f t="shared" si="13"/>
        <v>Yes</v>
      </c>
      <c r="AG5" s="152" t="str">
        <f t="array" ref="AG5">ifna(xlookup(AE2, 'Week 3'!$A:$A, 'Week 3'!$B:$B), "")</f>
        <v>Loss</v>
      </c>
      <c r="AH5" s="152">
        <f t="array" ref="AH5">ifna(xlookup(AE2, 'Week 3'!$A:$A, 'Week 3'!$D:$D), "")</f>
        <v>17</v>
      </c>
      <c r="AI5" s="152">
        <f t="array" ref="AI5">ifna(xlookup(AE2, 'Week 3'!$A:$A, 'Week 3'!$G:$G), "")</f>
        <v>5</v>
      </c>
      <c r="AJ5" s="152">
        <f t="array" ref="AJ5">ifna(xlookup(AE2, 'Week 3'!$A:$A, 'Week 3'!$H:$H), "")</f>
        <v>3</v>
      </c>
      <c r="AK5" s="152">
        <f t="array" ref="AK5">ifna(xlookup(AE2, 'Week 3'!$A:$A, 'Week 3'!$E:$E), "")</f>
        <v>8</v>
      </c>
      <c r="AL5" s="152">
        <f t="array" ref="AL5">ifna(xlookup(AE2, 'Week 3'!$A:$A, 'Week 3'!$F:$F), "")</f>
        <v>1</v>
      </c>
      <c r="AM5" s="152">
        <f t="array" ref="AM5">ifna(xlookup(AE2, 'Week 3'!$A:$A, 'Week 3'!$I:$I), "")</f>
        <v>30</v>
      </c>
      <c r="AN5" s="153">
        <f t="shared" si="14"/>
        <v>0.3617021277</v>
      </c>
      <c r="AO5" s="151" t="s">
        <v>12</v>
      </c>
      <c r="AP5" s="2" t="str">
        <f t="shared" si="15"/>
        <v>Yes</v>
      </c>
      <c r="AQ5" s="152" t="str">
        <f t="array" ref="AQ5">ifna(xlookup(AO2, 'Week 3'!$A:$A, 'Week 3'!$B:$B), "")</f>
        <v>Win</v>
      </c>
      <c r="AR5" s="152">
        <f t="array" ref="AR5">ifna(xlookup(AO2, 'Week 3'!$A:$A, 'Week 3'!$D:$D), "")</f>
        <v>24</v>
      </c>
      <c r="AS5" s="152">
        <f t="array" ref="AS5">ifna(xlookup(AO2, 'Week 3'!$A:$A, 'Week 3'!$G:$G), "")</f>
        <v>5</v>
      </c>
      <c r="AT5" s="152">
        <f t="array" ref="AT5">ifna(xlookup(AO2, 'Week 3'!$A:$A, 'Week 3'!$H:$H), "")</f>
        <v>4</v>
      </c>
      <c r="AU5" s="152">
        <f t="array" ref="AU5">ifna(xlookup(AO2, 'Week 3'!$A:$A, 'Week 3'!$E:$E), "")</f>
        <v>12</v>
      </c>
      <c r="AV5" s="152">
        <f t="array" ref="AV5">ifna(xlookup(AO2, 'Week 3'!$A:$A, 'Week 3'!$F:$F), "")</f>
        <v>3</v>
      </c>
      <c r="AW5" s="152">
        <f t="array" ref="AW5">ifna(xlookup(AO2, 'Week 3'!$A:$A, 'Week 3'!$I:$I), "")</f>
        <v>24</v>
      </c>
      <c r="AX5" s="153">
        <f t="shared" si="16"/>
        <v>0.5</v>
      </c>
      <c r="AY5" s="151" t="s">
        <v>12</v>
      </c>
      <c r="AZ5" s="2" t="str">
        <f t="shared" si="17"/>
        <v>Yes</v>
      </c>
      <c r="BA5" s="152" t="str">
        <f t="array" ref="BA5">ifna(xlookup(AY2, 'Week 3'!$A:$A, 'Week 3'!$B:$B), "")</f>
        <v>Loss</v>
      </c>
      <c r="BB5" s="152">
        <f t="array" ref="BB5">ifna(xlookup(AY2, 'Week 3'!$A:$A, 'Week 3'!$D:$D), "")</f>
        <v>14</v>
      </c>
      <c r="BC5" s="152">
        <f t="array" ref="BC5">ifna(xlookup(AY2, 'Week 3'!$A:$A, 'Week 3'!$G:$G), "")</f>
        <v>1</v>
      </c>
      <c r="BD5" s="152">
        <f t="array" ref="BD5">ifna(xlookup(AY2, 'Week 3'!$A:$A, 'Week 3'!$H:$H), "")</f>
        <v>0</v>
      </c>
      <c r="BE5" s="152">
        <f t="array" ref="BE5">ifna(xlookup(AY2, 'Week 3'!$A:$A, 'Week 3'!$E:$E), "")</f>
        <v>13</v>
      </c>
      <c r="BF5" s="152">
        <f t="array" ref="BF5">ifna(xlookup(AY2, 'Week 3'!$A:$A, 'Week 3'!$F:$F), "")</f>
        <v>0</v>
      </c>
      <c r="BG5" s="152">
        <f t="array" ref="BG5">ifna(xlookup(AY2, 'Week 3'!$A:$A, 'Week 3'!$I:$I), "")</f>
        <v>24</v>
      </c>
      <c r="BH5" s="153">
        <f t="shared" si="18"/>
        <v>0.3684210526</v>
      </c>
      <c r="BI5" s="8"/>
      <c r="BJ5" s="8"/>
      <c r="BK5" s="8"/>
      <c r="BL5" s="8"/>
    </row>
    <row r="6">
      <c r="A6" s="151" t="s">
        <v>17</v>
      </c>
      <c r="B6" s="2" t="str">
        <f t="shared" si="7"/>
        <v/>
      </c>
      <c r="C6" s="152" t="str">
        <f t="array" ref="C6">ifna(xlookup(A2, 'Week 4'!$A:$A, 'Week 4'!$B:$B), "")</f>
        <v>Win</v>
      </c>
      <c r="D6" s="152" t="str">
        <f t="array" ref="D6">ifna(xlookup(A2, 'Week 4'!$A:$A, 'Week 4'!$D:$D), "")</f>
        <v/>
      </c>
      <c r="E6" s="152" t="str">
        <f t="array" ref="E6">ifna(xlookup(A2, 'Week 4'!$A:$A, 'Week 4'!$G:$G), "")</f>
        <v/>
      </c>
      <c r="F6" s="152" t="str">
        <f t="array" ref="F6">ifna(xlookup(A2, 'Week 4'!$A:$A, 'Week 4'!$H:$H), "")</f>
        <v/>
      </c>
      <c r="G6" s="152" t="str">
        <f t="array" ref="G6">ifna(xlookup(A2, 'Week 4'!$A:$A, 'Week 4'!$E:$E), "")</f>
        <v/>
      </c>
      <c r="H6" s="152" t="str">
        <f t="array" ref="H6">ifna(xlookup(A2, 'Week 4'!$A:$A, 'Week 4'!$F:$F), "")</f>
        <v/>
      </c>
      <c r="I6" s="152" t="str">
        <f t="array" ref="I6">ifna(xlookup(A2, 'Week 4'!$A:$A, 'Week 4'!$I:$I), "")</f>
        <v/>
      </c>
      <c r="J6" s="153" t="str">
        <f t="shared" si="8"/>
        <v/>
      </c>
      <c r="K6" s="151" t="s">
        <v>17</v>
      </c>
      <c r="L6" s="2" t="str">
        <f t="shared" si="9"/>
        <v>Yes</v>
      </c>
      <c r="M6" s="152" t="str">
        <f t="array" ref="M6">ifna(xlookup(K2, 'Week 4'!$A:$A, 'Week 4'!$B:$B), "")</f>
        <v>Loss</v>
      </c>
      <c r="N6" s="152">
        <f t="array" ref="N6">ifna(xlookup(K2, 'Week 4'!$A:$A, 'Week 4'!$D:$D), "")</f>
        <v>15</v>
      </c>
      <c r="O6" s="152">
        <f t="array" ref="O6">ifna(xlookup(K2, 'Week 4'!$A:$A, 'Week 4'!$G:$G), "")</f>
        <v>7</v>
      </c>
      <c r="P6" s="152">
        <f t="array" ref="P6">ifna(xlookup(K2, 'Week 4'!$A:$A, 'Week 4'!$H:$H), "")</f>
        <v>2</v>
      </c>
      <c r="Q6" s="152">
        <f t="array" ref="Q6">ifna(xlookup(K2, 'Week 4'!$A:$A, 'Week 4'!$E:$E), "")</f>
        <v>6</v>
      </c>
      <c r="R6" s="152">
        <f t="array" ref="R6">ifna(xlookup(K2, 'Week 4'!$A:$A, 'Week 4'!$F:$F), "")</f>
        <v>0</v>
      </c>
      <c r="S6" s="152">
        <f t="array" ref="S6">ifna(xlookup(K2, 'Week 4'!$A:$A, 'Week 4'!$I:$I), "")</f>
        <v>30</v>
      </c>
      <c r="T6" s="153">
        <f t="shared" si="10"/>
        <v>0.3333333333</v>
      </c>
      <c r="U6" s="151" t="s">
        <v>17</v>
      </c>
      <c r="V6" s="2" t="str">
        <f t="shared" si="11"/>
        <v>Yes</v>
      </c>
      <c r="W6" s="152" t="str">
        <f t="array" ref="W6">ifna(xlookup(U2, 'Week 4'!$A:$A, 'Week 4'!$B:$B), "")</f>
        <v>Loss</v>
      </c>
      <c r="X6" s="152">
        <f t="array" ref="X6">ifna(xlookup(U2, 'Week 4'!$A:$A, 'Week 4'!$D:$D), "")</f>
        <v>15</v>
      </c>
      <c r="Y6" s="152">
        <f t="array" ref="Y6">ifna(xlookup(U2, 'Week 4'!$A:$A, 'Week 4'!$G:$G), "")</f>
        <v>9</v>
      </c>
      <c r="Z6" s="152">
        <f t="array" ref="Z6">ifna(xlookup(U2, 'Week 4'!$A:$A, 'Week 4'!$H:$H), "")</f>
        <v>1</v>
      </c>
      <c r="AA6" s="152">
        <f t="array" ref="AA6">ifna(xlookup(U2, 'Week 4'!$A:$A, 'Week 4'!$E:$E), "")</f>
        <v>5</v>
      </c>
      <c r="AB6" s="152">
        <f t="array" ref="AB6">ifna(xlookup(U2, 'Week 4'!$A:$A, 'Week 4'!$F:$F), "")</f>
        <v>0</v>
      </c>
      <c r="AC6" s="152">
        <f t="array" ref="AC6">ifna(xlookup(U2, 'Week 4'!$A:$A, 'Week 4'!$I:$I), "")</f>
        <v>20</v>
      </c>
      <c r="AD6" s="153">
        <f t="shared" si="12"/>
        <v>0.4285714286</v>
      </c>
      <c r="AE6" s="151" t="s">
        <v>17</v>
      </c>
      <c r="AF6" s="2" t="str">
        <f t="shared" si="13"/>
        <v>Yes</v>
      </c>
      <c r="AG6" s="152" t="str">
        <f t="array" ref="AG6">ifna(xlookup(AE2, 'Week 4'!$A:$A, 'Week 4'!$B:$B), "")</f>
        <v>Win</v>
      </c>
      <c r="AH6" s="152">
        <f t="array" ref="AH6">ifna(xlookup(AE2, 'Week 4'!$A:$A, 'Week 4'!$D:$D), "")</f>
        <v>25</v>
      </c>
      <c r="AI6" s="152">
        <f t="array" ref="AI6">ifna(xlookup(AE2, 'Week 4'!$A:$A, 'Week 4'!$G:$G), "")</f>
        <v>9</v>
      </c>
      <c r="AJ6" s="152">
        <f t="array" ref="AJ6">ifna(xlookup(AE2, 'Week 4'!$A:$A, 'Week 4'!$H:$H), "")</f>
        <v>4</v>
      </c>
      <c r="AK6" s="152">
        <f t="array" ref="AK6">ifna(xlookup(AE2, 'Week 4'!$A:$A, 'Week 4'!$E:$E), "")</f>
        <v>9</v>
      </c>
      <c r="AL6" s="152">
        <f t="array" ref="AL6">ifna(xlookup(AE2, 'Week 4'!$A:$A, 'Week 4'!$F:$F), "")</f>
        <v>3</v>
      </c>
      <c r="AM6" s="152">
        <f t="array" ref="AM6">ifna(xlookup(AE2, 'Week 4'!$A:$A, 'Week 4'!$I:$I), "")</f>
        <v>25</v>
      </c>
      <c r="AN6" s="153">
        <f t="shared" si="14"/>
        <v>0.5</v>
      </c>
      <c r="AO6" s="151" t="s">
        <v>17</v>
      </c>
      <c r="AP6" s="2" t="str">
        <f t="shared" si="15"/>
        <v>Yes</v>
      </c>
      <c r="AQ6" s="152" t="str">
        <f t="array" ref="AQ6">ifna(xlookup(AO2, 'Week 4'!$A:$A, 'Week 4'!$B:$B), "")</f>
        <v>Win</v>
      </c>
      <c r="AR6" s="152">
        <f t="array" ref="AR6">ifna(xlookup(AO2, 'Week 4'!$A:$A, 'Week 4'!$D:$D), "")</f>
        <v>27</v>
      </c>
      <c r="AS6" s="152">
        <f t="array" ref="AS6">ifna(xlookup(AO2, 'Week 4'!$A:$A, 'Week 4'!$G:$G), "")</f>
        <v>10</v>
      </c>
      <c r="AT6" s="152">
        <f t="array" ref="AT6">ifna(xlookup(AO2, 'Week 4'!$A:$A, 'Week 4'!$H:$H), "")</f>
        <v>3</v>
      </c>
      <c r="AU6" s="152">
        <f t="array" ref="AU6">ifna(xlookup(AO2, 'Week 4'!$A:$A, 'Week 4'!$E:$E), "")</f>
        <v>9</v>
      </c>
      <c r="AV6" s="152">
        <f t="array" ref="AV6">ifna(xlookup(AO2, 'Week 4'!$A:$A, 'Week 4'!$F:$F), "")</f>
        <v>5</v>
      </c>
      <c r="AW6" s="152">
        <f t="array" ref="AW6">ifna(xlookup(AO2, 'Week 4'!$A:$A, 'Week 4'!$I:$I), "")</f>
        <v>20</v>
      </c>
      <c r="AX6" s="153">
        <f t="shared" si="16"/>
        <v>0.5744680851</v>
      </c>
      <c r="AY6" s="151" t="s">
        <v>17</v>
      </c>
      <c r="AZ6" s="2" t="str">
        <f t="shared" si="17"/>
        <v>Yes</v>
      </c>
      <c r="BA6" s="152" t="str">
        <f t="array" ref="BA6">ifna(xlookup(AY2, 'Week 4'!$A:$A, 'Week 4'!$B:$B), "")</f>
        <v>Loss</v>
      </c>
      <c r="BB6" s="152">
        <f t="array" ref="BB6">ifna(xlookup(AY2, 'Week 4'!$A:$A, 'Week 4'!$D:$D), "")</f>
        <v>11</v>
      </c>
      <c r="BC6" s="152">
        <f t="array" ref="BC6">ifna(xlookup(AY2, 'Week 4'!$A:$A, 'Week 4'!$G:$G), "")</f>
        <v>4</v>
      </c>
      <c r="BD6" s="152">
        <f t="array" ref="BD6">ifna(xlookup(AY2, 'Week 4'!$A:$A, 'Week 4'!$H:$H), "")</f>
        <v>2</v>
      </c>
      <c r="BE6" s="152">
        <f t="array" ref="BE6">ifna(xlookup(AY2, 'Week 4'!$A:$A, 'Week 4'!$E:$E), "")</f>
        <v>5</v>
      </c>
      <c r="BF6" s="152">
        <f t="array" ref="BF6">ifna(xlookup(AY2, 'Week 4'!$A:$A, 'Week 4'!$F:$F), "")</f>
        <v>0</v>
      </c>
      <c r="BG6" s="152">
        <f t="array" ref="BG6">ifna(xlookup(AY2, 'Week 4'!$A:$A, 'Week 4'!$I:$I), "")</f>
        <v>24</v>
      </c>
      <c r="BH6" s="153">
        <f t="shared" si="18"/>
        <v>0.3142857143</v>
      </c>
      <c r="BI6" s="8"/>
      <c r="BJ6" s="8"/>
      <c r="BK6" s="8"/>
      <c r="BL6" s="8"/>
    </row>
    <row r="7">
      <c r="A7" s="151" t="s">
        <v>20</v>
      </c>
      <c r="B7" s="2" t="str">
        <f t="shared" si="7"/>
        <v/>
      </c>
      <c r="C7" s="152" t="str">
        <f t="array" ref="C7">ifna(xlookup(A2, 'Week 5'!$A:$A, 'Week 5'!$B:$B), "")</f>
        <v>Loss</v>
      </c>
      <c r="D7" s="152" t="str">
        <f t="array" ref="D7">ifna(xlookup(A2, 'Week 5'!$A:$A, 'Week 5'!$D:$D), "")</f>
        <v/>
      </c>
      <c r="E7" s="152" t="str">
        <f t="array" ref="E7">ifna(xlookup(A2, 'Week 5'!$A:$A, 'Week 5'!$G:$G), "")</f>
        <v/>
      </c>
      <c r="F7" s="152" t="str">
        <f t="array" ref="F7">ifna(xlookup(A2, 'Week 5'!$A:$A, 'Week 5'!$H:$H), "")</f>
        <v/>
      </c>
      <c r="G7" s="152" t="str">
        <f t="array" ref="G7">ifna(xlookup(A2, 'Week 5'!$A:$A, 'Week 5'!$E:$E), "")</f>
        <v/>
      </c>
      <c r="H7" s="152" t="str">
        <f t="array" ref="H7">ifna(xlookup(A2, 'Week 5'!$A:$A, 'Week 5'!$F:$F), "")</f>
        <v/>
      </c>
      <c r="I7" s="152" t="str">
        <f t="array" ref="I7">ifna(xlookup(A2, 'Week 5'!$A:$A, 'Week 5'!$I:$I), "")</f>
        <v/>
      </c>
      <c r="J7" s="153" t="str">
        <f t="shared" si="8"/>
        <v/>
      </c>
      <c r="K7" s="151" t="s">
        <v>20</v>
      </c>
      <c r="L7" s="2" t="str">
        <f t="shared" si="9"/>
        <v>Yes</v>
      </c>
      <c r="M7" s="152" t="str">
        <f t="array" ref="M7">ifna(xlookup(K2, 'Week 5'!$A:$A, 'Week 5'!$B:$B), "")</f>
        <v>Win</v>
      </c>
      <c r="N7" s="152">
        <f t="array" ref="N7">ifna(xlookup(K2, 'Week 5'!$A:$A, 'Week 5'!$D:$D), "")</f>
        <v>16</v>
      </c>
      <c r="O7" s="152">
        <f t="array" ref="O7">ifna(xlookup(K2, 'Week 5'!$A:$A, 'Week 5'!$G:$G), "")</f>
        <v>7</v>
      </c>
      <c r="P7" s="152">
        <f t="array" ref="P7">ifna(xlookup(K2, 'Week 5'!$A:$A, 'Week 5'!$H:$H), "")</f>
        <v>2</v>
      </c>
      <c r="Q7" s="152">
        <f t="array" ref="Q7">ifna(xlookup(K2, 'Week 5'!$A:$A, 'Week 5'!$E:$E), "")</f>
        <v>6</v>
      </c>
      <c r="R7" s="152">
        <f t="array" ref="R7">ifna(xlookup(K2, 'Week 5'!$A:$A, 'Week 5'!$F:$F), "")</f>
        <v>1</v>
      </c>
      <c r="S7" s="152">
        <f t="array" ref="S7">ifna(xlookup(K2, 'Week 5'!$A:$A, 'Week 5'!$I:$I), "")</f>
        <v>33</v>
      </c>
      <c r="T7" s="153">
        <f t="shared" si="10"/>
        <v>0.3265306122</v>
      </c>
      <c r="U7" s="151" t="s">
        <v>20</v>
      </c>
      <c r="V7" s="2" t="str">
        <f t="shared" si="11"/>
        <v>Yes</v>
      </c>
      <c r="W7" s="152" t="str">
        <f t="array" ref="W7">ifna(xlookup(U2, 'Week 5'!$A:$A, 'Week 5'!$B:$B), "")</f>
        <v>Loss</v>
      </c>
      <c r="X7" s="152">
        <f t="array" ref="X7">ifna(xlookup(U2, 'Week 5'!$A:$A, 'Week 5'!$D:$D), "")</f>
        <v>18</v>
      </c>
      <c r="Y7" s="152">
        <f t="array" ref="Y7">ifna(xlookup(U2, 'Week 5'!$A:$A, 'Week 5'!$G:$G), "")</f>
        <v>7</v>
      </c>
      <c r="Z7" s="152">
        <f t="array" ref="Z7">ifna(xlookup(U2, 'Week 5'!$A:$A, 'Week 5'!$H:$H), "")</f>
        <v>6</v>
      </c>
      <c r="AA7" s="152">
        <f t="array" ref="AA7">ifna(xlookup(U2, 'Week 5'!$A:$A, 'Week 5'!$E:$E), "")</f>
        <v>4</v>
      </c>
      <c r="AB7" s="152">
        <f t="array" ref="AB7">ifna(xlookup(U2, 'Week 5'!$A:$A, 'Week 5'!$F:$F), "")</f>
        <v>1</v>
      </c>
      <c r="AC7" s="152">
        <f t="array" ref="AC7">ifna(xlookup(U2, 'Week 5'!$A:$A, 'Week 5'!$I:$I), "")</f>
        <v>27</v>
      </c>
      <c r="AD7" s="153">
        <f t="shared" si="12"/>
        <v>0.4</v>
      </c>
      <c r="AE7" s="151" t="s">
        <v>20</v>
      </c>
      <c r="AF7" s="2" t="str">
        <f t="shared" si="13"/>
        <v>Yes</v>
      </c>
      <c r="AG7" s="152" t="str">
        <f t="array" ref="AG7">ifna(xlookup(AE2, 'Week 5'!$A:$A, 'Week 5'!$B:$B), "")</f>
        <v>Win</v>
      </c>
      <c r="AH7" s="152">
        <f t="array" ref="AH7">ifna(xlookup(AE2, 'Week 5'!$A:$A, 'Week 5'!$D:$D), "")</f>
        <v>23</v>
      </c>
      <c r="AI7" s="152">
        <f t="array" ref="AI7">ifna(xlookup(AE2, 'Week 5'!$A:$A, 'Week 5'!$G:$G), "")</f>
        <v>8</v>
      </c>
      <c r="AJ7" s="152">
        <f t="array" ref="AJ7">ifna(xlookup(AE2, 'Week 5'!$A:$A, 'Week 5'!$H:$H), "")</f>
        <v>4</v>
      </c>
      <c r="AK7" s="152">
        <f t="array" ref="AK7">ifna(xlookup(AE2, 'Week 5'!$A:$A, 'Week 5'!$E:$E), "")</f>
        <v>7</v>
      </c>
      <c r="AL7" s="152">
        <f t="array" ref="AL7">ifna(xlookup(AE2, 'Week 5'!$A:$A, 'Week 5'!$F:$F), "")</f>
        <v>4</v>
      </c>
      <c r="AM7" s="152">
        <f t="array" ref="AM7">ifna(xlookup(AE2, 'Week 5'!$A:$A, 'Week 5'!$I:$I), "")</f>
        <v>26</v>
      </c>
      <c r="AN7" s="153">
        <f t="shared" si="14"/>
        <v>0.4693877551</v>
      </c>
      <c r="AO7" s="151" t="s">
        <v>20</v>
      </c>
      <c r="AP7" s="2" t="str">
        <f t="shared" si="15"/>
        <v>Yes</v>
      </c>
      <c r="AQ7" s="152" t="str">
        <f t="array" ref="AQ7">ifna(xlookup(AO2, 'Week 5'!$A:$A, 'Week 5'!$B:$B), "")</f>
        <v>Win</v>
      </c>
      <c r="AR7" s="152">
        <f t="array" ref="AR7">ifna(xlookup(AO2, 'Week 5'!$A:$A, 'Week 5'!$D:$D), "")</f>
        <v>26</v>
      </c>
      <c r="AS7" s="152">
        <f t="array" ref="AS7">ifna(xlookup(AO2, 'Week 5'!$A:$A, 'Week 5'!$G:$G), "")</f>
        <v>11</v>
      </c>
      <c r="AT7" s="152">
        <f t="array" ref="AT7">ifna(xlookup(AO2, 'Week 5'!$A:$A, 'Week 5'!$H:$H), "")</f>
        <v>3</v>
      </c>
      <c r="AU7" s="152">
        <f t="array" ref="AU7">ifna(xlookup(AO2, 'Week 5'!$A:$A, 'Week 5'!$E:$E), "")</f>
        <v>6</v>
      </c>
      <c r="AV7" s="152">
        <f t="array" ref="AV7">ifna(xlookup(AO2, 'Week 5'!$A:$A, 'Week 5'!$F:$F), "")</f>
        <v>6</v>
      </c>
      <c r="AW7" s="152">
        <f t="array" ref="AW7">ifna(xlookup(AO2, 'Week 5'!$A:$A, 'Week 5'!$I:$I), "")</f>
        <v>20</v>
      </c>
      <c r="AX7" s="153">
        <f t="shared" si="16"/>
        <v>0.5652173913</v>
      </c>
      <c r="AY7" s="151" t="s">
        <v>20</v>
      </c>
      <c r="AZ7" s="2" t="str">
        <f t="shared" si="17"/>
        <v>Yes</v>
      </c>
      <c r="BA7" s="152" t="str">
        <f t="array" ref="BA7">ifna(xlookup(AY2, 'Week 5'!$A:$A, 'Week 5'!$B:$B), "")</f>
        <v>Loss</v>
      </c>
      <c r="BB7" s="152">
        <f t="array" ref="BB7">ifna(xlookup(AY2, 'Week 5'!$A:$A, 'Week 5'!$D:$D), "")</f>
        <v>22</v>
      </c>
      <c r="BC7" s="152">
        <f t="array" ref="BC7">ifna(xlookup(AY2, 'Week 5'!$A:$A, 'Week 5'!$G:$G), "")</f>
        <v>8</v>
      </c>
      <c r="BD7" s="152">
        <f t="array" ref="BD7">ifna(xlookup(AY2, 'Week 5'!$A:$A, 'Week 5'!$H:$H), "")</f>
        <v>1</v>
      </c>
      <c r="BE7" s="152">
        <f t="array" ref="BE7">ifna(xlookup(AY2, 'Week 5'!$A:$A, 'Week 5'!$E:$E), "")</f>
        <v>11</v>
      </c>
      <c r="BF7" s="152">
        <f t="array" ref="BF7">ifna(xlookup(AY2, 'Week 5'!$A:$A, 'Week 5'!$F:$F), "")</f>
        <v>2</v>
      </c>
      <c r="BG7" s="152">
        <f t="array" ref="BG7">ifna(xlookup(AY2, 'Week 5'!$A:$A, 'Week 5'!$I:$I), "")</f>
        <v>29</v>
      </c>
      <c r="BH7" s="153">
        <f t="shared" si="18"/>
        <v>0.431372549</v>
      </c>
      <c r="BI7" s="8"/>
      <c r="BJ7" s="8"/>
      <c r="BK7" s="8"/>
      <c r="BL7" s="8"/>
    </row>
    <row r="8">
      <c r="A8" s="151" t="s">
        <v>23</v>
      </c>
      <c r="B8" s="2" t="str">
        <f t="shared" si="7"/>
        <v/>
      </c>
      <c r="C8" s="152" t="str">
        <f t="array" ref="C8">ifna(xlookup(A2, 'Week 6'!$A:$A, 'Week 6'!$B:$B), "")</f>
        <v>Win</v>
      </c>
      <c r="D8" s="152" t="str">
        <f t="array" ref="D8">ifna(xlookup(A2, 'Week 6'!$A:$A, 'Week 6'!$D:$D), "")</f>
        <v/>
      </c>
      <c r="E8" s="152" t="str">
        <f t="array" ref="E8">ifna(xlookup(A2, 'Week 6'!$A:$A, 'Week 6'!$G:$G), "")</f>
        <v/>
      </c>
      <c r="F8" s="152" t="str">
        <f t="array" ref="F8">ifna(xlookup(A2, 'Week 6'!$A:$A, 'Week 6'!$H:$H), "")</f>
        <v/>
      </c>
      <c r="G8" s="152" t="str">
        <f t="array" ref="G8">ifna(xlookup(A2, 'Week 6'!$A:$A, 'Week 6'!$E:$E), "")</f>
        <v/>
      </c>
      <c r="H8" s="152" t="str">
        <f t="array" ref="H8">ifna(xlookup(A2, 'Week 6'!$A:$A, 'Week 6'!$F:$F), "")</f>
        <v/>
      </c>
      <c r="I8" s="152" t="str">
        <f t="array" ref="I8">ifna(xlookup(A2, 'Week 6'!$A:$A, 'Week 6'!$I:$I), "")</f>
        <v/>
      </c>
      <c r="J8" s="153" t="str">
        <f t="shared" si="8"/>
        <v/>
      </c>
      <c r="K8" s="151" t="s">
        <v>23</v>
      </c>
      <c r="L8" s="2" t="str">
        <f t="shared" si="9"/>
        <v>Yes</v>
      </c>
      <c r="M8" s="152" t="str">
        <f t="array" ref="M8">ifna(xlookup(K2, 'Week 6'!$A:$A, 'Week 6'!$B:$B), "")</f>
        <v>Loss</v>
      </c>
      <c r="N8" s="152">
        <f t="array" ref="N8">ifna(xlookup(K2, 'Week 6'!$A:$A, 'Week 6'!$D:$D), "")</f>
        <v>7</v>
      </c>
      <c r="O8" s="152">
        <f t="array" ref="O8">ifna(xlookup(K2, 'Week 6'!$A:$A, 'Week 6'!$G:$G), "")</f>
        <v>5</v>
      </c>
      <c r="P8" s="152">
        <f t="array" ref="P8">ifna(xlookup(K2, 'Week 6'!$A:$A, 'Week 6'!$H:$H), "")</f>
        <v>1</v>
      </c>
      <c r="Q8" s="152">
        <f t="array" ref="Q8">ifna(xlookup(K2, 'Week 6'!$A:$A, 'Week 6'!$E:$E), "")</f>
        <v>1</v>
      </c>
      <c r="R8" s="152">
        <f t="array" ref="R8">ifna(xlookup(K2, 'Week 6'!$A:$A, 'Week 6'!$F:$F), "")</f>
        <v>0</v>
      </c>
      <c r="S8" s="152">
        <f t="array" ref="S8">ifna(xlookup(K2, 'Week 6'!$A:$A, 'Week 6'!$I:$I), "")</f>
        <v>25</v>
      </c>
      <c r="T8" s="153">
        <f t="shared" si="10"/>
        <v>0.21875</v>
      </c>
      <c r="U8" s="151" t="s">
        <v>23</v>
      </c>
      <c r="V8" s="2" t="str">
        <f t="shared" si="11"/>
        <v>Yes</v>
      </c>
      <c r="W8" s="152" t="str">
        <f t="array" ref="W8">ifna(xlookup(U2, 'Week 6'!$A:$A, 'Week 6'!$B:$B), "")</f>
        <v>Loss</v>
      </c>
      <c r="X8" s="152">
        <f t="array" ref="X8">ifna(xlookup(U2, 'Week 6'!$A:$A, 'Week 6'!$D:$D), "")</f>
        <v>27</v>
      </c>
      <c r="Y8" s="152">
        <f t="array" ref="Y8">ifna(xlookup(U2, 'Week 6'!$A:$A, 'Week 6'!$G:$G), "")</f>
        <v>9</v>
      </c>
      <c r="Z8" s="152">
        <f t="array" ref="Z8">ifna(xlookup(U2, 'Week 6'!$A:$A, 'Week 6'!$H:$H), "")</f>
        <v>4</v>
      </c>
      <c r="AA8" s="152">
        <f t="array" ref="AA8">ifna(xlookup(U2, 'Week 6'!$A:$A, 'Week 6'!$E:$E), "")</f>
        <v>10</v>
      </c>
      <c r="AB8" s="152">
        <f t="array" ref="AB8">ifna(xlookup(U2, 'Week 6'!$A:$A, 'Week 6'!$F:$F), "")</f>
        <v>4</v>
      </c>
      <c r="AC8" s="152">
        <f t="array" ref="AC8">ifna(xlookup(U2, 'Week 6'!$A:$A, 'Week 6'!$I:$I), "")</f>
        <v>20</v>
      </c>
      <c r="AD8" s="153">
        <f t="shared" si="12"/>
        <v>0.5744680851</v>
      </c>
      <c r="AE8" s="151" t="s">
        <v>23</v>
      </c>
      <c r="AF8" s="2" t="str">
        <f t="shared" si="13"/>
        <v>Yes</v>
      </c>
      <c r="AG8" s="152" t="str">
        <f t="array" ref="AG8">ifna(xlookup(AE2, 'Week 6'!$A:$A, 'Week 6'!$B:$B), "")</f>
        <v>Loss</v>
      </c>
      <c r="AH8" s="152">
        <f t="array" ref="AH8">ifna(xlookup(AE2, 'Week 6'!$A:$A, 'Week 6'!$D:$D), "")</f>
        <v>23</v>
      </c>
      <c r="AI8" s="152">
        <f t="array" ref="AI8">ifna(xlookup(AE2, 'Week 6'!$A:$A, 'Week 6'!$G:$G), "")</f>
        <v>13</v>
      </c>
      <c r="AJ8" s="152">
        <f t="array" ref="AJ8">ifna(xlookup(AE2, 'Week 6'!$A:$A, 'Week 6'!$H:$H), "")</f>
        <v>2</v>
      </c>
      <c r="AK8" s="152">
        <f t="array" ref="AK8">ifna(xlookup(AE2, 'Week 6'!$A:$A, 'Week 6'!$E:$E), "")</f>
        <v>6</v>
      </c>
      <c r="AL8" s="152">
        <f t="array" ref="AL8">ifna(xlookup(AE2, 'Week 6'!$A:$A, 'Week 6'!$F:$F), "")</f>
        <v>2</v>
      </c>
      <c r="AM8" s="152">
        <f t="array" ref="AM8">ifna(xlookup(AE2, 'Week 6'!$A:$A, 'Week 6'!$I:$I), "")</f>
        <v>25</v>
      </c>
      <c r="AN8" s="153">
        <f t="shared" si="14"/>
        <v>0.4791666667</v>
      </c>
      <c r="AO8" s="151" t="s">
        <v>23</v>
      </c>
      <c r="AP8" s="2" t="str">
        <f t="shared" si="15"/>
        <v>Yes</v>
      </c>
      <c r="AQ8" s="152" t="str">
        <f t="array" ref="AQ8">ifna(xlookup(AO2, 'Week 6'!$A:$A, 'Week 6'!$B:$B), "")</f>
        <v>Win</v>
      </c>
      <c r="AR8" s="152">
        <f t="array" ref="AR8">ifna(xlookup(AO2, 'Week 6'!$A:$A, 'Week 6'!$D:$D), "")</f>
        <v>17</v>
      </c>
      <c r="AS8" s="152">
        <f t="array" ref="AS8">ifna(xlookup(AO2, 'Week 6'!$A:$A, 'Week 6'!$G:$G), "")</f>
        <v>8</v>
      </c>
      <c r="AT8" s="152">
        <f t="array" ref="AT8">ifna(xlookup(AO2, 'Week 6'!$A:$A, 'Week 6'!$H:$H), "")</f>
        <v>1</v>
      </c>
      <c r="AU8" s="152">
        <f t="array" ref="AU8">ifna(xlookup(AO2, 'Week 6'!$A:$A, 'Week 6'!$E:$E), "")</f>
        <v>5</v>
      </c>
      <c r="AV8" s="152">
        <f t="array" ref="AV8">ifna(xlookup(AO2, 'Week 6'!$A:$A, 'Week 6'!$F:$F), "")</f>
        <v>3</v>
      </c>
      <c r="AW8" s="152">
        <f t="array" ref="AW8">ifna(xlookup(AO2, 'Week 6'!$A:$A, 'Week 6'!$I:$I), "")</f>
        <v>20</v>
      </c>
      <c r="AX8" s="153">
        <f t="shared" si="16"/>
        <v>0.4594594595</v>
      </c>
      <c r="AY8" s="151" t="s">
        <v>23</v>
      </c>
      <c r="AZ8" s="2" t="str">
        <f t="shared" si="17"/>
        <v>Yes</v>
      </c>
      <c r="BA8" s="152" t="str">
        <f t="array" ref="BA8">ifna(xlookup(AY2, 'Week 6'!$A:$A, 'Week 6'!$B:$B), "")</f>
        <v>Win</v>
      </c>
      <c r="BB8" s="152">
        <f t="array" ref="BB8">ifna(xlookup(AY2, 'Week 6'!$A:$A, 'Week 6'!$D:$D), "")</f>
        <v>20</v>
      </c>
      <c r="BC8" s="152">
        <f t="array" ref="BC8">ifna(xlookup(AY2, 'Week 6'!$A:$A, 'Week 6'!$G:$G), "")</f>
        <v>7</v>
      </c>
      <c r="BD8" s="152">
        <f t="array" ref="BD8">ifna(xlookup(AY2, 'Week 6'!$A:$A, 'Week 6'!$H:$H), "")</f>
        <v>0</v>
      </c>
      <c r="BE8" s="152">
        <f t="array" ref="BE8">ifna(xlookup(AY2, 'Week 6'!$A:$A, 'Week 6'!$E:$E), "")</f>
        <v>11</v>
      </c>
      <c r="BF8" s="152">
        <f t="array" ref="BF8">ifna(xlookup(AY2, 'Week 6'!$A:$A, 'Week 6'!$F:$F), "")</f>
        <v>2</v>
      </c>
      <c r="BG8" s="152">
        <f t="array" ref="BG8">ifna(xlookup(AY2, 'Week 6'!$A:$A, 'Week 6'!$I:$I), "")</f>
        <v>24</v>
      </c>
      <c r="BH8" s="153">
        <f t="shared" si="18"/>
        <v>0.4545454545</v>
      </c>
      <c r="BI8" s="8"/>
      <c r="BJ8" s="8"/>
      <c r="BK8" s="8"/>
      <c r="BL8" s="8"/>
    </row>
    <row r="9">
      <c r="A9" s="151" t="s">
        <v>41</v>
      </c>
      <c r="B9" s="2" t="str">
        <f t="shared" si="7"/>
        <v>Yes</v>
      </c>
      <c r="C9" s="152" t="str">
        <f t="array" ref="C9">ifna(xlookup(A2, 'Week 7'!$A:$A, 'Week 7'!$B:$B), "")</f>
        <v>Win</v>
      </c>
      <c r="D9" s="152">
        <f t="array" ref="D9">ifna(xlookup(A2, 'Week 7'!$A:$A, 'Week 7'!$D:$D), "")</f>
        <v>10</v>
      </c>
      <c r="E9" s="152">
        <f t="array" ref="E9">ifna(xlookup(A2, 'Week 7'!$A:$A, 'Week 7'!$G:$G), "")</f>
        <v>7</v>
      </c>
      <c r="F9" s="152">
        <f t="array" ref="F9">ifna(xlookup(A2, 'Week 7'!$A:$A, 'Week 7'!$H:$H), "")</f>
        <v>1</v>
      </c>
      <c r="G9" s="152">
        <f t="array" ref="G9">ifna(xlookup(A2, 'Week 7'!$A:$A, 'Week 7'!$E:$E), "")</f>
        <v>2</v>
      </c>
      <c r="H9" s="152">
        <f t="array" ref="H9">ifna(xlookup(A2, 'Week 7'!$A:$A, 'Week 7'!$F:$F), "")</f>
        <v>0</v>
      </c>
      <c r="I9" s="152">
        <f t="array" ref="I9">ifna(xlookup(A2, 'Week 7'!$A:$A, 'Week 7'!$I:$I), "")</f>
        <v>29</v>
      </c>
      <c r="J9" s="153">
        <f t="shared" si="8"/>
        <v>0.2564102564</v>
      </c>
      <c r="K9" s="151" t="s">
        <v>41</v>
      </c>
      <c r="L9" s="2" t="str">
        <f t="shared" si="9"/>
        <v>Yes</v>
      </c>
      <c r="M9" s="152" t="str">
        <f t="array" ref="M9">ifna(xlookup(K2, 'Week 7'!$A:$A, 'Week 7'!$B:$B), "")</f>
        <v>Win</v>
      </c>
      <c r="N9" s="152">
        <f t="array" ref="N9">ifna(xlookup(K2, 'Week 7'!$A:$A, 'Week 7'!$D:$D), "")</f>
        <v>12</v>
      </c>
      <c r="O9" s="152">
        <f t="array" ref="O9">ifna(xlookup(K2, 'Week 7'!$A:$A, 'Week 7'!$G:$G), "")</f>
        <v>8</v>
      </c>
      <c r="P9" s="152">
        <f t="array" ref="P9">ifna(xlookup(K2, 'Week 7'!$A:$A, 'Week 7'!$H:$H), "")</f>
        <v>0</v>
      </c>
      <c r="Q9" s="152">
        <f t="array" ref="Q9">ifna(xlookup(K2, 'Week 7'!$A:$A, 'Week 7'!$E:$E), "")</f>
        <v>4</v>
      </c>
      <c r="R9" s="152">
        <f t="array" ref="R9">ifna(xlookup(K2, 'Week 7'!$A:$A, 'Week 7'!$F:$F), "")</f>
        <v>0</v>
      </c>
      <c r="S9" s="152">
        <f t="array" ref="S9">ifna(xlookup(K2, 'Week 7'!$A:$A, 'Week 7'!$I:$I), "")</f>
        <v>22</v>
      </c>
      <c r="T9" s="153">
        <f t="shared" si="10"/>
        <v>0.3529411765</v>
      </c>
      <c r="U9" s="151" t="s">
        <v>41</v>
      </c>
      <c r="V9" s="2" t="str">
        <f t="shared" si="11"/>
        <v>Yes</v>
      </c>
      <c r="W9" s="152" t="str">
        <f t="array" ref="W9">ifna(xlookup(U2, 'Week 7'!$A:$A, 'Week 7'!$B:$B), "")</f>
        <v>Loss</v>
      </c>
      <c r="X9" s="152">
        <f t="array" ref="X9">ifna(xlookup(U2, 'Week 7'!$A:$A, 'Week 7'!$D:$D), "")</f>
        <v>22</v>
      </c>
      <c r="Y9" s="152">
        <f t="array" ref="Y9">ifna(xlookup(U2, 'Week 7'!$A:$A, 'Week 7'!$G:$G), "")</f>
        <v>11</v>
      </c>
      <c r="Z9" s="152">
        <f t="array" ref="Z9">ifna(xlookup(U2, 'Week 7'!$A:$A, 'Week 7'!$H:$H), "")</f>
        <v>2</v>
      </c>
      <c r="AA9" s="152">
        <f t="array" ref="AA9">ifna(xlookup(U2, 'Week 7'!$A:$A, 'Week 7'!$E:$E), "")</f>
        <v>4</v>
      </c>
      <c r="AB9" s="152">
        <f t="array" ref="AB9">ifna(xlookup(U2, 'Week 7'!$A:$A, 'Week 7'!$F:$F), "")</f>
        <v>5</v>
      </c>
      <c r="AC9" s="152">
        <f t="array" ref="AC9">ifna(xlookup(U2, 'Week 7'!$A:$A, 'Week 7'!$I:$I), "")</f>
        <v>19</v>
      </c>
      <c r="AD9" s="153">
        <f t="shared" si="12"/>
        <v>0.5365853659</v>
      </c>
      <c r="AE9" s="151" t="s">
        <v>41</v>
      </c>
      <c r="AF9" s="2" t="str">
        <f t="shared" si="13"/>
        <v>Yes</v>
      </c>
      <c r="AG9" s="152" t="str">
        <f t="array" ref="AG9">ifna(xlookup(AE2, 'Week 7'!$A:$A, 'Week 7'!$B:$B), "")</f>
        <v>Loss</v>
      </c>
      <c r="AH9" s="152">
        <f t="array" ref="AH9">ifna(xlookup(AE2, 'Week 7'!$A:$A, 'Week 7'!$D:$D), "")</f>
        <v>11</v>
      </c>
      <c r="AI9" s="152">
        <f t="array" ref="AI9">ifna(xlookup(AE2, 'Week 7'!$A:$A, 'Week 7'!$G:$G), "")</f>
        <v>3</v>
      </c>
      <c r="AJ9" s="152">
        <f t="array" ref="AJ9">ifna(xlookup(AE2, 'Week 7'!$A:$A, 'Week 7'!$H:$H), "")</f>
        <v>0</v>
      </c>
      <c r="AK9" s="152">
        <f t="array" ref="AK9">ifna(xlookup(AE2, 'Week 7'!$A:$A, 'Week 7'!$E:$E), "")</f>
        <v>6</v>
      </c>
      <c r="AL9" s="152">
        <f t="array" ref="AL9">ifna(xlookup(AE2, 'Week 7'!$A:$A, 'Week 7'!$F:$F), "")</f>
        <v>2</v>
      </c>
      <c r="AM9" s="152">
        <f t="array" ref="AM9">ifna(xlookup(AE2, 'Week 7'!$A:$A, 'Week 7'!$I:$I), "")</f>
        <v>28</v>
      </c>
      <c r="AN9" s="153">
        <f t="shared" si="14"/>
        <v>0.2820512821</v>
      </c>
      <c r="AO9" s="151" t="s">
        <v>41</v>
      </c>
      <c r="AP9" s="2" t="str">
        <f t="shared" si="15"/>
        <v>Yes</v>
      </c>
      <c r="AQ9" s="152" t="str">
        <f t="array" ref="AQ9">ifna(xlookup(AO2, 'Week 7'!$A:$A, 'Week 7'!$B:$B), "")</f>
        <v>Win</v>
      </c>
      <c r="AR9" s="152">
        <f t="array" ref="AR9">ifna(xlookup(AO2, 'Week 7'!$A:$A, 'Week 7'!$D:$D), "")</f>
        <v>24</v>
      </c>
      <c r="AS9" s="152">
        <f t="array" ref="AS9">ifna(xlookup(AO2, 'Week 7'!$A:$A, 'Week 7'!$G:$G), "")</f>
        <v>9</v>
      </c>
      <c r="AT9" s="152">
        <f t="array" ref="AT9">ifna(xlookup(AO2, 'Week 7'!$A:$A, 'Week 7'!$H:$H), "")</f>
        <v>1</v>
      </c>
      <c r="AU9" s="152">
        <f t="array" ref="AU9">ifna(xlookup(AO2, 'Week 7'!$A:$A, 'Week 7'!$E:$E), "")</f>
        <v>7</v>
      </c>
      <c r="AV9" s="152">
        <f t="array" ref="AV9">ifna(xlookup(AO2, 'Week 7'!$A:$A, 'Week 7'!$F:$F), "")</f>
        <v>7</v>
      </c>
      <c r="AW9" s="152">
        <f t="array" ref="AW9">ifna(xlookup(AO2, 'Week 7'!$A:$A, 'Week 7'!$I:$I), "")</f>
        <v>22</v>
      </c>
      <c r="AX9" s="153">
        <f t="shared" si="16"/>
        <v>0.5217391304</v>
      </c>
      <c r="AY9" s="151" t="s">
        <v>41</v>
      </c>
      <c r="AZ9" s="2" t="str">
        <f t="shared" si="17"/>
        <v>Yes</v>
      </c>
      <c r="BA9" s="152" t="str">
        <f t="array" ref="BA9">ifna(xlookup(AY2, 'Week 7'!$A:$A, 'Week 7'!$B:$B), "")</f>
        <v>Loss</v>
      </c>
      <c r="BB9" s="152">
        <f t="array" ref="BB9">ifna(xlookup(AY2, 'Week 7'!$A:$A, 'Week 7'!$D:$D), "")</f>
        <v>12</v>
      </c>
      <c r="BC9" s="152">
        <f t="array" ref="BC9">ifna(xlookup(AY2, 'Week 7'!$A:$A, 'Week 7'!$G:$G), "")</f>
        <v>5</v>
      </c>
      <c r="BD9" s="152">
        <f t="array" ref="BD9">ifna(xlookup(AY2, 'Week 7'!$A:$A, 'Week 7'!$H:$H), "")</f>
        <v>0</v>
      </c>
      <c r="BE9" s="152">
        <f t="array" ref="BE9">ifna(xlookup(AY2, 'Week 7'!$A:$A, 'Week 7'!$E:$E), "")</f>
        <v>5</v>
      </c>
      <c r="BF9" s="152">
        <f t="array" ref="BF9">ifna(xlookup(AY2, 'Week 7'!$A:$A, 'Week 7'!$F:$F), "")</f>
        <v>2</v>
      </c>
      <c r="BG9" s="152">
        <f t="array" ref="BG9">ifna(xlookup(AY2, 'Week 7'!$A:$A, 'Week 7'!$I:$I), "")</f>
        <v>28</v>
      </c>
      <c r="BH9" s="153">
        <f t="shared" si="18"/>
        <v>0.3</v>
      </c>
      <c r="BI9" s="8"/>
      <c r="BJ9" s="8"/>
      <c r="BK9" s="8"/>
      <c r="BL9" s="8"/>
    </row>
    <row r="10">
      <c r="A10" s="151" t="s">
        <v>181</v>
      </c>
      <c r="B10" s="2"/>
      <c r="C10" s="2"/>
      <c r="D10" s="2"/>
      <c r="E10" s="2"/>
      <c r="F10" s="2"/>
      <c r="G10" s="2"/>
      <c r="H10" s="2"/>
      <c r="I10" s="2"/>
      <c r="J10" s="153"/>
      <c r="K10" s="151" t="s">
        <v>181</v>
      </c>
      <c r="L10" s="2"/>
      <c r="M10" s="2"/>
      <c r="N10" s="2"/>
      <c r="O10" s="2"/>
      <c r="P10" s="2"/>
      <c r="Q10" s="2"/>
      <c r="R10" s="2"/>
      <c r="S10" s="2"/>
      <c r="T10" s="153"/>
      <c r="U10" s="151" t="s">
        <v>181</v>
      </c>
      <c r="V10" s="2"/>
      <c r="W10" s="2"/>
      <c r="X10" s="2"/>
      <c r="Y10" s="2"/>
      <c r="Z10" s="2"/>
      <c r="AA10" s="2"/>
      <c r="AB10" s="2"/>
      <c r="AC10" s="2"/>
      <c r="AD10" s="153"/>
      <c r="AE10" s="151" t="s">
        <v>181</v>
      </c>
      <c r="AF10" s="2"/>
      <c r="AG10" s="2"/>
      <c r="AH10" s="2"/>
      <c r="AI10" s="2"/>
      <c r="AJ10" s="2"/>
      <c r="AK10" s="2"/>
      <c r="AL10" s="2"/>
      <c r="AM10" s="2"/>
      <c r="AN10" s="153"/>
      <c r="AO10" s="151" t="s">
        <v>181</v>
      </c>
      <c r="AP10" s="2"/>
      <c r="AQ10" s="2"/>
      <c r="AR10" s="2"/>
      <c r="AS10" s="2"/>
      <c r="AT10" s="2"/>
      <c r="AU10" s="2"/>
      <c r="AV10" s="2"/>
      <c r="AW10" s="2"/>
      <c r="AX10" s="153"/>
      <c r="AY10" s="151" t="s">
        <v>181</v>
      </c>
      <c r="AZ10" s="2"/>
      <c r="BA10" s="2"/>
      <c r="BB10" s="2"/>
      <c r="BC10" s="2"/>
      <c r="BD10" s="2"/>
      <c r="BE10" s="2"/>
      <c r="BF10" s="2"/>
      <c r="BG10" s="2"/>
      <c r="BH10" s="153"/>
      <c r="BI10" s="8"/>
      <c r="BJ10" s="8"/>
      <c r="BK10" s="8"/>
      <c r="BL10" s="8"/>
    </row>
    <row r="11">
      <c r="A11" s="151" t="s">
        <v>182</v>
      </c>
      <c r="B11" s="2"/>
      <c r="C11" s="2"/>
      <c r="D11" s="2"/>
      <c r="E11" s="2"/>
      <c r="F11" s="2"/>
      <c r="G11" s="2"/>
      <c r="H11" s="2"/>
      <c r="I11" s="2"/>
      <c r="J11" s="153"/>
      <c r="K11" s="151" t="s">
        <v>182</v>
      </c>
      <c r="L11" s="2"/>
      <c r="M11" s="2"/>
      <c r="N11" s="2"/>
      <c r="O11" s="2"/>
      <c r="P11" s="2"/>
      <c r="Q11" s="2"/>
      <c r="R11" s="2"/>
      <c r="S11" s="2"/>
      <c r="T11" s="153"/>
      <c r="U11" s="151" t="s">
        <v>182</v>
      </c>
      <c r="V11" s="2"/>
      <c r="W11" s="2"/>
      <c r="X11" s="2"/>
      <c r="Y11" s="2"/>
      <c r="Z11" s="2"/>
      <c r="AA11" s="2"/>
      <c r="AB11" s="2"/>
      <c r="AC11" s="2"/>
      <c r="AD11" s="153"/>
      <c r="AE11" s="151" t="s">
        <v>182</v>
      </c>
      <c r="AF11" s="2"/>
      <c r="AG11" s="2"/>
      <c r="AH11" s="2"/>
      <c r="AI11" s="2"/>
      <c r="AJ11" s="2"/>
      <c r="AK11" s="2"/>
      <c r="AL11" s="2"/>
      <c r="AM11" s="2"/>
      <c r="AN11" s="153"/>
      <c r="AO11" s="151" t="s">
        <v>182</v>
      </c>
      <c r="AP11" s="2"/>
      <c r="AQ11" s="2"/>
      <c r="AR11" s="2"/>
      <c r="AS11" s="2"/>
      <c r="AT11" s="2"/>
      <c r="AU11" s="2"/>
      <c r="AV11" s="2"/>
      <c r="AW11" s="2"/>
      <c r="AX11" s="153"/>
      <c r="AY11" s="151" t="s">
        <v>182</v>
      </c>
      <c r="AZ11" s="2"/>
      <c r="BA11" s="2"/>
      <c r="BB11" s="2"/>
      <c r="BC11" s="2"/>
      <c r="BD11" s="2"/>
      <c r="BE11" s="2"/>
      <c r="BF11" s="2"/>
      <c r="BG11" s="2"/>
      <c r="BH11" s="153"/>
      <c r="BI11" s="8"/>
      <c r="BJ11" s="8"/>
      <c r="BK11" s="8"/>
      <c r="BL11" s="8"/>
    </row>
    <row r="12">
      <c r="A12" s="5" t="s">
        <v>183</v>
      </c>
      <c r="B12" s="154">
        <f>countif(B3:B11, "Yes")</f>
        <v>4</v>
      </c>
      <c r="C12" s="155">
        <f>IFERROR( COUNTIFS(B3:B9,"Yes", C3:C9,"Win") / COUNTIF(B3:B9,"Yes"), "")</f>
        <v>0.25</v>
      </c>
      <c r="D12" s="156">
        <f>if(B12&gt;0, average(D3:D11), "")</f>
        <v>10.75</v>
      </c>
      <c r="E12" s="156">
        <f>if(B12&gt;0, average(E3:E11), "")</f>
        <v>5.75</v>
      </c>
      <c r="F12" s="156">
        <f>if(B12&gt;0, average(F3:F11), "")</f>
        <v>1</v>
      </c>
      <c r="G12" s="156">
        <f>if(B12&gt;0, average(G3:G11), "")</f>
        <v>4</v>
      </c>
      <c r="H12" s="156">
        <f>if(B12&gt;0, average(H3:H11), "")</f>
        <v>0</v>
      </c>
      <c r="I12" s="156">
        <f>if(B12&gt;0, average(I3:I11), "")</f>
        <v>30.75</v>
      </c>
      <c r="J12" s="157">
        <f>if(B12&gt;0, D12/(I12+D12), "")</f>
        <v>0.2590361446</v>
      </c>
      <c r="K12" s="5" t="s">
        <v>183</v>
      </c>
      <c r="L12" s="154">
        <f>countif(L3:L11, "Yes")</f>
        <v>7</v>
      </c>
      <c r="M12" s="155">
        <f>IFERROR( COUNTIFS(L3:L9,"Yes", M3:M9,"Win") / COUNTIF(L3:L9,"Yes"), "")</f>
        <v>0.4285714286</v>
      </c>
      <c r="N12" s="156">
        <f>if(L12&gt;0, average(N3:N11), "")</f>
        <v>14</v>
      </c>
      <c r="O12" s="156">
        <f>if(L12&gt;0, average(O3:O11), "")</f>
        <v>5.428571429</v>
      </c>
      <c r="P12" s="156">
        <f>if(L12&gt;0, average(P3:P11), "")</f>
        <v>0.7142857143</v>
      </c>
      <c r="Q12" s="156">
        <f>if(L12&gt;0, average(Q3:Q11), "")</f>
        <v>7.571428571</v>
      </c>
      <c r="R12" s="156">
        <f>if(L12&gt;0, average(R3:R11), "")</f>
        <v>0.2857142857</v>
      </c>
      <c r="S12" s="156">
        <f>if(L12&gt;0, average(S3:S11), "")</f>
        <v>26.14285714</v>
      </c>
      <c r="T12" s="157">
        <f>if(L12&gt;0, N12/(S12+N12), "")</f>
        <v>0.3487544484</v>
      </c>
      <c r="U12" s="5" t="s">
        <v>183</v>
      </c>
      <c r="V12" s="154">
        <f>countif(V3:V11, "Yes")</f>
        <v>7</v>
      </c>
      <c r="W12" s="155">
        <f>IFERROR( COUNTIFS(V3:V9,"Yes", W3:W9,"Win") / COUNTIF(V3:V9,"Yes"), "")</f>
        <v>0.4285714286</v>
      </c>
      <c r="X12" s="156">
        <f>if(V12&gt;0, average(X3:X11), "")</f>
        <v>20.42857143</v>
      </c>
      <c r="Y12" s="156">
        <f>if(V12&gt;0, average(Y3:Y11), "")</f>
        <v>9.571428571</v>
      </c>
      <c r="Z12" s="156">
        <f>if(V12&gt;0, average(Z3:Z11), "")</f>
        <v>3.285714286</v>
      </c>
      <c r="AA12" s="156">
        <f>if(V12&gt;0, average(AA3:AA11), "")</f>
        <v>5.142857143</v>
      </c>
      <c r="AB12" s="156">
        <f>if(V12&gt;0, average(AB3:AB11), "")</f>
        <v>2.428571429</v>
      </c>
      <c r="AC12" s="156">
        <f>if(V12&gt;0, average(AC3:AC11), "")</f>
        <v>22</v>
      </c>
      <c r="AD12" s="157">
        <f>if(V12&gt;0, X12/(AC12+X12), "")</f>
        <v>0.4814814815</v>
      </c>
      <c r="AE12" s="5" t="s">
        <v>183</v>
      </c>
      <c r="AF12" s="154">
        <f>countif(AF3:AF11, "Yes")</f>
        <v>7</v>
      </c>
      <c r="AG12" s="155">
        <f>IFERROR( COUNTIFS(AF3:AF9,"Yes", AG3:AG9,"Win") / COUNTIF(AF3:AF9,"Yes"), "")</f>
        <v>0.4285714286</v>
      </c>
      <c r="AH12" s="156">
        <f>if(AF12&gt;0, average(AH3:AH11), "")</f>
        <v>19.85714286</v>
      </c>
      <c r="AI12" s="156">
        <f>if(AF12&gt;0, average(AI3:AI11), "")</f>
        <v>7.857142857</v>
      </c>
      <c r="AJ12" s="156">
        <f>if(AF12&gt;0, average(AJ3:AJ11), "")</f>
        <v>3.285714286</v>
      </c>
      <c r="AK12" s="156">
        <f>if(AF12&gt;0, average(AK3:AK11), "")</f>
        <v>6.571428571</v>
      </c>
      <c r="AL12" s="156">
        <f>if(AF12&gt;0, average(AL3:AL11), "")</f>
        <v>2.142857143</v>
      </c>
      <c r="AM12" s="156">
        <f>if(AF12&gt;0, average(AM3:AM11), "")</f>
        <v>27.85714286</v>
      </c>
      <c r="AN12" s="157">
        <f>if(AF12&gt;0, AH12/(AM12+AH12), "")</f>
        <v>0.4161676647</v>
      </c>
      <c r="AO12" s="5" t="s">
        <v>183</v>
      </c>
      <c r="AP12" s="154">
        <f>countif(AP3:AP11, "Yes")</f>
        <v>7</v>
      </c>
      <c r="AQ12" s="155">
        <f>IFERROR( COUNTIFS(AP3:AP9,"Yes", AQ3:AQ9,"Win") / COUNTIF(AP3:AP9,"Yes"), "")</f>
        <v>0.8571428571</v>
      </c>
      <c r="AR12" s="156">
        <f>if(AP12&gt;0, average(AR3:AR11), "")</f>
        <v>22.28571429</v>
      </c>
      <c r="AS12" s="156">
        <f>if(AP12&gt;0, average(AS3:AS11), "")</f>
        <v>8.428571429</v>
      </c>
      <c r="AT12" s="156">
        <f>if(AP12&gt;0, average(AT3:AT11), "")</f>
        <v>2</v>
      </c>
      <c r="AU12" s="156">
        <f>if(AP12&gt;0, average(AU3:AU11), "")</f>
        <v>7.571428571</v>
      </c>
      <c r="AV12" s="156">
        <f>if(AP12&gt;0, average(AV3:AV11), "")</f>
        <v>4.285714286</v>
      </c>
      <c r="AW12" s="156">
        <f>if(AP12&gt;0, average(AW3:AW11), "")</f>
        <v>21.57142857</v>
      </c>
      <c r="AX12" s="157">
        <f>if(AP12&gt;0, AR12/(AW12+AR12), "")</f>
        <v>0.5081433225</v>
      </c>
      <c r="AY12" s="5" t="s">
        <v>183</v>
      </c>
      <c r="AZ12" s="154">
        <f>countif(AZ3:AZ11, "Yes")</f>
        <v>7</v>
      </c>
      <c r="BA12" s="155">
        <f>IFERROR( COUNTIFS(AZ3:AZ9,"Yes", BA3:BA9,"Win") / COUNTIF(AZ3:AZ9,"Yes"), "")</f>
        <v>0.4285714286</v>
      </c>
      <c r="BB12" s="156">
        <f>if(AZ12&gt;0, average(BB3:BB11), "")</f>
        <v>17.85714286</v>
      </c>
      <c r="BC12" s="156">
        <f>if(AZ12&gt;0, average(BC3:BC11), "")</f>
        <v>6.571428571</v>
      </c>
      <c r="BD12" s="156">
        <f>if(AZ12&gt;0, average(BD3:BD11), "")</f>
        <v>0.7142857143</v>
      </c>
      <c r="BE12" s="156">
        <f>if(AZ12&gt;0, average(BE3:BE11), "")</f>
        <v>9.142857143</v>
      </c>
      <c r="BF12" s="156">
        <f>if(AZ12&gt;0, average(BF3:BF11), "")</f>
        <v>1.428571429</v>
      </c>
      <c r="BG12" s="156">
        <f>if(AZ12&gt;0, average(BG3:BG11), "")</f>
        <v>24.14285714</v>
      </c>
      <c r="BH12" s="157">
        <f>if(AZ12&gt;0, BB12/(BG12+BB12), "")</f>
        <v>0.425170068</v>
      </c>
      <c r="BI12" s="8"/>
      <c r="BJ12" s="8"/>
      <c r="BK12" s="8"/>
      <c r="BL12" s="8"/>
    </row>
    <row r="13">
      <c r="A13" s="158" t="str">
        <f>Draft!B48</f>
        <v>Lucas</v>
      </c>
      <c r="B13" s="129">
        <f t="shared" ref="B13:J13" si="19">B23</f>
        <v>6</v>
      </c>
      <c r="C13" s="143">
        <f t="shared" si="19"/>
        <v>0.3333333333</v>
      </c>
      <c r="D13" s="144">
        <f t="shared" si="19"/>
        <v>17.83333333</v>
      </c>
      <c r="E13" s="144">
        <f t="shared" si="19"/>
        <v>5.166666667</v>
      </c>
      <c r="F13" s="144">
        <f t="shared" si="19"/>
        <v>1.333333333</v>
      </c>
      <c r="G13" s="144">
        <f t="shared" si="19"/>
        <v>9.5</v>
      </c>
      <c r="H13" s="144">
        <f t="shared" si="19"/>
        <v>1.833333333</v>
      </c>
      <c r="I13" s="144">
        <f t="shared" si="19"/>
        <v>26.66666667</v>
      </c>
      <c r="J13" s="145">
        <f t="shared" si="19"/>
        <v>0.4007490637</v>
      </c>
      <c r="K13" s="159" t="str">
        <f>Draft!C48</f>
        <v>Neo</v>
      </c>
      <c r="L13" s="129">
        <f t="shared" ref="L13:T13" si="20">L23</f>
        <v>5</v>
      </c>
      <c r="M13" s="143">
        <f t="shared" si="20"/>
        <v>0.4</v>
      </c>
      <c r="N13" s="144">
        <f t="shared" si="20"/>
        <v>11</v>
      </c>
      <c r="O13" s="144">
        <f t="shared" si="20"/>
        <v>6.6</v>
      </c>
      <c r="P13" s="144">
        <f t="shared" si="20"/>
        <v>0.8</v>
      </c>
      <c r="Q13" s="144">
        <f t="shared" si="20"/>
        <v>3.4</v>
      </c>
      <c r="R13" s="144">
        <f t="shared" si="20"/>
        <v>0.2</v>
      </c>
      <c r="S13" s="144">
        <f t="shared" si="20"/>
        <v>27.2</v>
      </c>
      <c r="T13" s="145">
        <f t="shared" si="20"/>
        <v>0.2879581152</v>
      </c>
      <c r="U13" s="160" t="str">
        <f>Draft!D48</f>
        <v>Cole</v>
      </c>
      <c r="V13" s="129">
        <f t="shared" ref="V13:AD13" si="21">V23</f>
        <v>7</v>
      </c>
      <c r="W13" s="143">
        <f t="shared" si="21"/>
        <v>0.4285714286</v>
      </c>
      <c r="X13" s="144">
        <f t="shared" si="21"/>
        <v>19.85714286</v>
      </c>
      <c r="Y13" s="144">
        <f t="shared" si="21"/>
        <v>9.428571429</v>
      </c>
      <c r="Z13" s="144">
        <f t="shared" si="21"/>
        <v>1.142857143</v>
      </c>
      <c r="AA13" s="144">
        <f t="shared" si="21"/>
        <v>8.285714286</v>
      </c>
      <c r="AB13" s="144">
        <f t="shared" si="21"/>
        <v>1</v>
      </c>
      <c r="AC13" s="144">
        <f t="shared" si="21"/>
        <v>22.57142857</v>
      </c>
      <c r="AD13" s="145">
        <f t="shared" si="21"/>
        <v>0.468013468</v>
      </c>
      <c r="AE13" s="161" t="str">
        <f>Draft!E48</f>
        <v>Pasha</v>
      </c>
      <c r="AF13" s="129">
        <f t="shared" ref="AF13:AN13" si="22">AF23</f>
        <v>7</v>
      </c>
      <c r="AG13" s="143">
        <f t="shared" si="22"/>
        <v>0.4285714286</v>
      </c>
      <c r="AH13" s="144">
        <f t="shared" si="22"/>
        <v>18.57142857</v>
      </c>
      <c r="AI13" s="144">
        <f t="shared" si="22"/>
        <v>8.285714286</v>
      </c>
      <c r="AJ13" s="144">
        <f t="shared" si="22"/>
        <v>0</v>
      </c>
      <c r="AK13" s="144">
        <f t="shared" si="22"/>
        <v>10</v>
      </c>
      <c r="AL13" s="144">
        <f t="shared" si="22"/>
        <v>0.2857142857</v>
      </c>
      <c r="AM13" s="144">
        <f t="shared" si="22"/>
        <v>28.42857143</v>
      </c>
      <c r="AN13" s="145">
        <f t="shared" si="22"/>
        <v>0.3951367781</v>
      </c>
      <c r="AO13" s="162" t="str">
        <f>Draft!F48</f>
        <v>Blark</v>
      </c>
      <c r="AP13" s="129">
        <f t="shared" ref="AP13:AX13" si="23">AP23</f>
        <v>0</v>
      </c>
      <c r="AQ13" s="143" t="str">
        <f t="shared" si="23"/>
        <v/>
      </c>
      <c r="AR13" s="144" t="str">
        <f t="shared" si="23"/>
        <v/>
      </c>
      <c r="AS13" s="144" t="str">
        <f t="shared" si="23"/>
        <v/>
      </c>
      <c r="AT13" s="144" t="str">
        <f t="shared" si="23"/>
        <v/>
      </c>
      <c r="AU13" s="144" t="str">
        <f t="shared" si="23"/>
        <v/>
      </c>
      <c r="AV13" s="144" t="str">
        <f t="shared" si="23"/>
        <v/>
      </c>
      <c r="AW13" s="144" t="str">
        <f t="shared" si="23"/>
        <v/>
      </c>
      <c r="AX13" s="145" t="str">
        <f t="shared" si="23"/>
        <v/>
      </c>
      <c r="AY13" s="163" t="str">
        <f>Draft!G48</f>
        <v>Schmid</v>
      </c>
      <c r="AZ13" s="129">
        <f t="shared" ref="AZ13:BH13" si="24">AZ23</f>
        <v>3</v>
      </c>
      <c r="BA13" s="143">
        <f t="shared" si="24"/>
        <v>0.6666666667</v>
      </c>
      <c r="BB13" s="144">
        <f t="shared" si="24"/>
        <v>15</v>
      </c>
      <c r="BC13" s="144">
        <f t="shared" si="24"/>
        <v>6</v>
      </c>
      <c r="BD13" s="144">
        <f t="shared" si="24"/>
        <v>1.666666667</v>
      </c>
      <c r="BE13" s="144">
        <f t="shared" si="24"/>
        <v>7.333333333</v>
      </c>
      <c r="BF13" s="144">
        <f t="shared" si="24"/>
        <v>0</v>
      </c>
      <c r="BG13" s="144">
        <f t="shared" si="24"/>
        <v>23.66666667</v>
      </c>
      <c r="BH13" s="145">
        <f t="shared" si="24"/>
        <v>0.3879310345</v>
      </c>
      <c r="BI13" s="8"/>
      <c r="BJ13" s="8"/>
      <c r="BK13" s="8"/>
      <c r="BL13" s="8"/>
    </row>
    <row r="14">
      <c r="A14" s="151" t="s">
        <v>5</v>
      </c>
      <c r="B14" s="2" t="str">
        <f t="shared" ref="B14:B20" si="25">ifna(if(I14&lt;&gt;"", "Yes", ""), "")</f>
        <v>Yes</v>
      </c>
      <c r="C14" s="152" t="str">
        <f t="array" ref="C14">ifna(xlookup(A13, 'Week 1'!$A:$A, 'Week 1'!$B:$B), "")</f>
        <v>Loss</v>
      </c>
      <c r="D14" s="152">
        <f t="array" ref="D14">ifna(xlookup(A13, 'Week 1'!$A:$A, 'Week 1'!$D:$D), "")</f>
        <v>18</v>
      </c>
      <c r="E14" s="152">
        <f t="array" ref="E14">ifna(xlookup(A13, 'Week 1'!$A:$A, 'Week 1'!$G:$G), "")</f>
        <v>6</v>
      </c>
      <c r="F14" s="152">
        <f t="array" ref="F14">ifna(xlookup(A13, 'Week 1'!$A:$A, 'Week 1'!$H:$H), "")</f>
        <v>1</v>
      </c>
      <c r="G14" s="152">
        <f t="array" ref="G14">ifna(xlookup(A13, 'Week 1'!$A:$A, 'Week 1'!$E:$E), "")</f>
        <v>8</v>
      </c>
      <c r="H14" s="152">
        <f t="array" ref="H14">ifna(xlookup(A13, 'Week 1'!$A:$A, 'Week 1'!$F:$F), "")</f>
        <v>3</v>
      </c>
      <c r="I14" s="152">
        <f t="array" ref="I14">ifna(xlookup(A13, 'Week 1'!$A:$A, 'Week 1'!$I:$I), "")</f>
        <v>38</v>
      </c>
      <c r="J14" s="153">
        <f t="shared" ref="J14:J20" si="26">iferror(IF(D14&gt;0, (D14/(D14+I14)), ""),"")</f>
        <v>0.3214285714</v>
      </c>
      <c r="K14" s="151" t="s">
        <v>5</v>
      </c>
      <c r="L14" s="2" t="str">
        <f t="shared" ref="L14:L20" si="27">ifna(if(S14&lt;&gt;"", "Yes", ""), "")</f>
        <v>Yes</v>
      </c>
      <c r="M14" s="152" t="str">
        <f t="array" ref="M14">ifna(xlookup(K13, 'Week 1'!$A:$A, 'Week 1'!$B:$B), "")</f>
        <v>Loss</v>
      </c>
      <c r="N14" s="152">
        <f t="array" ref="N14">ifna(xlookup(K13, 'Week 1'!$A:$A, 'Week 1'!$D:$D), "")</f>
        <v>15</v>
      </c>
      <c r="O14" s="152">
        <f t="array" ref="O14">ifna(xlookup(K13, 'Week 1'!$A:$A, 'Week 1'!$G:$G), "")</f>
        <v>9</v>
      </c>
      <c r="P14" s="152">
        <f t="array" ref="P14">ifna(xlookup(K13, 'Week 1'!$A:$A, 'Week 1'!$H:$H), "")</f>
        <v>0</v>
      </c>
      <c r="Q14" s="152">
        <f t="array" ref="Q14">ifna(xlookup(K13, 'Week 1'!$A:$A, 'Week 1'!$E:$E), "")</f>
        <v>5</v>
      </c>
      <c r="R14" s="152">
        <f t="array" ref="R14">ifna(xlookup(K13, 'Week 1'!$A:$A, 'Week 1'!$F:$F), "")</f>
        <v>1</v>
      </c>
      <c r="S14" s="152">
        <f t="array" ref="S14">ifna(xlookup(K13, 'Week 1'!$A:$A, 'Week 1'!$I:$I), "")</f>
        <v>21</v>
      </c>
      <c r="T14" s="153">
        <f t="shared" ref="T14:T20" si="28">iferror(IF(N14&gt;0, (N14/(N14+S14)), ""),"")</f>
        <v>0.4166666667</v>
      </c>
      <c r="U14" s="151" t="s">
        <v>5</v>
      </c>
      <c r="V14" s="2" t="str">
        <f t="shared" ref="V14:V20" si="29">ifna(if(AC14&lt;&gt;"", "Yes", ""), "")</f>
        <v>Yes</v>
      </c>
      <c r="W14" s="152" t="str">
        <f t="array" ref="W14">ifna(xlookup(U13, 'Week 1'!$A:$A, 'Week 1'!$B:$B), "")</f>
        <v>Win</v>
      </c>
      <c r="X14" s="152">
        <f t="array" ref="X14">ifna(xlookup(U13, 'Week 1'!$A:$A, 'Week 1'!$D:$D), "")</f>
        <v>15</v>
      </c>
      <c r="Y14" s="152">
        <f t="array" ref="Y14">ifna(xlookup(U13, 'Week 1'!$A:$A, 'Week 1'!$G:$G), "")</f>
        <v>7</v>
      </c>
      <c r="Z14" s="152">
        <f t="array" ref="Z14">ifna(xlookup(U13, 'Week 1'!$A:$A, 'Week 1'!$H:$H), "")</f>
        <v>1</v>
      </c>
      <c r="AA14" s="152">
        <f t="array" ref="AA14">ifna(xlookup(U13, 'Week 1'!$A:$A, 'Week 1'!$E:$E), "")</f>
        <v>7</v>
      </c>
      <c r="AB14" s="152">
        <f t="array" ref="AB14">ifna(xlookup(U13, 'Week 1'!$A:$A, 'Week 1'!$F:$F), "")</f>
        <v>0</v>
      </c>
      <c r="AC14" s="152">
        <f t="array" ref="AC14">ifna(xlookup(U13, 'Week 1'!$A:$A, 'Week 1'!$I:$I), "")</f>
        <v>25</v>
      </c>
      <c r="AD14" s="153">
        <f t="shared" ref="AD14:AD20" si="30">iferror(IF(X14&gt;0, (X14/(X14+AC14)), ""),"")</f>
        <v>0.375</v>
      </c>
      <c r="AE14" s="151" t="s">
        <v>5</v>
      </c>
      <c r="AF14" s="2" t="str">
        <f t="shared" ref="AF14:AF20" si="31">ifna(if(AM14&lt;&gt;"", "Yes", ""), "")</f>
        <v>Yes</v>
      </c>
      <c r="AG14" s="152" t="str">
        <f t="array" ref="AG14">ifna(xlookup(AE13, 'Week 1'!$A:$A, 'Week 1'!$B:$B), "")</f>
        <v>Win</v>
      </c>
      <c r="AH14" s="152">
        <f t="array" ref="AH14">ifna(xlookup(AE13, 'Week 1'!$A:$A, 'Week 1'!$D:$D), "")</f>
        <v>17</v>
      </c>
      <c r="AI14" s="152">
        <f t="array" ref="AI14">ifna(xlookup(AE13, 'Week 1'!$A:$A, 'Week 1'!$G:$G), "")</f>
        <v>9</v>
      </c>
      <c r="AJ14" s="152">
        <f t="array" ref="AJ14">ifna(xlookup(AE13, 'Week 1'!$A:$A, 'Week 1'!$H:$H), "")</f>
        <v>0</v>
      </c>
      <c r="AK14" s="152">
        <f t="array" ref="AK14">ifna(xlookup(AE13, 'Week 1'!$A:$A, 'Week 1'!$E:$E), "")</f>
        <v>8</v>
      </c>
      <c r="AL14" s="152">
        <f t="array" ref="AL14">ifna(xlookup(AE13, 'Week 1'!$A:$A, 'Week 1'!$F:$F), "")</f>
        <v>0</v>
      </c>
      <c r="AM14" s="152">
        <f t="array" ref="AM14">ifna(xlookup(AE13, 'Week 1'!$A:$A, 'Week 1'!$I:$I), "")</f>
        <v>38</v>
      </c>
      <c r="AN14" s="153">
        <f t="shared" ref="AN14:AN20" si="32">iferror(IF(AH14&gt;0, (AH14/(AH14+AM14)), ""),"")</f>
        <v>0.3090909091</v>
      </c>
      <c r="AO14" s="151" t="s">
        <v>5</v>
      </c>
      <c r="AP14" s="2" t="str">
        <f t="shared" ref="AP14:AP20" si="33">ifna(if(AW14&lt;&gt;"", "Yes", ""), "")</f>
        <v/>
      </c>
      <c r="AQ14" s="152" t="str">
        <f t="array" ref="AQ14">ifna(xlookup(AO13, 'Week 1'!$A:$A, 'Week 1'!$B:$B), "")</f>
        <v/>
      </c>
      <c r="AR14" s="152" t="str">
        <f t="array" ref="AR14">ifna(xlookup(AO13, 'Week 1'!$A:$A, 'Week 1'!$D:$D), "")</f>
        <v/>
      </c>
      <c r="AS14" s="152" t="str">
        <f t="array" ref="AS14">ifna(xlookup(AO13, 'Week 1'!$A:$A, 'Week 1'!$G:$G), "")</f>
        <v/>
      </c>
      <c r="AT14" s="152" t="str">
        <f t="array" ref="AT14">ifna(xlookup(AO13, 'Week 1'!$A:$A, 'Week 1'!$H:$H), "")</f>
        <v/>
      </c>
      <c r="AU14" s="152" t="str">
        <f t="array" ref="AU14">ifna(xlookup(AO13, 'Week 1'!$A:$A, 'Week 1'!$E:$E), "")</f>
        <v/>
      </c>
      <c r="AV14" s="152" t="str">
        <f t="array" ref="AV14">ifna(xlookup(AO13, 'Week 1'!$A:$A, 'Week 1'!$F:$F), "")</f>
        <v/>
      </c>
      <c r="AW14" s="152" t="str">
        <f t="array" ref="AW14">ifna(xlookup(AO13, 'Week 1'!$A:$A, 'Week 1'!$I:$I), "")</f>
        <v/>
      </c>
      <c r="AX14" s="153" t="str">
        <f t="shared" ref="AX14:AX20" si="34">iferror(IF(AR14&gt;0, (AR14/(AR14+AW14)), ""),"")</f>
        <v/>
      </c>
      <c r="AY14" s="151" t="s">
        <v>5</v>
      </c>
      <c r="AZ14" s="2" t="str">
        <f t="shared" ref="AZ14:AZ20" si="35">ifna(if(BG14&lt;&gt;"", "Yes", ""), "")</f>
        <v>Yes</v>
      </c>
      <c r="BA14" s="152" t="str">
        <f t="array" ref="BA14">ifna(xlookup(AY13, 'Week 1'!$A:$A, 'Week 1'!$B:$B), "")</f>
        <v>Win</v>
      </c>
      <c r="BB14" s="152">
        <f t="array" ref="BB14">ifna(xlookup(AY13, 'Week 1'!$A:$A, 'Week 1'!$D:$D), "")</f>
        <v>17</v>
      </c>
      <c r="BC14" s="152">
        <f t="array" ref="BC14">ifna(xlookup(AY13, 'Week 1'!$A:$A, 'Week 1'!$G:$G), "")</f>
        <v>13</v>
      </c>
      <c r="BD14" s="152">
        <f t="array" ref="BD14">ifna(xlookup(AY13, 'Week 1'!$A:$A, 'Week 1'!$H:$H), "")</f>
        <v>2</v>
      </c>
      <c r="BE14" s="152">
        <f t="array" ref="BE14">ifna(xlookup(AY13, 'Week 1'!$A:$A, 'Week 1'!$E:$E), "")</f>
        <v>2</v>
      </c>
      <c r="BF14" s="152">
        <f t="array" ref="BF14">ifna(xlookup(AY13, 'Week 1'!$A:$A, 'Week 1'!$F:$F), "")</f>
        <v>0</v>
      </c>
      <c r="BG14" s="152">
        <f t="array" ref="BG14">ifna(xlookup(AY13, 'Week 1'!$A:$A, 'Week 1'!$I:$I), "")</f>
        <v>23</v>
      </c>
      <c r="BH14" s="153">
        <f t="shared" ref="BH14:BH20" si="36">iferror(IF(BB14&gt;0, (BB14/(BB14+BG14)), ""),"")</f>
        <v>0.425</v>
      </c>
      <c r="BI14" s="8"/>
      <c r="BJ14" s="8"/>
      <c r="BK14" s="8"/>
      <c r="BL14" s="8"/>
    </row>
    <row r="15">
      <c r="A15" s="151" t="s">
        <v>7</v>
      </c>
      <c r="B15" s="2" t="str">
        <f t="shared" si="25"/>
        <v>Yes</v>
      </c>
      <c r="C15" s="152" t="str">
        <f t="array" ref="C15">ifna(xlookup(A13, 'Week 2'!$A:$A, 'Week 2'!$B:$B), "")</f>
        <v>Loss</v>
      </c>
      <c r="D15" s="152">
        <f t="array" ref="D15">ifna(xlookup(A13, 'Week 2'!$A:$A, 'Week 2'!$D:$D), "")</f>
        <v>19</v>
      </c>
      <c r="E15" s="152">
        <f t="array" ref="E15">ifna(xlookup(A13, 'Week 2'!$A:$A, 'Week 2'!$G:$G), "")</f>
        <v>4</v>
      </c>
      <c r="F15" s="152">
        <f t="array" ref="F15">ifna(xlookup(A13, 'Week 2'!$A:$A, 'Week 2'!$H:$H), "")</f>
        <v>0</v>
      </c>
      <c r="G15" s="152">
        <f t="array" ref="G15">ifna(xlookup(A13, 'Week 2'!$A:$A, 'Week 2'!$E:$E), "")</f>
        <v>13</v>
      </c>
      <c r="H15" s="152">
        <f t="array" ref="H15">ifna(xlookup(A13, 'Week 2'!$A:$A, 'Week 2'!$F:$F), "")</f>
        <v>2</v>
      </c>
      <c r="I15" s="152">
        <f t="array" ref="I15">ifna(xlookup(A13, 'Week 2'!$A:$A, 'Week 2'!$I:$I), "")</f>
        <v>24</v>
      </c>
      <c r="J15" s="153">
        <f t="shared" si="26"/>
        <v>0.4418604651</v>
      </c>
      <c r="K15" s="151" t="s">
        <v>7</v>
      </c>
      <c r="L15" s="2" t="str">
        <f t="shared" si="27"/>
        <v>Yes</v>
      </c>
      <c r="M15" s="152" t="str">
        <f t="array" ref="M15">ifna(xlookup(K13, 'Week 2'!$A:$A, 'Week 2'!$B:$B), "")</f>
        <v>Loss</v>
      </c>
      <c r="N15" s="152">
        <f t="array" ref="N15">ifna(xlookup(K13, 'Week 2'!$A:$A, 'Week 2'!$D:$D), "")</f>
        <v>8</v>
      </c>
      <c r="O15" s="152">
        <f t="array" ref="O15">ifna(xlookup(K13, 'Week 2'!$A:$A, 'Week 2'!$G:$G), "")</f>
        <v>5</v>
      </c>
      <c r="P15" s="152">
        <f t="array" ref="P15">ifna(xlookup(K13, 'Week 2'!$A:$A, 'Week 2'!$H:$H), "")</f>
        <v>0</v>
      </c>
      <c r="Q15" s="152">
        <f t="array" ref="Q15">ifna(xlookup(K13, 'Week 2'!$A:$A, 'Week 2'!$E:$E), "")</f>
        <v>3</v>
      </c>
      <c r="R15" s="152">
        <f t="array" ref="R15">ifna(xlookup(K13, 'Week 2'!$A:$A, 'Week 2'!$F:$F), "")</f>
        <v>0</v>
      </c>
      <c r="S15" s="152">
        <f t="array" ref="S15">ifna(xlookup(K13, 'Week 2'!$A:$A, 'Week 2'!$I:$I), "")</f>
        <v>23</v>
      </c>
      <c r="T15" s="153">
        <f t="shared" si="28"/>
        <v>0.2580645161</v>
      </c>
      <c r="U15" s="151" t="s">
        <v>7</v>
      </c>
      <c r="V15" s="2" t="str">
        <f t="shared" si="29"/>
        <v>Yes</v>
      </c>
      <c r="W15" s="152" t="str">
        <f t="array" ref="W15">ifna(xlookup(U13, 'Week 2'!$A:$A, 'Week 2'!$B:$B), "")</f>
        <v>Win</v>
      </c>
      <c r="X15" s="152">
        <f t="array" ref="X15">ifna(xlookup(U13, 'Week 2'!$A:$A, 'Week 2'!$D:$D), "")</f>
        <v>13</v>
      </c>
      <c r="Y15" s="152">
        <f t="array" ref="Y15">ifna(xlookup(U13, 'Week 2'!$A:$A, 'Week 2'!$G:$G), "")</f>
        <v>3</v>
      </c>
      <c r="Z15" s="152">
        <f t="array" ref="Z15">ifna(xlookup(U13, 'Week 2'!$A:$A, 'Week 2'!$H:$H), "")</f>
        <v>0</v>
      </c>
      <c r="AA15" s="152">
        <f t="array" ref="AA15">ifna(xlookup(U13, 'Week 2'!$A:$A, 'Week 2'!$E:$E), "")</f>
        <v>9</v>
      </c>
      <c r="AB15" s="152">
        <f t="array" ref="AB15">ifna(xlookup(U13, 'Week 2'!$A:$A, 'Week 2'!$F:$F), "")</f>
        <v>1</v>
      </c>
      <c r="AC15" s="152">
        <f t="array" ref="AC15">ifna(xlookup(U13, 'Week 2'!$A:$A, 'Week 2'!$I:$I), "")</f>
        <v>24</v>
      </c>
      <c r="AD15" s="153">
        <f t="shared" si="30"/>
        <v>0.3513513514</v>
      </c>
      <c r="AE15" s="151" t="s">
        <v>7</v>
      </c>
      <c r="AF15" s="2" t="str">
        <f t="shared" si="31"/>
        <v>Yes</v>
      </c>
      <c r="AG15" s="152" t="str">
        <f t="array" ref="AG15">ifna(xlookup(AE13, 'Week 2'!$A:$A, 'Week 2'!$B:$B), "")</f>
        <v>Loss</v>
      </c>
      <c r="AH15" s="152">
        <f t="array" ref="AH15">ifna(xlookup(AE13, 'Week 2'!$A:$A, 'Week 2'!$D:$D), "")</f>
        <v>23</v>
      </c>
      <c r="AI15" s="152">
        <f t="array" ref="AI15">ifna(xlookup(AE13, 'Week 2'!$A:$A, 'Week 2'!$G:$G), "")</f>
        <v>10</v>
      </c>
      <c r="AJ15" s="152">
        <f t="array" ref="AJ15">ifna(xlookup(AE13, 'Week 2'!$A:$A, 'Week 2'!$H:$H), "")</f>
        <v>0</v>
      </c>
      <c r="AK15" s="152">
        <f t="array" ref="AK15">ifna(xlookup(AE13, 'Week 2'!$A:$A, 'Week 2'!$E:$E), "")</f>
        <v>13</v>
      </c>
      <c r="AL15" s="152">
        <f t="array" ref="AL15">ifna(xlookup(AE13, 'Week 2'!$A:$A, 'Week 2'!$F:$F), "")</f>
        <v>0</v>
      </c>
      <c r="AM15" s="152">
        <f t="array" ref="AM15">ifna(xlookup(AE13, 'Week 2'!$A:$A, 'Week 2'!$I:$I), "")</f>
        <v>21</v>
      </c>
      <c r="AN15" s="153">
        <f t="shared" si="32"/>
        <v>0.5227272727</v>
      </c>
      <c r="AO15" s="151" t="s">
        <v>7</v>
      </c>
      <c r="AP15" s="2" t="str">
        <f t="shared" si="33"/>
        <v/>
      </c>
      <c r="AQ15" s="152" t="str">
        <f t="array" ref="AQ15">ifna(xlookup(AO13, 'Week 2'!$A:$A, 'Week 2'!$B:$B), "")</f>
        <v/>
      </c>
      <c r="AR15" s="152" t="str">
        <f t="array" ref="AR15">ifna(xlookup(AO13, 'Week 2'!$A:$A, 'Week 2'!$D:$D), "")</f>
        <v/>
      </c>
      <c r="AS15" s="152" t="str">
        <f t="array" ref="AS15">ifna(xlookup(AO13, 'Week 2'!$A:$A, 'Week 2'!$G:$G), "")</f>
        <v/>
      </c>
      <c r="AT15" s="152" t="str">
        <f t="array" ref="AT15">ifna(xlookup(AO13, 'Week 2'!$A:$A, 'Week 2'!$H:$H), "")</f>
        <v/>
      </c>
      <c r="AU15" s="152" t="str">
        <f t="array" ref="AU15">ifna(xlookup(AO13, 'Week 2'!$A:$A, 'Week 2'!$E:$E), "")</f>
        <v/>
      </c>
      <c r="AV15" s="152" t="str">
        <f t="array" ref="AV15">ifna(xlookup(AO13, 'Week 2'!$A:$A, 'Week 2'!$F:$F), "")</f>
        <v/>
      </c>
      <c r="AW15" s="152" t="str">
        <f t="array" ref="AW15">ifna(xlookup(AO13, 'Week 2'!$A:$A, 'Week 2'!$I:$I), "")</f>
        <v/>
      </c>
      <c r="AX15" s="153" t="str">
        <f t="shared" si="34"/>
        <v/>
      </c>
      <c r="AY15" s="151" t="s">
        <v>7</v>
      </c>
      <c r="AZ15" s="2" t="str">
        <f t="shared" si="35"/>
        <v>Yes</v>
      </c>
      <c r="BA15" s="152" t="str">
        <f t="array" ref="BA15">ifna(xlookup(AY13, 'Week 2'!$A:$A, 'Week 2'!$B:$B), "")</f>
        <v>Win</v>
      </c>
      <c r="BB15" s="152">
        <f t="array" ref="BB15">ifna(xlookup(AY13, 'Week 2'!$A:$A, 'Week 2'!$D:$D), "")</f>
        <v>18</v>
      </c>
      <c r="BC15" s="152">
        <f t="array" ref="BC15">ifna(xlookup(AY13, 'Week 2'!$A:$A, 'Week 2'!$G:$G), "")</f>
        <v>4</v>
      </c>
      <c r="BD15" s="152">
        <f t="array" ref="BD15">ifna(xlookup(AY13, 'Week 2'!$A:$A, 'Week 2'!$H:$H), "")</f>
        <v>1</v>
      </c>
      <c r="BE15" s="152">
        <f t="array" ref="BE15">ifna(xlookup(AY13, 'Week 2'!$A:$A, 'Week 2'!$E:$E), "")</f>
        <v>13</v>
      </c>
      <c r="BF15" s="152">
        <f t="array" ref="BF15">ifna(xlookup(AY13, 'Week 2'!$A:$A, 'Week 2'!$F:$F), "")</f>
        <v>0</v>
      </c>
      <c r="BG15" s="152">
        <f t="array" ref="BG15">ifna(xlookup(AY13, 'Week 2'!$A:$A, 'Week 2'!$I:$I), "")</f>
        <v>20</v>
      </c>
      <c r="BH15" s="153">
        <f t="shared" si="36"/>
        <v>0.4736842105</v>
      </c>
      <c r="BI15" s="8"/>
      <c r="BJ15" s="8"/>
      <c r="BK15" s="8"/>
      <c r="BL15" s="8"/>
    </row>
    <row r="16">
      <c r="A16" s="151" t="s">
        <v>12</v>
      </c>
      <c r="B16" s="2" t="str">
        <f t="shared" si="25"/>
        <v>Yes</v>
      </c>
      <c r="C16" s="152" t="str">
        <f t="array" ref="C16">ifna(xlookup(A13, 'Week 3'!$A:$A, 'Week 3'!$B:$B), "")</f>
        <v>Loss</v>
      </c>
      <c r="D16" s="152">
        <f t="array" ref="D16">ifna(xlookup(A13, 'Week 3'!$A:$A, 'Week 3'!$D:$D), "")</f>
        <v>13</v>
      </c>
      <c r="E16" s="152">
        <f t="array" ref="E16">ifna(xlookup(A13, 'Week 3'!$A:$A, 'Week 3'!$G:$G), "")</f>
        <v>7</v>
      </c>
      <c r="F16" s="152">
        <f t="array" ref="F16">ifna(xlookup(A13, 'Week 3'!$A:$A, 'Week 3'!$H:$H), "")</f>
        <v>1</v>
      </c>
      <c r="G16" s="152">
        <f t="array" ref="G16">ifna(xlookup(A13, 'Week 3'!$A:$A, 'Week 3'!$E:$E), "")</f>
        <v>4</v>
      </c>
      <c r="H16" s="152">
        <f t="array" ref="H16">ifna(xlookup(A13, 'Week 3'!$A:$A, 'Week 3'!$F:$F), "")</f>
        <v>1</v>
      </c>
      <c r="I16" s="152">
        <f t="array" ref="I16">ifna(xlookup(A13, 'Week 3'!$A:$A, 'Week 3'!$I:$I), "")</f>
        <v>27</v>
      </c>
      <c r="J16" s="153">
        <f t="shared" si="26"/>
        <v>0.325</v>
      </c>
      <c r="K16" s="151" t="s">
        <v>12</v>
      </c>
      <c r="L16" s="2" t="str">
        <f t="shared" si="27"/>
        <v>Yes</v>
      </c>
      <c r="M16" s="152" t="str">
        <f t="array" ref="M16">ifna(xlookup(K13, 'Week 3'!$A:$A, 'Week 3'!$B:$B), "")</f>
        <v>Win</v>
      </c>
      <c r="N16" s="152">
        <f t="array" ref="N16">ifna(xlookup(K13, 'Week 3'!$A:$A, 'Week 3'!$D:$D), "")</f>
        <v>10</v>
      </c>
      <c r="O16" s="152">
        <f t="array" ref="O16">ifna(xlookup(K13, 'Week 3'!$A:$A, 'Week 3'!$G:$G), "")</f>
        <v>5</v>
      </c>
      <c r="P16" s="152">
        <f t="array" ref="P16">ifna(xlookup(K13, 'Week 3'!$A:$A, 'Week 3'!$H:$H), "")</f>
        <v>2</v>
      </c>
      <c r="Q16" s="152">
        <f t="array" ref="Q16">ifna(xlookup(K13, 'Week 3'!$A:$A, 'Week 3'!$E:$E), "")</f>
        <v>3</v>
      </c>
      <c r="R16" s="152">
        <f t="array" ref="R16">ifna(xlookup(K13, 'Week 3'!$A:$A, 'Week 3'!$F:$F), "")</f>
        <v>0</v>
      </c>
      <c r="S16" s="152">
        <f t="array" ref="S16">ifna(xlookup(K13, 'Week 3'!$A:$A, 'Week 3'!$I:$I), "")</f>
        <v>34</v>
      </c>
      <c r="T16" s="153">
        <f t="shared" si="28"/>
        <v>0.2272727273</v>
      </c>
      <c r="U16" s="151" t="s">
        <v>12</v>
      </c>
      <c r="V16" s="2" t="str">
        <f t="shared" si="29"/>
        <v>Yes</v>
      </c>
      <c r="W16" s="152" t="str">
        <f t="array" ref="W16">ifna(xlookup(U13, 'Week 3'!$A:$A, 'Week 3'!$B:$B), "")</f>
        <v>Win</v>
      </c>
      <c r="X16" s="152">
        <f t="array" ref="X16">ifna(xlookup(U13, 'Week 3'!$A:$A, 'Week 3'!$D:$D), "")</f>
        <v>23</v>
      </c>
      <c r="Y16" s="152">
        <f t="array" ref="Y16">ifna(xlookup(U13, 'Week 3'!$A:$A, 'Week 3'!$G:$G), "")</f>
        <v>15</v>
      </c>
      <c r="Z16" s="152">
        <f t="array" ref="Z16">ifna(xlookup(U13, 'Week 3'!$A:$A, 'Week 3'!$H:$H), "")</f>
        <v>1</v>
      </c>
      <c r="AA16" s="152">
        <f t="array" ref="AA16">ifna(xlookup(U13, 'Week 3'!$A:$A, 'Week 3'!$E:$E), "")</f>
        <v>5</v>
      </c>
      <c r="AB16" s="152">
        <f t="array" ref="AB16">ifna(xlookup(U13, 'Week 3'!$A:$A, 'Week 3'!$F:$F), "")</f>
        <v>2</v>
      </c>
      <c r="AC16" s="152">
        <f t="array" ref="AC16">ifna(xlookup(U13, 'Week 3'!$A:$A, 'Week 3'!$I:$I), "")</f>
        <v>22</v>
      </c>
      <c r="AD16" s="153">
        <f t="shared" si="30"/>
        <v>0.5111111111</v>
      </c>
      <c r="AE16" s="151" t="s">
        <v>12</v>
      </c>
      <c r="AF16" s="2" t="str">
        <f t="shared" si="31"/>
        <v>Yes</v>
      </c>
      <c r="AG16" s="152" t="str">
        <f t="array" ref="AG16">ifna(xlookup(AE13, 'Week 3'!$A:$A, 'Week 3'!$B:$B), "")</f>
        <v>Loss</v>
      </c>
      <c r="AH16" s="152">
        <f t="array" ref="AH16">ifna(xlookup(AE13, 'Week 3'!$A:$A, 'Week 3'!$D:$D), "")</f>
        <v>20</v>
      </c>
      <c r="AI16" s="152">
        <f t="array" ref="AI16">ifna(xlookup(AE13, 'Week 3'!$A:$A, 'Week 3'!$G:$G), "")</f>
        <v>12</v>
      </c>
      <c r="AJ16" s="152">
        <f t="array" ref="AJ16">ifna(xlookup(AE13, 'Week 3'!$A:$A, 'Week 3'!$H:$H), "")</f>
        <v>0</v>
      </c>
      <c r="AK16" s="152">
        <f t="array" ref="AK16">ifna(xlookup(AE13, 'Week 3'!$A:$A, 'Week 3'!$E:$E), "")</f>
        <v>8</v>
      </c>
      <c r="AL16" s="152">
        <f t="array" ref="AL16">ifna(xlookup(AE13, 'Week 3'!$A:$A, 'Week 3'!$F:$F), "")</f>
        <v>0</v>
      </c>
      <c r="AM16" s="152">
        <f t="array" ref="AM16">ifna(xlookup(AE13, 'Week 3'!$A:$A, 'Week 3'!$I:$I), "")</f>
        <v>31</v>
      </c>
      <c r="AN16" s="153">
        <f t="shared" si="32"/>
        <v>0.3921568627</v>
      </c>
      <c r="AO16" s="151" t="s">
        <v>12</v>
      </c>
      <c r="AP16" s="2" t="str">
        <f t="shared" si="33"/>
        <v/>
      </c>
      <c r="AQ16" s="152" t="str">
        <f t="array" ref="AQ16">ifna(xlookup(AO13, 'Week 3'!$A:$A, 'Week 3'!$B:$B), "")</f>
        <v/>
      </c>
      <c r="AR16" s="152" t="str">
        <f t="array" ref="AR16">ifna(xlookup(AO13, 'Week 3'!$A:$A, 'Week 3'!$D:$D), "")</f>
        <v/>
      </c>
      <c r="AS16" s="152" t="str">
        <f t="array" ref="AS16">ifna(xlookup(AO13, 'Week 3'!$A:$A, 'Week 3'!$G:$G), "")</f>
        <v/>
      </c>
      <c r="AT16" s="152" t="str">
        <f t="array" ref="AT16">ifna(xlookup(AO13, 'Week 3'!$A:$A, 'Week 3'!$H:$H), "")</f>
        <v/>
      </c>
      <c r="AU16" s="152" t="str">
        <f t="array" ref="AU16">ifna(xlookup(AO13, 'Week 3'!$A:$A, 'Week 3'!$E:$E), "")</f>
        <v/>
      </c>
      <c r="AV16" s="152" t="str">
        <f t="array" ref="AV16">ifna(xlookup(AO13, 'Week 3'!$A:$A, 'Week 3'!$F:$F), "")</f>
        <v/>
      </c>
      <c r="AW16" s="152" t="str">
        <f t="array" ref="AW16">ifna(xlookup(AO13, 'Week 3'!$A:$A, 'Week 3'!$I:$I), "")</f>
        <v/>
      </c>
      <c r="AX16" s="153" t="str">
        <f t="shared" si="34"/>
        <v/>
      </c>
      <c r="AY16" s="151" t="s">
        <v>12</v>
      </c>
      <c r="AZ16" s="2" t="str">
        <f t="shared" si="35"/>
        <v>Yes</v>
      </c>
      <c r="BA16" s="152" t="str">
        <f t="array" ref="BA16">ifna(xlookup(AY13, 'Week 3'!$A:$A, 'Week 3'!$B:$B), "")</f>
        <v>Loss</v>
      </c>
      <c r="BB16" s="152">
        <f t="array" ref="BB16">ifna(xlookup(AY13, 'Week 3'!$A:$A, 'Week 3'!$D:$D), "")</f>
        <v>10</v>
      </c>
      <c r="BC16" s="152">
        <f t="array" ref="BC16">ifna(xlookup(AY13, 'Week 3'!$A:$A, 'Week 3'!$G:$G), "")</f>
        <v>1</v>
      </c>
      <c r="BD16" s="152">
        <f t="array" ref="BD16">ifna(xlookup(AY13, 'Week 3'!$A:$A, 'Week 3'!$H:$H), "")</f>
        <v>2</v>
      </c>
      <c r="BE16" s="152">
        <f t="array" ref="BE16">ifna(xlookup(AY13, 'Week 3'!$A:$A, 'Week 3'!$E:$E), "")</f>
        <v>7</v>
      </c>
      <c r="BF16" s="152">
        <f t="array" ref="BF16">ifna(xlookup(AY13, 'Week 3'!$A:$A, 'Week 3'!$F:$F), "")</f>
        <v>0</v>
      </c>
      <c r="BG16" s="152">
        <f t="array" ref="BG16">ifna(xlookup(AY13, 'Week 3'!$A:$A, 'Week 3'!$I:$I), "")</f>
        <v>28</v>
      </c>
      <c r="BH16" s="153">
        <f t="shared" si="36"/>
        <v>0.2631578947</v>
      </c>
      <c r="BI16" s="8"/>
      <c r="BJ16" s="8"/>
      <c r="BK16" s="8"/>
      <c r="BL16" s="8"/>
    </row>
    <row r="17">
      <c r="A17" s="151" t="s">
        <v>17</v>
      </c>
      <c r="B17" s="2" t="str">
        <f t="shared" si="25"/>
        <v>Yes</v>
      </c>
      <c r="C17" s="152" t="str">
        <f t="array" ref="C17">ifna(xlookup(A13, 'Week 4'!$A:$A, 'Week 4'!$B:$B), "")</f>
        <v>Win</v>
      </c>
      <c r="D17" s="152">
        <f t="array" ref="D17">ifna(xlookup(A13, 'Week 4'!$A:$A, 'Week 4'!$D:$D), "")</f>
        <v>17</v>
      </c>
      <c r="E17" s="152">
        <f t="array" ref="E17">ifna(xlookup(A13, 'Week 4'!$A:$A, 'Week 4'!$G:$G), "")</f>
        <v>4</v>
      </c>
      <c r="F17" s="152">
        <f t="array" ref="F17">ifna(xlookup(A13, 'Week 4'!$A:$A, 'Week 4'!$H:$H), "")</f>
        <v>3</v>
      </c>
      <c r="G17" s="152">
        <f t="array" ref="G17">ifna(xlookup(A13, 'Week 4'!$A:$A, 'Week 4'!$E:$E), "")</f>
        <v>9</v>
      </c>
      <c r="H17" s="152">
        <f t="array" ref="H17">ifna(xlookup(A13, 'Week 4'!$A:$A, 'Week 4'!$F:$F), "")</f>
        <v>1</v>
      </c>
      <c r="I17" s="152">
        <f t="array" ref="I17">ifna(xlookup(A13, 'Week 4'!$A:$A, 'Week 4'!$I:$I), "")</f>
        <v>20</v>
      </c>
      <c r="J17" s="153">
        <f t="shared" si="26"/>
        <v>0.4594594595</v>
      </c>
      <c r="K17" s="151" t="s">
        <v>17</v>
      </c>
      <c r="L17" s="2" t="str">
        <f t="shared" si="27"/>
        <v/>
      </c>
      <c r="M17" s="152" t="str">
        <f t="array" ref="M17">ifna(xlookup(K13, 'Week 4'!$A:$A, 'Week 4'!$B:$B), "")</f>
        <v>Loss</v>
      </c>
      <c r="N17" s="152" t="str">
        <f t="array" ref="N17">ifna(xlookup(K13, 'Week 4'!$A:$A, 'Week 4'!$D:$D), "")</f>
        <v/>
      </c>
      <c r="O17" s="152" t="str">
        <f t="array" ref="O17">ifna(xlookup(K13, 'Week 4'!$A:$A, 'Week 4'!$G:$G), "")</f>
        <v/>
      </c>
      <c r="P17" s="152" t="str">
        <f t="array" ref="P17">ifna(xlookup(K13, 'Week 4'!$A:$A, 'Week 4'!$H:$H), "")</f>
        <v/>
      </c>
      <c r="Q17" s="152" t="str">
        <f t="array" ref="Q17">ifna(xlookup(K13, 'Week 4'!$A:$A, 'Week 4'!$E:$E), "")</f>
        <v/>
      </c>
      <c r="R17" s="152" t="str">
        <f t="array" ref="R17">ifna(xlookup(K13, 'Week 4'!$A:$A, 'Week 4'!$F:$F), "")</f>
        <v/>
      </c>
      <c r="S17" s="152" t="str">
        <f t="array" ref="S17">ifna(xlookup(K13, 'Week 4'!$A:$A, 'Week 4'!$I:$I), "")</f>
        <v/>
      </c>
      <c r="T17" s="153" t="str">
        <f t="shared" si="28"/>
        <v/>
      </c>
      <c r="U17" s="151" t="s">
        <v>17</v>
      </c>
      <c r="V17" s="2" t="str">
        <f t="shared" si="29"/>
        <v>Yes</v>
      </c>
      <c r="W17" s="152" t="str">
        <f t="array" ref="W17">ifna(xlookup(U13, 'Week 4'!$A:$A, 'Week 4'!$B:$B), "")</f>
        <v>Loss</v>
      </c>
      <c r="X17" s="152">
        <f t="array" ref="X17">ifna(xlookup(U13, 'Week 4'!$A:$A, 'Week 4'!$D:$D), "")</f>
        <v>24</v>
      </c>
      <c r="Y17" s="152">
        <f t="array" ref="Y17">ifna(xlookup(U13, 'Week 4'!$A:$A, 'Week 4'!$G:$G), "")</f>
        <v>11</v>
      </c>
      <c r="Z17" s="152">
        <f t="array" ref="Z17">ifna(xlookup(U13, 'Week 4'!$A:$A, 'Week 4'!$H:$H), "")</f>
        <v>3</v>
      </c>
      <c r="AA17" s="152">
        <f t="array" ref="AA17">ifna(xlookup(U13, 'Week 4'!$A:$A, 'Week 4'!$E:$E), "")</f>
        <v>8</v>
      </c>
      <c r="AB17" s="152">
        <f t="array" ref="AB17">ifna(xlookup(U13, 'Week 4'!$A:$A, 'Week 4'!$F:$F), "")</f>
        <v>2</v>
      </c>
      <c r="AC17" s="152">
        <f t="array" ref="AC17">ifna(xlookup(U13, 'Week 4'!$A:$A, 'Week 4'!$I:$I), "")</f>
        <v>19</v>
      </c>
      <c r="AD17" s="153">
        <f t="shared" si="30"/>
        <v>0.5581395349</v>
      </c>
      <c r="AE17" s="151" t="s">
        <v>17</v>
      </c>
      <c r="AF17" s="2" t="str">
        <f t="shared" si="31"/>
        <v>Yes</v>
      </c>
      <c r="AG17" s="152" t="str">
        <f t="array" ref="AG17">ifna(xlookup(AE13, 'Week 4'!$A:$A, 'Week 4'!$B:$B), "")</f>
        <v>Win</v>
      </c>
      <c r="AH17" s="152">
        <f t="array" ref="AH17">ifna(xlookup(AE13, 'Week 4'!$A:$A, 'Week 4'!$D:$D), "")</f>
        <v>18</v>
      </c>
      <c r="AI17" s="152">
        <f t="array" ref="AI17">ifna(xlookup(AE13, 'Week 4'!$A:$A, 'Week 4'!$G:$G), "")</f>
        <v>8</v>
      </c>
      <c r="AJ17" s="152">
        <f t="array" ref="AJ17">ifna(xlookup(AE13, 'Week 4'!$A:$A, 'Week 4'!$H:$H), "")</f>
        <v>0</v>
      </c>
      <c r="AK17" s="152">
        <f t="array" ref="AK17">ifna(xlookup(AE13, 'Week 4'!$A:$A, 'Week 4'!$E:$E), "")</f>
        <v>9</v>
      </c>
      <c r="AL17" s="152">
        <f t="array" ref="AL17">ifna(xlookup(AE13, 'Week 4'!$A:$A, 'Week 4'!$F:$F), "")</f>
        <v>1</v>
      </c>
      <c r="AM17" s="152">
        <f t="array" ref="AM17">ifna(xlookup(AE13, 'Week 4'!$A:$A, 'Week 4'!$I:$I), "")</f>
        <v>29</v>
      </c>
      <c r="AN17" s="153">
        <f t="shared" si="32"/>
        <v>0.3829787234</v>
      </c>
      <c r="AO17" s="151" t="s">
        <v>17</v>
      </c>
      <c r="AP17" s="2" t="str">
        <f t="shared" si="33"/>
        <v/>
      </c>
      <c r="AQ17" s="152" t="str">
        <f t="array" ref="AQ17">ifna(xlookup(AO13, 'Week 4'!$A:$A, 'Week 4'!$B:$B), "")</f>
        <v/>
      </c>
      <c r="AR17" s="152" t="str">
        <f t="array" ref="AR17">ifna(xlookup(AO13, 'Week 4'!$A:$A, 'Week 4'!$D:$D), "")</f>
        <v/>
      </c>
      <c r="AS17" s="152" t="str">
        <f t="array" ref="AS17">ifna(xlookup(AO13, 'Week 4'!$A:$A, 'Week 4'!$G:$G), "")</f>
        <v/>
      </c>
      <c r="AT17" s="152" t="str">
        <f t="array" ref="AT17">ifna(xlookup(AO13, 'Week 4'!$A:$A, 'Week 4'!$H:$H), "")</f>
        <v/>
      </c>
      <c r="AU17" s="152" t="str">
        <f t="array" ref="AU17">ifna(xlookup(AO13, 'Week 4'!$A:$A, 'Week 4'!$E:$E), "")</f>
        <v/>
      </c>
      <c r="AV17" s="152" t="str">
        <f t="array" ref="AV17">ifna(xlookup(AO13, 'Week 4'!$A:$A, 'Week 4'!$F:$F), "")</f>
        <v/>
      </c>
      <c r="AW17" s="152" t="str">
        <f t="array" ref="AW17">ifna(xlookup(AO13, 'Week 4'!$A:$A, 'Week 4'!$I:$I), "")</f>
        <v/>
      </c>
      <c r="AX17" s="153" t="str">
        <f t="shared" si="34"/>
        <v/>
      </c>
      <c r="AY17" s="151" t="s">
        <v>17</v>
      </c>
      <c r="AZ17" s="2" t="str">
        <f t="shared" si="35"/>
        <v/>
      </c>
      <c r="BA17" s="152" t="str">
        <f t="array" ref="BA17">ifna(xlookup(AY13, 'Week 4'!$A:$A, 'Week 4'!$B:$B), "")</f>
        <v>Loss</v>
      </c>
      <c r="BB17" s="152" t="str">
        <f t="array" ref="BB17">ifna(xlookup(AY13, 'Week 4'!$A:$A, 'Week 4'!$D:$D), "")</f>
        <v/>
      </c>
      <c r="BC17" s="152" t="str">
        <f t="array" ref="BC17">ifna(xlookup(AY13, 'Week 4'!$A:$A, 'Week 4'!$G:$G), "")</f>
        <v/>
      </c>
      <c r="BD17" s="152" t="str">
        <f t="array" ref="BD17">ifna(xlookup(AY13, 'Week 4'!$A:$A, 'Week 4'!$H:$H), "")</f>
        <v/>
      </c>
      <c r="BE17" s="152" t="str">
        <f t="array" ref="BE17">ifna(xlookup(AY13, 'Week 4'!$A:$A, 'Week 4'!$E:$E), "")</f>
        <v/>
      </c>
      <c r="BF17" s="152" t="str">
        <f t="array" ref="BF17">ifna(xlookup(AY13, 'Week 4'!$A:$A, 'Week 4'!$F:$F), "")</f>
        <v/>
      </c>
      <c r="BG17" s="152" t="str">
        <f t="array" ref="BG17">ifna(xlookup(AY13, 'Week 4'!$A:$A, 'Week 4'!$I:$I), "")</f>
        <v/>
      </c>
      <c r="BH17" s="153" t="str">
        <f t="shared" si="36"/>
        <v/>
      </c>
      <c r="BI17" s="8"/>
      <c r="BJ17" s="8"/>
      <c r="BK17" s="8"/>
      <c r="BL17" s="8"/>
    </row>
    <row r="18">
      <c r="A18" s="151" t="s">
        <v>20</v>
      </c>
      <c r="B18" s="2" t="str">
        <f t="shared" si="25"/>
        <v>Yes</v>
      </c>
      <c r="C18" s="152" t="str">
        <f t="array" ref="C18">ifna(xlookup(A13, 'Week 5'!$A:$A, 'Week 5'!$B:$B), "")</f>
        <v>Loss</v>
      </c>
      <c r="D18" s="152">
        <f t="array" ref="D18">ifna(xlookup(A13, 'Week 5'!$A:$A, 'Week 5'!$D:$D), "")</f>
        <v>18</v>
      </c>
      <c r="E18" s="152">
        <f t="array" ref="E18">ifna(xlookup(A13, 'Week 5'!$A:$A, 'Week 5'!$G:$G), "")</f>
        <v>6</v>
      </c>
      <c r="F18" s="152">
        <f t="array" ref="F18">ifna(xlookup(A13, 'Week 5'!$A:$A, 'Week 5'!$H:$H), "")</f>
        <v>1</v>
      </c>
      <c r="G18" s="152">
        <f t="array" ref="G18">ifna(xlookup(A13, 'Week 5'!$A:$A, 'Week 5'!$E:$E), "")</f>
        <v>10</v>
      </c>
      <c r="H18" s="152">
        <f t="array" ref="H18">ifna(xlookup(A13, 'Week 5'!$A:$A, 'Week 5'!$F:$F), "")</f>
        <v>1</v>
      </c>
      <c r="I18" s="152">
        <f t="array" ref="I18">ifna(xlookup(A13, 'Week 5'!$A:$A, 'Week 5'!$I:$I), "")</f>
        <v>23</v>
      </c>
      <c r="J18" s="153">
        <f t="shared" si="26"/>
        <v>0.4390243902</v>
      </c>
      <c r="K18" s="151" t="s">
        <v>20</v>
      </c>
      <c r="L18" s="2" t="str">
        <f t="shared" si="27"/>
        <v>Yes</v>
      </c>
      <c r="M18" s="152" t="str">
        <f t="array" ref="M18">ifna(xlookup(K13, 'Week 5'!$A:$A, 'Week 5'!$B:$B), "")</f>
        <v>Win</v>
      </c>
      <c r="N18" s="152">
        <f t="array" ref="N18">ifna(xlookup(K13, 'Week 5'!$A:$A, 'Week 5'!$D:$D), "")</f>
        <v>13</v>
      </c>
      <c r="O18" s="152">
        <f t="array" ref="O18">ifna(xlookup(K13, 'Week 5'!$A:$A, 'Week 5'!$G:$G), "")</f>
        <v>5</v>
      </c>
      <c r="P18" s="152">
        <f t="array" ref="P18">ifna(xlookup(K13, 'Week 5'!$A:$A, 'Week 5'!$H:$H), "")</f>
        <v>2</v>
      </c>
      <c r="Q18" s="152">
        <f t="array" ref="Q18">ifna(xlookup(K13, 'Week 5'!$A:$A, 'Week 5'!$E:$E), "")</f>
        <v>6</v>
      </c>
      <c r="R18" s="152">
        <f t="array" ref="R18">ifna(xlookup(K13, 'Week 5'!$A:$A, 'Week 5'!$F:$F), "")</f>
        <v>0</v>
      </c>
      <c r="S18" s="152">
        <f t="array" ref="S18">ifna(xlookup(K13, 'Week 5'!$A:$A, 'Week 5'!$I:$I), "")</f>
        <v>33</v>
      </c>
      <c r="T18" s="153">
        <f t="shared" si="28"/>
        <v>0.2826086957</v>
      </c>
      <c r="U18" s="151" t="s">
        <v>20</v>
      </c>
      <c r="V18" s="2" t="str">
        <f t="shared" si="29"/>
        <v>Yes</v>
      </c>
      <c r="W18" s="152" t="str">
        <f t="array" ref="W18">ifna(xlookup(U13, 'Week 5'!$A:$A, 'Week 5'!$B:$B), "")</f>
        <v>Loss</v>
      </c>
      <c r="X18" s="152">
        <f t="array" ref="X18">ifna(xlookup(U13, 'Week 5'!$A:$A, 'Week 5'!$D:$D), "")</f>
        <v>16</v>
      </c>
      <c r="Y18" s="152">
        <f t="array" ref="Y18">ifna(xlookup(U13, 'Week 5'!$A:$A, 'Week 5'!$G:$G), "")</f>
        <v>10</v>
      </c>
      <c r="Z18" s="152">
        <f t="array" ref="Z18">ifna(xlookup(U13, 'Week 5'!$A:$A, 'Week 5'!$H:$H), "")</f>
        <v>0</v>
      </c>
      <c r="AA18" s="152">
        <f t="array" ref="AA18">ifna(xlookup(U13, 'Week 5'!$A:$A, 'Week 5'!$E:$E), "")</f>
        <v>6</v>
      </c>
      <c r="AB18" s="152">
        <f t="array" ref="AB18">ifna(xlookup(U13, 'Week 5'!$A:$A, 'Week 5'!$F:$F), "")</f>
        <v>0</v>
      </c>
      <c r="AC18" s="152">
        <f t="array" ref="AC18">ifna(xlookup(U13, 'Week 5'!$A:$A, 'Week 5'!$I:$I), "")</f>
        <v>28</v>
      </c>
      <c r="AD18" s="153">
        <f t="shared" si="30"/>
        <v>0.3636363636</v>
      </c>
      <c r="AE18" s="151" t="s">
        <v>20</v>
      </c>
      <c r="AF18" s="2" t="str">
        <f t="shared" si="31"/>
        <v>Yes</v>
      </c>
      <c r="AG18" s="152" t="str">
        <f t="array" ref="AG18">ifna(xlookup(AE13, 'Week 5'!$A:$A, 'Week 5'!$B:$B), "")</f>
        <v>Win</v>
      </c>
      <c r="AH18" s="152">
        <f t="array" ref="AH18">ifna(xlookup(AE13, 'Week 5'!$A:$A, 'Week 5'!$D:$D), "")</f>
        <v>13</v>
      </c>
      <c r="AI18" s="152">
        <f t="array" ref="AI18">ifna(xlookup(AE13, 'Week 5'!$A:$A, 'Week 5'!$G:$G), "")</f>
        <v>5</v>
      </c>
      <c r="AJ18" s="152">
        <f t="array" ref="AJ18">ifna(xlookup(AE13, 'Week 5'!$A:$A, 'Week 5'!$H:$H), "")</f>
        <v>0</v>
      </c>
      <c r="AK18" s="152">
        <f t="array" ref="AK18">ifna(xlookup(AE13, 'Week 5'!$A:$A, 'Week 5'!$E:$E), "")</f>
        <v>8</v>
      </c>
      <c r="AL18" s="152">
        <f t="array" ref="AL18">ifna(xlookup(AE13, 'Week 5'!$A:$A, 'Week 5'!$F:$F), "")</f>
        <v>0</v>
      </c>
      <c r="AM18" s="152">
        <f t="array" ref="AM18">ifna(xlookup(AE13, 'Week 5'!$A:$A, 'Week 5'!$I:$I), "")</f>
        <v>28</v>
      </c>
      <c r="AN18" s="153">
        <f t="shared" si="32"/>
        <v>0.3170731707</v>
      </c>
      <c r="AO18" s="151" t="s">
        <v>20</v>
      </c>
      <c r="AP18" s="2" t="str">
        <f t="shared" si="33"/>
        <v/>
      </c>
      <c r="AQ18" s="152" t="str">
        <f t="array" ref="AQ18">ifna(xlookup(AO13, 'Week 5'!$A:$A, 'Week 5'!$B:$B), "")</f>
        <v/>
      </c>
      <c r="AR18" s="152" t="str">
        <f t="array" ref="AR18">ifna(xlookup(AO13, 'Week 5'!$A:$A, 'Week 5'!$D:$D), "")</f>
        <v/>
      </c>
      <c r="AS18" s="152" t="str">
        <f t="array" ref="AS18">ifna(xlookup(AO13, 'Week 5'!$A:$A, 'Week 5'!$G:$G), "")</f>
        <v/>
      </c>
      <c r="AT18" s="152" t="str">
        <f t="array" ref="AT18">ifna(xlookup(AO13, 'Week 5'!$A:$A, 'Week 5'!$H:$H), "")</f>
        <v/>
      </c>
      <c r="AU18" s="152" t="str">
        <f t="array" ref="AU18">ifna(xlookup(AO13, 'Week 5'!$A:$A, 'Week 5'!$E:$E), "")</f>
        <v/>
      </c>
      <c r="AV18" s="152" t="str">
        <f t="array" ref="AV18">ifna(xlookup(AO13, 'Week 5'!$A:$A, 'Week 5'!$F:$F), "")</f>
        <v/>
      </c>
      <c r="AW18" s="152" t="str">
        <f t="array" ref="AW18">ifna(xlookup(AO13, 'Week 5'!$A:$A, 'Week 5'!$I:$I), "")</f>
        <v/>
      </c>
      <c r="AX18" s="153" t="str">
        <f t="shared" si="34"/>
        <v/>
      </c>
      <c r="AY18" s="151" t="s">
        <v>20</v>
      </c>
      <c r="AZ18" s="2" t="str">
        <f t="shared" si="35"/>
        <v/>
      </c>
      <c r="BA18" s="152" t="str">
        <f t="array" ref="BA18">ifna(xlookup(AY13, 'Week 5'!$A:$A, 'Week 5'!$B:$B), "")</f>
        <v>Loss</v>
      </c>
      <c r="BB18" s="152" t="str">
        <f t="array" ref="BB18">ifna(xlookup(AY13, 'Week 5'!$A:$A, 'Week 5'!$D:$D), "")</f>
        <v/>
      </c>
      <c r="BC18" s="152" t="str">
        <f t="array" ref="BC18">ifna(xlookup(AY13, 'Week 5'!$A:$A, 'Week 5'!$G:$G), "")</f>
        <v/>
      </c>
      <c r="BD18" s="152" t="str">
        <f t="array" ref="BD18">ifna(xlookup(AY13, 'Week 5'!$A:$A, 'Week 5'!$H:$H), "")</f>
        <v/>
      </c>
      <c r="BE18" s="152" t="str">
        <f t="array" ref="BE18">ifna(xlookup(AY13, 'Week 5'!$A:$A, 'Week 5'!$E:$E), "")</f>
        <v/>
      </c>
      <c r="BF18" s="152" t="str">
        <f t="array" ref="BF18">ifna(xlookup(AY13, 'Week 5'!$A:$A, 'Week 5'!$F:$F), "")</f>
        <v/>
      </c>
      <c r="BG18" s="152" t="str">
        <f t="array" ref="BG18">ifna(xlookup(AY13, 'Week 5'!$A:$A, 'Week 5'!$I:$I), "")</f>
        <v/>
      </c>
      <c r="BH18" s="153" t="str">
        <f t="shared" si="36"/>
        <v/>
      </c>
      <c r="BI18" s="8"/>
      <c r="BJ18" s="8"/>
      <c r="BK18" s="8"/>
      <c r="BL18" s="8"/>
    </row>
    <row r="19">
      <c r="A19" s="151" t="s">
        <v>23</v>
      </c>
      <c r="B19" s="2" t="str">
        <f t="shared" si="25"/>
        <v/>
      </c>
      <c r="C19" s="152" t="str">
        <f t="array" ref="C19">ifna(xlookup(A13, 'Week 6'!$A:$A, 'Week 6'!$B:$B), "")</f>
        <v>Win</v>
      </c>
      <c r="D19" s="152" t="str">
        <f t="array" ref="D19">ifna(xlookup(A13, 'Week 6'!$A:$A, 'Week 6'!$D:$D), "")</f>
        <v/>
      </c>
      <c r="E19" s="152" t="str">
        <f t="array" ref="E19">ifna(xlookup(A13, 'Week 6'!$A:$A, 'Week 6'!$G:$G), "")</f>
        <v/>
      </c>
      <c r="F19" s="152" t="str">
        <f t="array" ref="F19">ifna(xlookup(A13, 'Week 6'!$A:$A, 'Week 6'!$H:$H), "")</f>
        <v/>
      </c>
      <c r="G19" s="152" t="str">
        <f t="array" ref="G19">ifna(xlookup(A13, 'Week 6'!$A:$A, 'Week 6'!$E:$E), "")</f>
        <v/>
      </c>
      <c r="H19" s="152" t="str">
        <f t="array" ref="H19">ifna(xlookup(A13, 'Week 6'!$A:$A, 'Week 6'!$F:$F), "")</f>
        <v/>
      </c>
      <c r="I19" s="152" t="str">
        <f t="array" ref="I19">ifna(xlookup(A13, 'Week 6'!$A:$A, 'Week 6'!$I:$I), "")</f>
        <v/>
      </c>
      <c r="J19" s="153" t="str">
        <f t="shared" si="26"/>
        <v/>
      </c>
      <c r="K19" s="151" t="s">
        <v>23</v>
      </c>
      <c r="L19" s="2" t="str">
        <f t="shared" si="27"/>
        <v>Yes</v>
      </c>
      <c r="M19" s="152" t="str">
        <f t="array" ref="M19">ifna(xlookup(K13, 'Week 6'!$A:$A, 'Week 6'!$B:$B), "")</f>
        <v>Loss</v>
      </c>
      <c r="N19" s="152">
        <f t="array" ref="N19">ifna(xlookup(K13, 'Week 6'!$A:$A, 'Week 6'!$D:$D), "")</f>
        <v>9</v>
      </c>
      <c r="O19" s="152">
        <f t="array" ref="O19">ifna(xlookup(K13, 'Week 6'!$A:$A, 'Week 6'!$G:$G), "")</f>
        <v>9</v>
      </c>
      <c r="P19" s="152">
        <f t="array" ref="P19">ifna(xlookup(K13, 'Week 6'!$A:$A, 'Week 6'!$H:$H), "")</f>
        <v>0</v>
      </c>
      <c r="Q19" s="152">
        <f t="array" ref="Q19">ifna(xlookup(K13, 'Week 6'!$A:$A, 'Week 6'!$E:$E), "")</f>
        <v>0</v>
      </c>
      <c r="R19" s="152">
        <f t="array" ref="R19">ifna(xlookup(K13, 'Week 6'!$A:$A, 'Week 6'!$F:$F), "")</f>
        <v>0</v>
      </c>
      <c r="S19" s="152">
        <f t="array" ref="S19">ifna(xlookup(K13, 'Week 6'!$A:$A, 'Week 6'!$I:$I), "")</f>
        <v>25</v>
      </c>
      <c r="T19" s="153">
        <f t="shared" si="28"/>
        <v>0.2647058824</v>
      </c>
      <c r="U19" s="151" t="s">
        <v>23</v>
      </c>
      <c r="V19" s="2" t="str">
        <f t="shared" si="29"/>
        <v>Yes</v>
      </c>
      <c r="W19" s="152" t="str">
        <f t="array" ref="W19">ifna(xlookup(U13, 'Week 6'!$A:$A, 'Week 6'!$B:$B), "")</f>
        <v>Loss</v>
      </c>
      <c r="X19" s="152">
        <f t="array" ref="X19">ifna(xlookup(U13, 'Week 6'!$A:$A, 'Week 6'!$D:$D), "")</f>
        <v>22</v>
      </c>
      <c r="Y19" s="152">
        <f t="array" ref="Y19">ifna(xlookup(U13, 'Week 6'!$A:$A, 'Week 6'!$G:$G), "")</f>
        <v>8</v>
      </c>
      <c r="Z19" s="152">
        <f t="array" ref="Z19">ifna(xlookup(U13, 'Week 6'!$A:$A, 'Week 6'!$H:$H), "")</f>
        <v>0</v>
      </c>
      <c r="AA19" s="152">
        <f t="array" ref="AA19">ifna(xlookup(U13, 'Week 6'!$A:$A, 'Week 6'!$E:$E), "")</f>
        <v>12</v>
      </c>
      <c r="AB19" s="152">
        <f t="array" ref="AB19">ifna(xlookup(U13, 'Week 6'!$A:$A, 'Week 6'!$F:$F), "")</f>
        <v>2</v>
      </c>
      <c r="AC19" s="152">
        <f t="array" ref="AC19">ifna(xlookup(U13, 'Week 6'!$A:$A, 'Week 6'!$I:$I), "")</f>
        <v>20</v>
      </c>
      <c r="AD19" s="153">
        <f t="shared" si="30"/>
        <v>0.5238095238</v>
      </c>
      <c r="AE19" s="151" t="s">
        <v>23</v>
      </c>
      <c r="AF19" s="2" t="str">
        <f t="shared" si="31"/>
        <v>Yes</v>
      </c>
      <c r="AG19" s="152" t="str">
        <f t="array" ref="AG19">ifna(xlookup(AE13, 'Week 6'!$A:$A, 'Week 6'!$B:$B), "")</f>
        <v>Loss</v>
      </c>
      <c r="AH19" s="152">
        <f t="array" ref="AH19">ifna(xlookup(AE13, 'Week 6'!$A:$A, 'Week 6'!$D:$D), "")</f>
        <v>19</v>
      </c>
      <c r="AI19" s="152">
        <f t="array" ref="AI19">ifna(xlookup(AE13, 'Week 6'!$A:$A, 'Week 6'!$G:$G), "")</f>
        <v>6</v>
      </c>
      <c r="AJ19" s="152">
        <f t="array" ref="AJ19">ifna(xlookup(AE13, 'Week 6'!$A:$A, 'Week 6'!$H:$H), "")</f>
        <v>0</v>
      </c>
      <c r="AK19" s="152">
        <f t="array" ref="AK19">ifna(xlookup(AE13, 'Week 6'!$A:$A, 'Week 6'!$E:$E), "")</f>
        <v>12</v>
      </c>
      <c r="AL19" s="152">
        <f t="array" ref="AL19">ifna(xlookup(AE13, 'Week 6'!$A:$A, 'Week 6'!$F:$F), "")</f>
        <v>1</v>
      </c>
      <c r="AM19" s="152">
        <f t="array" ref="AM19">ifna(xlookup(AE13, 'Week 6'!$A:$A, 'Week 6'!$I:$I), "")</f>
        <v>25</v>
      </c>
      <c r="AN19" s="153">
        <f t="shared" si="32"/>
        <v>0.4318181818</v>
      </c>
      <c r="AO19" s="151" t="s">
        <v>23</v>
      </c>
      <c r="AP19" s="2" t="str">
        <f t="shared" si="33"/>
        <v/>
      </c>
      <c r="AQ19" s="152" t="str">
        <f t="array" ref="AQ19">ifna(xlookup(AO13, 'Week 6'!$A:$A, 'Week 6'!$B:$B), "")</f>
        <v/>
      </c>
      <c r="AR19" s="152" t="str">
        <f t="array" ref="AR19">ifna(xlookup(AO13, 'Week 6'!$A:$A, 'Week 6'!$D:$D), "")</f>
        <v/>
      </c>
      <c r="AS19" s="152" t="str">
        <f t="array" ref="AS19">ifna(xlookup(AO13, 'Week 6'!$A:$A, 'Week 6'!$G:$G), "")</f>
        <v/>
      </c>
      <c r="AT19" s="152" t="str">
        <f t="array" ref="AT19">ifna(xlookup(AO13, 'Week 6'!$A:$A, 'Week 6'!$H:$H), "")</f>
        <v/>
      </c>
      <c r="AU19" s="152" t="str">
        <f t="array" ref="AU19">ifna(xlookup(AO13, 'Week 6'!$A:$A, 'Week 6'!$E:$E), "")</f>
        <v/>
      </c>
      <c r="AV19" s="152" t="str">
        <f t="array" ref="AV19">ifna(xlookup(AO13, 'Week 6'!$A:$A, 'Week 6'!$F:$F), "")</f>
        <v/>
      </c>
      <c r="AW19" s="152" t="str">
        <f t="array" ref="AW19">ifna(xlookup(AO13, 'Week 6'!$A:$A, 'Week 6'!$I:$I), "")</f>
        <v/>
      </c>
      <c r="AX19" s="153" t="str">
        <f t="shared" si="34"/>
        <v/>
      </c>
      <c r="AY19" s="151" t="s">
        <v>23</v>
      </c>
      <c r="AZ19" s="2" t="str">
        <f t="shared" si="35"/>
        <v/>
      </c>
      <c r="BA19" s="152" t="str">
        <f t="array" ref="BA19">ifna(xlookup(AY13, 'Week 6'!$A:$A, 'Week 6'!$B:$B), "")</f>
        <v>Win</v>
      </c>
      <c r="BB19" s="152" t="str">
        <f t="array" ref="BB19">ifna(xlookup(AY13, 'Week 6'!$A:$A, 'Week 6'!$D:$D), "")</f>
        <v/>
      </c>
      <c r="BC19" s="152" t="str">
        <f t="array" ref="BC19">ifna(xlookup(AY13, 'Week 6'!$A:$A, 'Week 6'!$G:$G), "")</f>
        <v/>
      </c>
      <c r="BD19" s="152" t="str">
        <f t="array" ref="BD19">ifna(xlookup(AY13, 'Week 6'!$A:$A, 'Week 6'!$H:$H), "")</f>
        <v/>
      </c>
      <c r="BE19" s="152" t="str">
        <f t="array" ref="BE19">ifna(xlookup(AY13, 'Week 6'!$A:$A, 'Week 6'!$E:$E), "")</f>
        <v/>
      </c>
      <c r="BF19" s="152" t="str">
        <f t="array" ref="BF19">ifna(xlookup(AY13, 'Week 6'!$A:$A, 'Week 6'!$F:$F), "")</f>
        <v/>
      </c>
      <c r="BG19" s="152" t="str">
        <f t="array" ref="BG19">ifna(xlookup(AY13, 'Week 6'!$A:$A, 'Week 6'!$I:$I), "")</f>
        <v/>
      </c>
      <c r="BH19" s="153" t="str">
        <f t="shared" si="36"/>
        <v/>
      </c>
      <c r="BI19" s="8"/>
      <c r="BJ19" s="8"/>
      <c r="BK19" s="8"/>
      <c r="BL19" s="8"/>
    </row>
    <row r="20">
      <c r="A20" s="151" t="s">
        <v>41</v>
      </c>
      <c r="B20" s="2" t="str">
        <f t="shared" si="25"/>
        <v>Yes</v>
      </c>
      <c r="C20" s="152" t="str">
        <f t="array" ref="C20">ifna(xlookup(A13, 'Week 7'!$A:$A, 'Week 7'!$B:$B), "")</f>
        <v>Win</v>
      </c>
      <c r="D20" s="152">
        <f t="array" ref="D20">ifna(xlookup(A13, 'Week 7'!$A:$A, 'Week 7'!$D:$D), "")</f>
        <v>22</v>
      </c>
      <c r="E20" s="152">
        <f t="array" ref="E20">ifna(xlookup(A13, 'Week 7'!$A:$A, 'Week 7'!$G:$G), "")</f>
        <v>4</v>
      </c>
      <c r="F20" s="152">
        <f t="array" ref="F20">ifna(xlookup(A13, 'Week 7'!$A:$A, 'Week 7'!$H:$H), "")</f>
        <v>2</v>
      </c>
      <c r="G20" s="152">
        <f t="array" ref="G20">ifna(xlookup(A13, 'Week 7'!$A:$A, 'Week 7'!$E:$E), "")</f>
        <v>13</v>
      </c>
      <c r="H20" s="152">
        <f t="array" ref="H20">ifna(xlookup(A13, 'Week 7'!$A:$A, 'Week 7'!$F:$F), "")</f>
        <v>3</v>
      </c>
      <c r="I20" s="152">
        <f t="array" ref="I20">ifna(xlookup(A13, 'Week 7'!$A:$A, 'Week 7'!$I:$I), "")</f>
        <v>28</v>
      </c>
      <c r="J20" s="153">
        <f t="shared" si="26"/>
        <v>0.44</v>
      </c>
      <c r="K20" s="151" t="s">
        <v>41</v>
      </c>
      <c r="L20" s="2" t="str">
        <f t="shared" si="27"/>
        <v/>
      </c>
      <c r="M20" s="152" t="str">
        <f t="array" ref="M20">ifna(xlookup(K13, 'Week 7'!$A:$A, 'Week 7'!$B:$B), "")</f>
        <v>Win</v>
      </c>
      <c r="N20" s="152" t="str">
        <f t="array" ref="N20">ifna(xlookup(K13, 'Week 7'!$A:$A, 'Week 7'!$D:$D), "")</f>
        <v/>
      </c>
      <c r="O20" s="152" t="str">
        <f t="array" ref="O20">ifna(xlookup(K13, 'Week 7'!$A:$A, 'Week 7'!$G:$G), "")</f>
        <v/>
      </c>
      <c r="P20" s="152" t="str">
        <f t="array" ref="P20">ifna(xlookup(K13, 'Week 7'!$A:$A, 'Week 7'!$H:$H), "")</f>
        <v/>
      </c>
      <c r="Q20" s="152" t="str">
        <f t="array" ref="Q20">ifna(xlookup(K13, 'Week 7'!$A:$A, 'Week 7'!$E:$E), "")</f>
        <v/>
      </c>
      <c r="R20" s="152" t="str">
        <f t="array" ref="R20">ifna(xlookup(K13, 'Week 7'!$A:$A, 'Week 7'!$F:$F), "")</f>
        <v/>
      </c>
      <c r="S20" s="152" t="str">
        <f t="array" ref="S20">ifna(xlookup(K13, 'Week 7'!$A:$A, 'Week 7'!$I:$I), "")</f>
        <v/>
      </c>
      <c r="T20" s="153" t="str">
        <f t="shared" si="28"/>
        <v/>
      </c>
      <c r="U20" s="151" t="s">
        <v>41</v>
      </c>
      <c r="V20" s="2" t="str">
        <f t="shared" si="29"/>
        <v>Yes</v>
      </c>
      <c r="W20" s="152" t="str">
        <f t="array" ref="W20">ifna(xlookup(U13, 'Week 7'!$A:$A, 'Week 7'!$B:$B), "")</f>
        <v>Loss</v>
      </c>
      <c r="X20" s="152">
        <f t="array" ref="X20">ifna(xlookup(U13, 'Week 7'!$A:$A, 'Week 7'!$D:$D), "")</f>
        <v>26</v>
      </c>
      <c r="Y20" s="152">
        <f t="array" ref="Y20">ifna(xlookup(U13, 'Week 7'!$A:$A, 'Week 7'!$G:$G), "")</f>
        <v>12</v>
      </c>
      <c r="Z20" s="152">
        <f t="array" ref="Z20">ifna(xlookup(U13, 'Week 7'!$A:$A, 'Week 7'!$H:$H), "")</f>
        <v>3</v>
      </c>
      <c r="AA20" s="152">
        <f t="array" ref="AA20">ifna(xlookup(U13, 'Week 7'!$A:$A, 'Week 7'!$E:$E), "")</f>
        <v>11</v>
      </c>
      <c r="AB20" s="152">
        <f t="array" ref="AB20">ifna(xlookup(U13, 'Week 7'!$A:$A, 'Week 7'!$F:$F), "")</f>
        <v>0</v>
      </c>
      <c r="AC20" s="152">
        <f t="array" ref="AC20">ifna(xlookup(U13, 'Week 7'!$A:$A, 'Week 7'!$I:$I), "")</f>
        <v>20</v>
      </c>
      <c r="AD20" s="153">
        <f t="shared" si="30"/>
        <v>0.5652173913</v>
      </c>
      <c r="AE20" s="151" t="s">
        <v>41</v>
      </c>
      <c r="AF20" s="2" t="str">
        <f t="shared" si="31"/>
        <v>Yes</v>
      </c>
      <c r="AG20" s="152" t="str">
        <f t="array" ref="AG20">ifna(xlookup(AE13, 'Week 7'!$A:$A, 'Week 7'!$B:$B), "")</f>
        <v>Loss</v>
      </c>
      <c r="AH20" s="152">
        <f t="array" ref="AH20">ifna(xlookup(AE13, 'Week 7'!$A:$A, 'Week 7'!$D:$D), "")</f>
        <v>20</v>
      </c>
      <c r="AI20" s="152">
        <f t="array" ref="AI20">ifna(xlookup(AE13, 'Week 7'!$A:$A, 'Week 7'!$G:$G), "")</f>
        <v>8</v>
      </c>
      <c r="AJ20" s="152">
        <f t="array" ref="AJ20">ifna(xlookup(AE13, 'Week 7'!$A:$A, 'Week 7'!$H:$H), "")</f>
        <v>0</v>
      </c>
      <c r="AK20" s="152">
        <f t="array" ref="AK20">ifna(xlookup(AE13, 'Week 7'!$A:$A, 'Week 7'!$E:$E), "")</f>
        <v>12</v>
      </c>
      <c r="AL20" s="152">
        <f t="array" ref="AL20">ifna(xlookup(AE13, 'Week 7'!$A:$A, 'Week 7'!$F:$F), "")</f>
        <v>0</v>
      </c>
      <c r="AM20" s="152">
        <f t="array" ref="AM20">ifna(xlookup(AE13, 'Week 7'!$A:$A, 'Week 7'!$I:$I), "")</f>
        <v>27</v>
      </c>
      <c r="AN20" s="153">
        <f t="shared" si="32"/>
        <v>0.4255319149</v>
      </c>
      <c r="AO20" s="151" t="s">
        <v>41</v>
      </c>
      <c r="AP20" s="2" t="str">
        <f t="shared" si="33"/>
        <v/>
      </c>
      <c r="AQ20" s="152" t="str">
        <f t="array" ref="AQ20">ifna(xlookup(AO13, 'Week 7'!$A:$A, 'Week 7'!$B:$B), "")</f>
        <v/>
      </c>
      <c r="AR20" s="152" t="str">
        <f t="array" ref="AR20">ifna(xlookup(AO13, 'Week 7'!$A:$A, 'Week 7'!$D:$D), "")</f>
        <v/>
      </c>
      <c r="AS20" s="152" t="str">
        <f t="array" ref="AS20">ifna(xlookup(AO13, 'Week 7'!$A:$A, 'Week 7'!$G:$G), "")</f>
        <v/>
      </c>
      <c r="AT20" s="152" t="str">
        <f t="array" ref="AT20">ifna(xlookup(AO13, 'Week 7'!$A:$A, 'Week 7'!$H:$H), "")</f>
        <v/>
      </c>
      <c r="AU20" s="152" t="str">
        <f t="array" ref="AU20">ifna(xlookup(AO13, 'Week 7'!$A:$A, 'Week 7'!$E:$E), "")</f>
        <v/>
      </c>
      <c r="AV20" s="152" t="str">
        <f t="array" ref="AV20">ifna(xlookup(AO13, 'Week 7'!$A:$A, 'Week 7'!$F:$F), "")</f>
        <v/>
      </c>
      <c r="AW20" s="152" t="str">
        <f t="array" ref="AW20">ifna(xlookup(AO13, 'Week 7'!$A:$A, 'Week 7'!$I:$I), "")</f>
        <v/>
      </c>
      <c r="AX20" s="153" t="str">
        <f t="shared" si="34"/>
        <v/>
      </c>
      <c r="AY20" s="151" t="s">
        <v>41</v>
      </c>
      <c r="AZ20" s="2" t="str">
        <f t="shared" si="35"/>
        <v/>
      </c>
      <c r="BA20" s="152" t="str">
        <f t="array" ref="BA20">ifna(xlookup(AY13, 'Week 7'!$A:$A, 'Week 7'!$B:$B), "")</f>
        <v>Loss</v>
      </c>
      <c r="BB20" s="152" t="str">
        <f t="array" ref="BB20">ifna(xlookup(AY13, 'Week 7'!$A:$A, 'Week 7'!$D:$D), "")</f>
        <v/>
      </c>
      <c r="BC20" s="152" t="str">
        <f t="array" ref="BC20">ifna(xlookup(AY13, 'Week 7'!$A:$A, 'Week 7'!$G:$G), "")</f>
        <v/>
      </c>
      <c r="BD20" s="152" t="str">
        <f t="array" ref="BD20">ifna(xlookup(AY13, 'Week 7'!$A:$A, 'Week 7'!$H:$H), "")</f>
        <v/>
      </c>
      <c r="BE20" s="152" t="str">
        <f t="array" ref="BE20">ifna(xlookup(AY13, 'Week 7'!$A:$A, 'Week 7'!$E:$E), "")</f>
        <v/>
      </c>
      <c r="BF20" s="152" t="str">
        <f t="array" ref="BF20">ifna(xlookup(AY13, 'Week 7'!$A:$A, 'Week 7'!$F:$F), "")</f>
        <v/>
      </c>
      <c r="BG20" s="152" t="str">
        <f t="array" ref="BG20">ifna(xlookup(AY13, 'Week 7'!$A:$A, 'Week 7'!$I:$I), "")</f>
        <v/>
      </c>
      <c r="BH20" s="153" t="str">
        <f t="shared" si="36"/>
        <v/>
      </c>
      <c r="BI20" s="8"/>
      <c r="BJ20" s="8"/>
      <c r="BK20" s="8"/>
      <c r="BL20" s="8"/>
    </row>
    <row r="21">
      <c r="A21" s="151" t="s">
        <v>181</v>
      </c>
      <c r="B21" s="2"/>
      <c r="C21" s="2"/>
      <c r="D21" s="2"/>
      <c r="E21" s="2"/>
      <c r="F21" s="2"/>
      <c r="G21" s="2"/>
      <c r="H21" s="2"/>
      <c r="I21" s="2"/>
      <c r="J21" s="153"/>
      <c r="K21" s="151" t="s">
        <v>181</v>
      </c>
      <c r="L21" s="2"/>
      <c r="M21" s="2"/>
      <c r="N21" s="2"/>
      <c r="O21" s="2"/>
      <c r="P21" s="2"/>
      <c r="Q21" s="2"/>
      <c r="R21" s="2"/>
      <c r="S21" s="2"/>
      <c r="T21" s="153"/>
      <c r="U21" s="151" t="s">
        <v>181</v>
      </c>
      <c r="V21" s="2"/>
      <c r="W21" s="2"/>
      <c r="X21" s="2"/>
      <c r="Y21" s="2"/>
      <c r="Z21" s="2"/>
      <c r="AA21" s="2"/>
      <c r="AB21" s="2"/>
      <c r="AC21" s="2"/>
      <c r="AD21" s="153"/>
      <c r="AE21" s="151" t="s">
        <v>181</v>
      </c>
      <c r="AF21" s="2"/>
      <c r="AG21" s="2"/>
      <c r="AH21" s="2"/>
      <c r="AI21" s="2"/>
      <c r="AJ21" s="2"/>
      <c r="AK21" s="2"/>
      <c r="AL21" s="2"/>
      <c r="AM21" s="2"/>
      <c r="AN21" s="153"/>
      <c r="AO21" s="151" t="s">
        <v>181</v>
      </c>
      <c r="AP21" s="2"/>
      <c r="AQ21" s="2"/>
      <c r="AR21" s="2"/>
      <c r="AS21" s="2"/>
      <c r="AT21" s="2"/>
      <c r="AU21" s="2"/>
      <c r="AV21" s="2"/>
      <c r="AW21" s="2"/>
      <c r="AX21" s="153"/>
      <c r="AY21" s="151" t="s">
        <v>181</v>
      </c>
      <c r="AZ21" s="2"/>
      <c r="BA21" s="2"/>
      <c r="BB21" s="2"/>
      <c r="BC21" s="2"/>
      <c r="BD21" s="2"/>
      <c r="BE21" s="2"/>
      <c r="BF21" s="2"/>
      <c r="BG21" s="2"/>
      <c r="BH21" s="153"/>
      <c r="BI21" s="8"/>
      <c r="BJ21" s="8"/>
      <c r="BK21" s="8"/>
      <c r="BL21" s="8"/>
    </row>
    <row r="22">
      <c r="A22" s="151" t="s">
        <v>182</v>
      </c>
      <c r="B22" s="2"/>
      <c r="C22" s="2"/>
      <c r="D22" s="2"/>
      <c r="E22" s="2"/>
      <c r="F22" s="2"/>
      <c r="G22" s="2"/>
      <c r="H22" s="2"/>
      <c r="I22" s="2"/>
      <c r="J22" s="153"/>
      <c r="K22" s="151" t="s">
        <v>182</v>
      </c>
      <c r="L22" s="2"/>
      <c r="M22" s="2"/>
      <c r="N22" s="2"/>
      <c r="O22" s="2"/>
      <c r="P22" s="2"/>
      <c r="Q22" s="2"/>
      <c r="R22" s="2"/>
      <c r="S22" s="2"/>
      <c r="T22" s="153"/>
      <c r="U22" s="151" t="s">
        <v>182</v>
      </c>
      <c r="V22" s="2"/>
      <c r="W22" s="2"/>
      <c r="X22" s="2"/>
      <c r="Y22" s="2"/>
      <c r="Z22" s="2"/>
      <c r="AA22" s="2"/>
      <c r="AB22" s="2"/>
      <c r="AC22" s="2"/>
      <c r="AD22" s="153"/>
      <c r="AE22" s="151" t="s">
        <v>182</v>
      </c>
      <c r="AF22" s="2"/>
      <c r="AG22" s="2"/>
      <c r="AH22" s="2"/>
      <c r="AI22" s="2"/>
      <c r="AJ22" s="2"/>
      <c r="AK22" s="2"/>
      <c r="AL22" s="2"/>
      <c r="AM22" s="2"/>
      <c r="AN22" s="153"/>
      <c r="AO22" s="151" t="s">
        <v>182</v>
      </c>
      <c r="AP22" s="2"/>
      <c r="AQ22" s="2"/>
      <c r="AR22" s="2"/>
      <c r="AS22" s="2"/>
      <c r="AT22" s="2"/>
      <c r="AU22" s="2"/>
      <c r="AV22" s="2"/>
      <c r="AW22" s="2"/>
      <c r="AX22" s="153"/>
      <c r="AY22" s="151" t="s">
        <v>182</v>
      </c>
      <c r="AZ22" s="2"/>
      <c r="BA22" s="2"/>
      <c r="BB22" s="2"/>
      <c r="BC22" s="2"/>
      <c r="BD22" s="2"/>
      <c r="BE22" s="2"/>
      <c r="BF22" s="2"/>
      <c r="BG22" s="2"/>
      <c r="BH22" s="153"/>
      <c r="BI22" s="8"/>
      <c r="BJ22" s="8"/>
      <c r="BK22" s="8"/>
      <c r="BL22" s="8"/>
    </row>
    <row r="23">
      <c r="A23" s="5" t="s">
        <v>183</v>
      </c>
      <c r="B23" s="154">
        <f>countif(B14:B22, "Yes")</f>
        <v>6</v>
      </c>
      <c r="C23" s="155">
        <f>IFERROR( COUNTIFS(B14:B20,"Yes", C14:C20,"Win") / COUNTIF(B14:B20,"Yes"), "")</f>
        <v>0.3333333333</v>
      </c>
      <c r="D23" s="156">
        <f>if(B23&gt;0, average(D14:D22), "")</f>
        <v>17.83333333</v>
      </c>
      <c r="E23" s="156">
        <f>if(B23&gt;0, average(E14:E22), "")</f>
        <v>5.166666667</v>
      </c>
      <c r="F23" s="156">
        <f>if(B23&gt;0, average(F14:F22), "")</f>
        <v>1.333333333</v>
      </c>
      <c r="G23" s="156">
        <f>if(B23&gt;0, average(G14:G22), "")</f>
        <v>9.5</v>
      </c>
      <c r="H23" s="156">
        <f>if(B23&gt;0, average(H14:H22), "")</f>
        <v>1.833333333</v>
      </c>
      <c r="I23" s="156">
        <f>if(B23&gt;0, average(I14:I22), "")</f>
        <v>26.66666667</v>
      </c>
      <c r="J23" s="157">
        <f>if(B23&gt;0, D23/(I23+D23), "")</f>
        <v>0.4007490637</v>
      </c>
      <c r="K23" s="5" t="s">
        <v>183</v>
      </c>
      <c r="L23" s="154">
        <f>countif(L14:L22, "Yes")</f>
        <v>5</v>
      </c>
      <c r="M23" s="155">
        <f>IFERROR( COUNTIFS(L14:L20,"Yes", M14:M20,"Win") / COUNTIF(L14:L20,"Yes"), "")</f>
        <v>0.4</v>
      </c>
      <c r="N23" s="156">
        <f>if(L23&gt;0, average(N14:N22), "")</f>
        <v>11</v>
      </c>
      <c r="O23" s="156">
        <f>if(L23&gt;0, average(O14:O22), "")</f>
        <v>6.6</v>
      </c>
      <c r="P23" s="156">
        <f>if(L23&gt;0, average(P14:P22), "")</f>
        <v>0.8</v>
      </c>
      <c r="Q23" s="156">
        <f>if(L23&gt;0, average(Q14:Q22), "")</f>
        <v>3.4</v>
      </c>
      <c r="R23" s="156">
        <f>if(L23&gt;0, average(R14:R22), "")</f>
        <v>0.2</v>
      </c>
      <c r="S23" s="156">
        <f>if(L23&gt;0, average(S14:S22), "")</f>
        <v>27.2</v>
      </c>
      <c r="T23" s="157">
        <f>if(L23&gt;0, N23/(S23+N23), "")</f>
        <v>0.2879581152</v>
      </c>
      <c r="U23" s="5" t="s">
        <v>183</v>
      </c>
      <c r="V23" s="154">
        <f>countif(V14:V22, "Yes")</f>
        <v>7</v>
      </c>
      <c r="W23" s="155">
        <f>IFERROR( COUNTIFS(V14:V20,"Yes", W14:W20,"Win") / COUNTIF(V14:V20,"Yes"), "")</f>
        <v>0.4285714286</v>
      </c>
      <c r="X23" s="156">
        <f>if(V23&gt;0, average(X14:X22), "")</f>
        <v>19.85714286</v>
      </c>
      <c r="Y23" s="156">
        <f>if(V23&gt;0, average(Y14:Y22), "")</f>
        <v>9.428571429</v>
      </c>
      <c r="Z23" s="156">
        <f>if(V23&gt;0, average(Z14:Z22), "")</f>
        <v>1.142857143</v>
      </c>
      <c r="AA23" s="156">
        <f>if(V23&gt;0, average(AA14:AA22), "")</f>
        <v>8.285714286</v>
      </c>
      <c r="AB23" s="156">
        <f>if(V23&gt;0, average(AB14:AB22), "")</f>
        <v>1</v>
      </c>
      <c r="AC23" s="156">
        <f>if(V23&gt;0, average(AC14:AC22), "")</f>
        <v>22.57142857</v>
      </c>
      <c r="AD23" s="157">
        <f>if(V23&gt;0, X23/(AC23+X23), "")</f>
        <v>0.468013468</v>
      </c>
      <c r="AE23" s="5" t="s">
        <v>183</v>
      </c>
      <c r="AF23" s="154">
        <f>countif(AF14:AF22, "Yes")</f>
        <v>7</v>
      </c>
      <c r="AG23" s="155">
        <f>IFERROR( COUNTIFS(AF14:AF20,"Yes", AG14:AG20,"Win") / COUNTIF(AF14:AF20,"Yes"), "")</f>
        <v>0.4285714286</v>
      </c>
      <c r="AH23" s="156">
        <f>if(AF23&gt;0, average(AH14:AH22), "")</f>
        <v>18.57142857</v>
      </c>
      <c r="AI23" s="156">
        <f>if(AF23&gt;0, average(AI14:AI22), "")</f>
        <v>8.285714286</v>
      </c>
      <c r="AJ23" s="156">
        <f>if(AF23&gt;0, average(AJ14:AJ22), "")</f>
        <v>0</v>
      </c>
      <c r="AK23" s="156">
        <f>if(AF23&gt;0, average(AK14:AK22), "")</f>
        <v>10</v>
      </c>
      <c r="AL23" s="156">
        <f>if(AF23&gt;0, average(AL14:AL22), "")</f>
        <v>0.2857142857</v>
      </c>
      <c r="AM23" s="156">
        <f>if(AF23&gt;0, average(AM14:AM22), "")</f>
        <v>28.42857143</v>
      </c>
      <c r="AN23" s="157">
        <f>if(AF23&gt;0, AH23/(AM23+AH23), "")</f>
        <v>0.3951367781</v>
      </c>
      <c r="AO23" s="5" t="s">
        <v>183</v>
      </c>
      <c r="AP23" s="154">
        <f>countif(AP14:AP22, "Yes")</f>
        <v>0</v>
      </c>
      <c r="AQ23" s="155" t="str">
        <f>IFERROR( COUNTIFS(AP14:AP20,"Yes", AQ14:AQ20,"Win") / COUNTIF(AP14:AP20,"Yes"), "")</f>
        <v/>
      </c>
      <c r="AR23" s="156" t="str">
        <f>if(AP23&gt;0, average(AR14:AR22), "")</f>
        <v/>
      </c>
      <c r="AS23" s="156" t="str">
        <f>if(AP23&gt;0, average(AS14:AS22), "")</f>
        <v/>
      </c>
      <c r="AT23" s="156" t="str">
        <f>if(AP23&gt;0, average(AT14:AT22), "")</f>
        <v/>
      </c>
      <c r="AU23" s="156" t="str">
        <f>if(AP23&gt;0, average(AU14:AU22), "")</f>
        <v/>
      </c>
      <c r="AV23" s="156" t="str">
        <f>if(AP23&gt;0, average(AV14:AV22), "")</f>
        <v/>
      </c>
      <c r="AW23" s="156" t="str">
        <f>if(AP23&gt;0, average(AW14:AW22), "")</f>
        <v/>
      </c>
      <c r="AX23" s="157" t="str">
        <f>if(AP23&gt;0, AR23/(AW23+AR23), "")</f>
        <v/>
      </c>
      <c r="AY23" s="5" t="s">
        <v>183</v>
      </c>
      <c r="AZ23" s="154">
        <f>countif(AZ14:AZ22, "Yes")</f>
        <v>3</v>
      </c>
      <c r="BA23" s="155">
        <f>IFERROR( COUNTIFS(AZ14:AZ20,"Yes", BA14:BA20,"Win") / COUNTIF(AZ14:AZ20,"Yes"), "")</f>
        <v>0.6666666667</v>
      </c>
      <c r="BB23" s="156">
        <f>if(AZ23&gt;0, average(BB14:BB22), "")</f>
        <v>15</v>
      </c>
      <c r="BC23" s="156">
        <f>if(AZ23&gt;0, average(BC14:BC22), "")</f>
        <v>6</v>
      </c>
      <c r="BD23" s="156">
        <f>if(AZ23&gt;0, average(BD14:BD22), "")</f>
        <v>1.666666667</v>
      </c>
      <c r="BE23" s="156">
        <f>if(AZ23&gt;0, average(BE14:BE22), "")</f>
        <v>7.333333333</v>
      </c>
      <c r="BF23" s="156">
        <f>if(AZ23&gt;0, average(BF14:BF22), "")</f>
        <v>0</v>
      </c>
      <c r="BG23" s="156">
        <f>if(AZ23&gt;0, average(BG14:BG22), "")</f>
        <v>23.66666667</v>
      </c>
      <c r="BH23" s="157">
        <f>if(AZ23&gt;0, BB23/(BG23+BB23), "")</f>
        <v>0.3879310345</v>
      </c>
      <c r="BI23" s="8"/>
      <c r="BJ23" s="8"/>
      <c r="BK23" s="8"/>
      <c r="BL23" s="8"/>
    </row>
    <row r="24">
      <c r="A24" s="158" t="str">
        <f>Draft!B49</f>
        <v>Porco</v>
      </c>
      <c r="B24" s="129">
        <f t="shared" ref="B24:J24" si="37">B34</f>
        <v>6</v>
      </c>
      <c r="C24" s="143">
        <f t="shared" si="37"/>
        <v>0.3333333333</v>
      </c>
      <c r="D24" s="144">
        <f t="shared" si="37"/>
        <v>12.16666667</v>
      </c>
      <c r="E24" s="144">
        <f t="shared" si="37"/>
        <v>3.833333333</v>
      </c>
      <c r="F24" s="144">
        <f t="shared" si="37"/>
        <v>0.5</v>
      </c>
      <c r="G24" s="144">
        <f t="shared" si="37"/>
        <v>6.833333333</v>
      </c>
      <c r="H24" s="144">
        <f t="shared" si="37"/>
        <v>1</v>
      </c>
      <c r="I24" s="144">
        <f t="shared" si="37"/>
        <v>26.83333333</v>
      </c>
      <c r="J24" s="145">
        <f t="shared" si="37"/>
        <v>0.311965812</v>
      </c>
      <c r="K24" s="159" t="str">
        <f>Draft!C49</f>
        <v>Fritz</v>
      </c>
      <c r="L24" s="129">
        <f t="shared" ref="L24:T24" si="38">L34</f>
        <v>7</v>
      </c>
      <c r="M24" s="143">
        <f t="shared" si="38"/>
        <v>0.4285714286</v>
      </c>
      <c r="N24" s="144">
        <f t="shared" si="38"/>
        <v>20.71428571</v>
      </c>
      <c r="O24" s="144">
        <f t="shared" si="38"/>
        <v>4.571428571</v>
      </c>
      <c r="P24" s="144">
        <f t="shared" si="38"/>
        <v>3.857142857</v>
      </c>
      <c r="Q24" s="144">
        <f t="shared" si="38"/>
        <v>8.714285714</v>
      </c>
      <c r="R24" s="144">
        <f t="shared" si="38"/>
        <v>3.571428571</v>
      </c>
      <c r="S24" s="144">
        <f t="shared" si="38"/>
        <v>23.14285714</v>
      </c>
      <c r="T24" s="145">
        <f t="shared" si="38"/>
        <v>0.4723127036</v>
      </c>
      <c r="U24" s="160" t="str">
        <f>Draft!D49</f>
        <v>Dannegger</v>
      </c>
      <c r="V24" s="129">
        <f t="shared" ref="V24:AD24" si="39">V34</f>
        <v>7</v>
      </c>
      <c r="W24" s="143">
        <f t="shared" si="39"/>
        <v>0.4285714286</v>
      </c>
      <c r="X24" s="144">
        <f t="shared" si="39"/>
        <v>16.57142857</v>
      </c>
      <c r="Y24" s="144">
        <f t="shared" si="39"/>
        <v>6.857142857</v>
      </c>
      <c r="Z24" s="144">
        <f t="shared" si="39"/>
        <v>1.571428571</v>
      </c>
      <c r="AA24" s="144">
        <f t="shared" si="39"/>
        <v>6.571428571</v>
      </c>
      <c r="AB24" s="144">
        <f t="shared" si="39"/>
        <v>1.571428571</v>
      </c>
      <c r="AC24" s="144">
        <f t="shared" si="39"/>
        <v>23.42857143</v>
      </c>
      <c r="AD24" s="145">
        <f t="shared" si="39"/>
        <v>0.4142857143</v>
      </c>
      <c r="AE24" s="161" t="str">
        <f>Draft!E49</f>
        <v>Yost</v>
      </c>
      <c r="AF24" s="129">
        <f t="shared" ref="AF24:AN24" si="40">AF34</f>
        <v>7</v>
      </c>
      <c r="AG24" s="143">
        <f t="shared" si="40"/>
        <v>0.4285714286</v>
      </c>
      <c r="AH24" s="144">
        <f t="shared" si="40"/>
        <v>16.57142857</v>
      </c>
      <c r="AI24" s="144">
        <f t="shared" si="40"/>
        <v>3.857142857</v>
      </c>
      <c r="AJ24" s="144">
        <f t="shared" si="40"/>
        <v>1.428571429</v>
      </c>
      <c r="AK24" s="144">
        <f t="shared" si="40"/>
        <v>9</v>
      </c>
      <c r="AL24" s="144">
        <f t="shared" si="40"/>
        <v>2.285714286</v>
      </c>
      <c r="AM24" s="144">
        <f t="shared" si="40"/>
        <v>28.42857143</v>
      </c>
      <c r="AN24" s="145">
        <f t="shared" si="40"/>
        <v>0.3682539683</v>
      </c>
      <c r="AO24" s="162" t="str">
        <f>Draft!F49</f>
        <v>Kumba</v>
      </c>
      <c r="AP24" s="129">
        <f t="shared" ref="AP24:AX24" si="41">AP34</f>
        <v>0</v>
      </c>
      <c r="AQ24" s="143" t="str">
        <f t="shared" si="41"/>
        <v/>
      </c>
      <c r="AR24" s="144" t="str">
        <f t="shared" si="41"/>
        <v/>
      </c>
      <c r="AS24" s="144" t="str">
        <f t="shared" si="41"/>
        <v/>
      </c>
      <c r="AT24" s="144" t="str">
        <f t="shared" si="41"/>
        <v/>
      </c>
      <c r="AU24" s="144" t="str">
        <f t="shared" si="41"/>
        <v/>
      </c>
      <c r="AV24" s="144" t="str">
        <f t="shared" si="41"/>
        <v/>
      </c>
      <c r="AW24" s="144" t="str">
        <f t="shared" si="41"/>
        <v/>
      </c>
      <c r="AX24" s="145" t="str">
        <f t="shared" si="41"/>
        <v/>
      </c>
      <c r="AY24" s="163" t="str">
        <f>Draft!G49</f>
        <v>DC</v>
      </c>
      <c r="AZ24" s="129">
        <f t="shared" ref="AZ24:BH24" si="42">AZ34</f>
        <v>6</v>
      </c>
      <c r="BA24" s="143">
        <f t="shared" si="42"/>
        <v>0.5</v>
      </c>
      <c r="BB24" s="144">
        <f t="shared" si="42"/>
        <v>19.33333333</v>
      </c>
      <c r="BC24" s="144">
        <f t="shared" si="42"/>
        <v>8.166666667</v>
      </c>
      <c r="BD24" s="144">
        <f t="shared" si="42"/>
        <v>2</v>
      </c>
      <c r="BE24" s="144">
        <f t="shared" si="42"/>
        <v>8.166666667</v>
      </c>
      <c r="BF24" s="144">
        <f t="shared" si="42"/>
        <v>1</v>
      </c>
      <c r="BG24" s="144">
        <f t="shared" si="42"/>
        <v>24.16666667</v>
      </c>
      <c r="BH24" s="145">
        <f t="shared" si="42"/>
        <v>0.4444444444</v>
      </c>
      <c r="BI24" s="8"/>
      <c r="BJ24" s="8"/>
      <c r="BK24" s="8"/>
      <c r="BL24" s="8"/>
    </row>
    <row r="25">
      <c r="A25" s="151" t="s">
        <v>5</v>
      </c>
      <c r="B25" s="2" t="str">
        <f t="shared" ref="B25:B31" si="43">ifna(if(I25&lt;&gt;"", "Yes", ""), "")</f>
        <v>Yes</v>
      </c>
      <c r="C25" s="152" t="str">
        <f t="array" ref="C25">ifna(xlookup(A24, 'Week 1'!$A:$A, 'Week 1'!$B:$B), "")</f>
        <v>Loss</v>
      </c>
      <c r="D25" s="152">
        <f t="array" ref="D25">ifna(xlookup(A24, 'Week 1'!$A:$A, 'Week 1'!$D:$D), "")</f>
        <v>22</v>
      </c>
      <c r="E25" s="152">
        <f t="array" ref="E25">ifna(xlookup(A24, 'Week 1'!$A:$A, 'Week 1'!$G:$G), "")</f>
        <v>7</v>
      </c>
      <c r="F25" s="152">
        <f t="array" ref="F25">ifna(xlookup(A24, 'Week 1'!$A:$A, 'Week 1'!$H:$H), "")</f>
        <v>0</v>
      </c>
      <c r="G25" s="152">
        <f t="array" ref="G25">ifna(xlookup(A24, 'Week 1'!$A:$A, 'Week 1'!$E:$E), "")</f>
        <v>13</v>
      </c>
      <c r="H25" s="152">
        <f t="array" ref="H25">ifna(xlookup(A24, 'Week 1'!$A:$A, 'Week 1'!$F:$F), "")</f>
        <v>2</v>
      </c>
      <c r="I25" s="152">
        <f t="array" ref="I25">ifna(xlookup(A24, 'Week 1'!$A:$A, 'Week 1'!$I:$I), "")</f>
        <v>37</v>
      </c>
      <c r="J25" s="153">
        <f t="shared" ref="J25:J31" si="44">iferror(IF(D25&gt;0, (D25/(D25+I25)), ""),"")</f>
        <v>0.3728813559</v>
      </c>
      <c r="K25" s="151" t="s">
        <v>5</v>
      </c>
      <c r="L25" s="2" t="str">
        <f t="shared" ref="L25:L31" si="45">ifna(if(S25&lt;&gt;"", "Yes", ""), "")</f>
        <v>Yes</v>
      </c>
      <c r="M25" s="152" t="str">
        <f t="array" ref="M25">ifna(xlookup(K24, 'Week 1'!$A:$A, 'Week 1'!$B:$B), "")</f>
        <v>Loss</v>
      </c>
      <c r="N25" s="152">
        <f t="array" ref="N25">ifna(xlookup(K24, 'Week 1'!$A:$A, 'Week 1'!$D:$D), "")</f>
        <v>9</v>
      </c>
      <c r="O25" s="152">
        <f t="array" ref="O25">ifna(xlookup(K24, 'Week 1'!$A:$A, 'Week 1'!$G:$G), "")</f>
        <v>4</v>
      </c>
      <c r="P25" s="152">
        <f t="array" ref="P25">ifna(xlookup(K24, 'Week 1'!$A:$A, 'Week 1'!$H:$H), "")</f>
        <v>1</v>
      </c>
      <c r="Q25" s="152">
        <f t="array" ref="Q25">ifna(xlookup(K24, 'Week 1'!$A:$A, 'Week 1'!$E:$E), "")</f>
        <v>2</v>
      </c>
      <c r="R25" s="152">
        <f t="array" ref="R25">ifna(xlookup(K24, 'Week 1'!$A:$A, 'Week 1'!$F:$F), "")</f>
        <v>2</v>
      </c>
      <c r="S25" s="152">
        <f t="array" ref="S25">ifna(xlookup(K24, 'Week 1'!$A:$A, 'Week 1'!$I:$I), "")</f>
        <v>24</v>
      </c>
      <c r="T25" s="153">
        <f t="shared" ref="T25:T31" si="46">iferror(IF(N25&gt;0, (N25/(N25+S25)), ""),"")</f>
        <v>0.2727272727</v>
      </c>
      <c r="U25" s="151" t="s">
        <v>5</v>
      </c>
      <c r="V25" s="2" t="str">
        <f t="shared" ref="V25:V31" si="47">ifna(if(AC25&lt;&gt;"", "Yes", ""), "")</f>
        <v>Yes</v>
      </c>
      <c r="W25" s="152" t="str">
        <f t="array" ref="W25">ifna(xlookup(U24, 'Week 1'!$A:$A, 'Week 1'!$B:$B), "")</f>
        <v>Win</v>
      </c>
      <c r="X25" s="152">
        <f t="array" ref="X25">ifna(xlookup(U24, 'Week 1'!$A:$A, 'Week 1'!$D:$D), "")</f>
        <v>15</v>
      </c>
      <c r="Y25" s="152">
        <f t="array" ref="Y25">ifna(xlookup(U24, 'Week 1'!$A:$A, 'Week 1'!$G:$G), "")</f>
        <v>4</v>
      </c>
      <c r="Z25" s="152">
        <f t="array" ref="Z25">ifna(xlookup(U24, 'Week 1'!$A:$A, 'Week 1'!$H:$H), "")</f>
        <v>3</v>
      </c>
      <c r="AA25" s="152">
        <f t="array" ref="AA25">ifna(xlookup(U24, 'Week 1'!$A:$A, 'Week 1'!$E:$E), "")</f>
        <v>6</v>
      </c>
      <c r="AB25" s="152">
        <f t="array" ref="AB25">ifna(xlookup(U24, 'Week 1'!$A:$A, 'Week 1'!$F:$F), "")</f>
        <v>2</v>
      </c>
      <c r="AC25" s="152">
        <f t="array" ref="AC25">ifna(xlookup(U24, 'Week 1'!$A:$A, 'Week 1'!$I:$I), "")</f>
        <v>28</v>
      </c>
      <c r="AD25" s="153">
        <f t="shared" ref="AD25:AD31" si="48">iferror(IF(X25&gt;0, (X25/(X25+AC25)), ""),"")</f>
        <v>0.3488372093</v>
      </c>
      <c r="AE25" s="151" t="s">
        <v>5</v>
      </c>
      <c r="AF25" s="2" t="str">
        <f t="shared" ref="AF25:AF31" si="49">ifna(if(AM25&lt;&gt;"", "Yes", ""), "")</f>
        <v>Yes</v>
      </c>
      <c r="AG25" s="152" t="str">
        <f t="array" ref="AG25">ifna(xlookup(AE24, 'Week 1'!$A:$A, 'Week 1'!$B:$B), "")</f>
        <v>Win</v>
      </c>
      <c r="AH25" s="152">
        <f t="array" ref="AH25">ifna(xlookup(AE24, 'Week 1'!$A:$A, 'Week 1'!$D:$D), "")</f>
        <v>18</v>
      </c>
      <c r="AI25" s="152">
        <f t="array" ref="AI25">ifna(xlookup(AE24, 'Week 1'!$A:$A, 'Week 1'!$G:$G), "")</f>
        <v>7</v>
      </c>
      <c r="AJ25" s="152">
        <f t="array" ref="AJ25">ifna(xlookup(AE24, 'Week 1'!$A:$A, 'Week 1'!$H:$H), "")</f>
        <v>3</v>
      </c>
      <c r="AK25" s="152">
        <f t="array" ref="AK25">ifna(xlookup(AE24, 'Week 1'!$A:$A, 'Week 1'!$E:$E), "")</f>
        <v>6</v>
      </c>
      <c r="AL25" s="152">
        <f t="array" ref="AL25">ifna(xlookup(AE24, 'Week 1'!$A:$A, 'Week 1'!$F:$F), "")</f>
        <v>2</v>
      </c>
      <c r="AM25" s="152">
        <f t="array" ref="AM25">ifna(xlookup(AE24, 'Week 1'!$A:$A, 'Week 1'!$I:$I), "")</f>
        <v>36</v>
      </c>
      <c r="AN25" s="153">
        <f t="shared" ref="AN25:AN31" si="50">iferror(IF(AH25&gt;0, (AH25/(AH25+AM25)), ""),"")</f>
        <v>0.3333333333</v>
      </c>
      <c r="AO25" s="151" t="s">
        <v>5</v>
      </c>
      <c r="AP25" s="2" t="str">
        <f t="shared" ref="AP25:AP31" si="51">ifna(if(AW25&lt;&gt;"", "Yes", ""), "")</f>
        <v/>
      </c>
      <c r="AQ25" s="152" t="str">
        <f t="array" ref="AQ25">ifna(xlookup(AO24, 'Week 1'!$A:$A, 'Week 1'!$B:$B), "")</f>
        <v/>
      </c>
      <c r="AR25" s="152" t="str">
        <f t="array" ref="AR25">ifna(xlookup(AO24, 'Week 1'!$A:$A, 'Week 1'!$D:$D), "")</f>
        <v/>
      </c>
      <c r="AS25" s="152" t="str">
        <f t="array" ref="AS25">ifna(xlookup(AO24, 'Week 1'!$A:$A, 'Week 1'!$G:$G), "")</f>
        <v/>
      </c>
      <c r="AT25" s="152" t="str">
        <f t="array" ref="AT25">ifna(xlookup(AO24, 'Week 1'!$A:$A, 'Week 1'!$H:$H), "")</f>
        <v/>
      </c>
      <c r="AU25" s="152" t="str">
        <f t="array" ref="AU25">ifna(xlookup(AO24, 'Week 1'!$A:$A, 'Week 1'!$E:$E), "")</f>
        <v/>
      </c>
      <c r="AV25" s="152" t="str">
        <f t="array" ref="AV25">ifna(xlookup(AO24, 'Week 1'!$A:$A, 'Week 1'!$F:$F), "")</f>
        <v/>
      </c>
      <c r="AW25" s="152" t="str">
        <f t="array" ref="AW25">ifna(xlookup(AO24, 'Week 1'!$A:$A, 'Week 1'!$I:$I), "")</f>
        <v/>
      </c>
      <c r="AX25" s="153" t="str">
        <f t="shared" ref="AX25:AX31" si="52">iferror(IF(AR25&gt;0, (AR25/(AR25+AW25)), ""),"")</f>
        <v/>
      </c>
      <c r="AY25" s="151" t="s">
        <v>5</v>
      </c>
      <c r="AZ25" s="2" t="str">
        <f t="shared" ref="AZ25:AZ31" si="53">ifna(if(BG25&lt;&gt;"", "Yes", ""), "")</f>
        <v>Yes</v>
      </c>
      <c r="BA25" s="152" t="str">
        <f t="array" ref="BA25">ifna(xlookup(AY24, 'Week 1'!$A:$A, 'Week 1'!$B:$B), "")</f>
        <v>Win</v>
      </c>
      <c r="BB25" s="152">
        <f t="array" ref="BB25">ifna(xlookup(AY24, 'Week 1'!$A:$A, 'Week 1'!$D:$D), "")</f>
        <v>18</v>
      </c>
      <c r="BC25" s="152">
        <f t="array" ref="BC25">ifna(xlookup(AY24, 'Week 1'!$A:$A, 'Week 1'!$G:$G), "")</f>
        <v>4</v>
      </c>
      <c r="BD25" s="152">
        <f t="array" ref="BD25">ifna(xlookup(AY24, 'Week 1'!$A:$A, 'Week 1'!$H:$H), "")</f>
        <v>2</v>
      </c>
      <c r="BE25" s="152">
        <f t="array" ref="BE25">ifna(xlookup(AY24, 'Week 1'!$A:$A, 'Week 1'!$E:$E), "")</f>
        <v>12</v>
      </c>
      <c r="BF25" s="152">
        <f t="array" ref="BF25">ifna(xlookup(AY24, 'Week 1'!$A:$A, 'Week 1'!$F:$F), "")</f>
        <v>0</v>
      </c>
      <c r="BG25" s="152">
        <f t="array" ref="BG25">ifna(xlookup(AY24, 'Week 1'!$A:$A, 'Week 1'!$I:$I), "")</f>
        <v>22</v>
      </c>
      <c r="BH25" s="153">
        <f t="shared" ref="BH25:BH31" si="54">iferror(IF(BB25&gt;0, (BB25/(BB25+BG25)), ""),"")</f>
        <v>0.45</v>
      </c>
      <c r="BI25" s="8"/>
      <c r="BJ25" s="8"/>
      <c r="BK25" s="8"/>
      <c r="BL25" s="8"/>
    </row>
    <row r="26">
      <c r="A26" s="151" t="s">
        <v>7</v>
      </c>
      <c r="B26" s="2" t="str">
        <f t="shared" si="43"/>
        <v>Yes</v>
      </c>
      <c r="C26" s="152" t="str">
        <f t="array" ref="C26">ifna(xlookup(A24, 'Week 2'!$A:$A, 'Week 2'!$B:$B), "")</f>
        <v>Loss</v>
      </c>
      <c r="D26" s="152">
        <f t="array" ref="D26">ifna(xlookup(A24, 'Week 2'!$A:$A, 'Week 2'!$D:$D), "")</f>
        <v>11</v>
      </c>
      <c r="E26" s="152">
        <f t="array" ref="E26">ifna(xlookup(A24, 'Week 2'!$A:$A, 'Week 2'!$G:$G), "")</f>
        <v>3</v>
      </c>
      <c r="F26" s="152">
        <f t="array" ref="F26">ifna(xlookup(A24, 'Week 2'!$A:$A, 'Week 2'!$H:$H), "")</f>
        <v>0</v>
      </c>
      <c r="G26" s="152">
        <f t="array" ref="G26">ifna(xlookup(A24, 'Week 2'!$A:$A, 'Week 2'!$E:$E), "")</f>
        <v>7</v>
      </c>
      <c r="H26" s="152">
        <f t="array" ref="H26">ifna(xlookup(A24, 'Week 2'!$A:$A, 'Week 2'!$F:$F), "")</f>
        <v>1</v>
      </c>
      <c r="I26" s="152">
        <f t="array" ref="I26">ifna(xlookup(A24, 'Week 2'!$A:$A, 'Week 2'!$I:$I), "")</f>
        <v>25</v>
      </c>
      <c r="J26" s="153">
        <f t="shared" si="44"/>
        <v>0.3055555556</v>
      </c>
      <c r="K26" s="151" t="s">
        <v>7</v>
      </c>
      <c r="L26" s="2" t="str">
        <f t="shared" si="45"/>
        <v>Yes</v>
      </c>
      <c r="M26" s="152" t="str">
        <f t="array" ref="M26">ifna(xlookup(K24, 'Week 2'!$A:$A, 'Week 2'!$B:$B), "")</f>
        <v>Loss</v>
      </c>
      <c r="N26" s="152">
        <f t="array" ref="N26">ifna(xlookup(K24, 'Week 2'!$A:$A, 'Week 2'!$D:$D), "")</f>
        <v>26</v>
      </c>
      <c r="O26" s="152">
        <f t="array" ref="O26">ifna(xlookup(K24, 'Week 2'!$A:$A, 'Week 2'!$G:$G), "")</f>
        <v>11</v>
      </c>
      <c r="P26" s="152">
        <f t="array" ref="P26">ifna(xlookup(K24, 'Week 2'!$A:$A, 'Week 2'!$H:$H), "")</f>
        <v>3</v>
      </c>
      <c r="Q26" s="152">
        <f t="array" ref="Q26">ifna(xlookup(K24, 'Week 2'!$A:$A, 'Week 2'!$E:$E), "")</f>
        <v>6</v>
      </c>
      <c r="R26" s="152">
        <f t="array" ref="R26">ifna(xlookup(K24, 'Week 2'!$A:$A, 'Week 2'!$F:$F), "")</f>
        <v>6</v>
      </c>
      <c r="S26" s="152">
        <f t="array" ref="S26">ifna(xlookup(K24, 'Week 2'!$A:$A, 'Week 2'!$I:$I), "")</f>
        <v>17</v>
      </c>
      <c r="T26" s="153">
        <f t="shared" si="46"/>
        <v>0.6046511628</v>
      </c>
      <c r="U26" s="151" t="s">
        <v>7</v>
      </c>
      <c r="V26" s="2" t="str">
        <f t="shared" si="47"/>
        <v>Yes</v>
      </c>
      <c r="W26" s="152" t="str">
        <f t="array" ref="W26">ifna(xlookup(U24, 'Week 2'!$A:$A, 'Week 2'!$B:$B), "")</f>
        <v>Win</v>
      </c>
      <c r="X26" s="152">
        <f t="array" ref="X26">ifna(xlookup(U24, 'Week 2'!$A:$A, 'Week 2'!$D:$D), "")</f>
        <v>22</v>
      </c>
      <c r="Y26" s="152">
        <f t="array" ref="Y26">ifna(xlookup(U24, 'Week 2'!$A:$A, 'Week 2'!$G:$G), "")</f>
        <v>8</v>
      </c>
      <c r="Z26" s="152">
        <f t="array" ref="Z26">ifna(xlookup(U24, 'Week 2'!$A:$A, 'Week 2'!$H:$H), "")</f>
        <v>1</v>
      </c>
      <c r="AA26" s="152">
        <f t="array" ref="AA26">ifna(xlookup(U24, 'Week 2'!$A:$A, 'Week 2'!$E:$E), "")</f>
        <v>11</v>
      </c>
      <c r="AB26" s="152">
        <f t="array" ref="AB26">ifna(xlookup(U24, 'Week 2'!$A:$A, 'Week 2'!$F:$F), "")</f>
        <v>2</v>
      </c>
      <c r="AC26" s="152">
        <f t="array" ref="AC26">ifna(xlookup(U24, 'Week 2'!$A:$A, 'Week 2'!$I:$I), "")</f>
        <v>24</v>
      </c>
      <c r="AD26" s="153">
        <f t="shared" si="48"/>
        <v>0.4782608696</v>
      </c>
      <c r="AE26" s="151" t="s">
        <v>7</v>
      </c>
      <c r="AF26" s="2" t="str">
        <f t="shared" si="49"/>
        <v>Yes</v>
      </c>
      <c r="AG26" s="152" t="str">
        <f t="array" ref="AG26">ifna(xlookup(AE24, 'Week 2'!$A:$A, 'Week 2'!$B:$B), "")</f>
        <v>Loss</v>
      </c>
      <c r="AH26" s="152">
        <f t="array" ref="AH26">ifna(xlookup(AE24, 'Week 2'!$A:$A, 'Week 2'!$D:$D), "")</f>
        <v>14</v>
      </c>
      <c r="AI26" s="152">
        <f t="array" ref="AI26">ifna(xlookup(AE24, 'Week 2'!$A:$A, 'Week 2'!$G:$G), "")</f>
        <v>4</v>
      </c>
      <c r="AJ26" s="152">
        <f t="array" ref="AJ26">ifna(xlookup(AE24, 'Week 2'!$A:$A, 'Week 2'!$H:$H), "")</f>
        <v>1</v>
      </c>
      <c r="AK26" s="152">
        <f t="array" ref="AK26">ifna(xlookup(AE24, 'Week 2'!$A:$A, 'Week 2'!$E:$E), "")</f>
        <v>8</v>
      </c>
      <c r="AL26" s="152">
        <f t="array" ref="AL26">ifna(xlookup(AE24, 'Week 2'!$A:$A, 'Week 2'!$F:$F), "")</f>
        <v>1</v>
      </c>
      <c r="AM26" s="152">
        <f t="array" ref="AM26">ifna(xlookup(AE24, 'Week 2'!$A:$A, 'Week 2'!$I:$I), "")</f>
        <v>22</v>
      </c>
      <c r="AN26" s="153">
        <f t="shared" si="50"/>
        <v>0.3888888889</v>
      </c>
      <c r="AO26" s="151" t="s">
        <v>7</v>
      </c>
      <c r="AP26" s="2" t="str">
        <f t="shared" si="51"/>
        <v/>
      </c>
      <c r="AQ26" s="152" t="str">
        <f t="array" ref="AQ26">ifna(xlookup(AO24, 'Week 2'!$A:$A, 'Week 2'!$B:$B), "")</f>
        <v/>
      </c>
      <c r="AR26" s="152" t="str">
        <f t="array" ref="AR26">ifna(xlookup(AO24, 'Week 2'!$A:$A, 'Week 2'!$D:$D), "")</f>
        <v/>
      </c>
      <c r="AS26" s="152" t="str">
        <f t="array" ref="AS26">ifna(xlookup(AO24, 'Week 2'!$A:$A, 'Week 2'!$G:$G), "")</f>
        <v/>
      </c>
      <c r="AT26" s="152" t="str">
        <f t="array" ref="AT26">ifna(xlookup(AO24, 'Week 2'!$A:$A, 'Week 2'!$H:$H), "")</f>
        <v/>
      </c>
      <c r="AU26" s="152" t="str">
        <f t="array" ref="AU26">ifna(xlookup(AO24, 'Week 2'!$A:$A, 'Week 2'!$E:$E), "")</f>
        <v/>
      </c>
      <c r="AV26" s="152" t="str">
        <f t="array" ref="AV26">ifna(xlookup(AO24, 'Week 2'!$A:$A, 'Week 2'!$F:$F), "")</f>
        <v/>
      </c>
      <c r="AW26" s="152" t="str">
        <f t="array" ref="AW26">ifna(xlookup(AO24, 'Week 2'!$A:$A, 'Week 2'!$I:$I), "")</f>
        <v/>
      </c>
      <c r="AX26" s="153" t="str">
        <f t="shared" si="52"/>
        <v/>
      </c>
      <c r="AY26" s="151" t="s">
        <v>7</v>
      </c>
      <c r="AZ26" s="2" t="str">
        <f t="shared" si="53"/>
        <v>Yes</v>
      </c>
      <c r="BA26" s="152" t="str">
        <f t="array" ref="BA26">ifna(xlookup(AY24, 'Week 2'!$A:$A, 'Week 2'!$B:$B), "")</f>
        <v>Win</v>
      </c>
      <c r="BB26" s="152">
        <f t="array" ref="BB26">ifna(xlookup(AY24, 'Week 2'!$A:$A, 'Week 2'!$D:$D), "")</f>
        <v>17</v>
      </c>
      <c r="BC26" s="152">
        <f t="array" ref="BC26">ifna(xlookup(AY24, 'Week 2'!$A:$A, 'Week 2'!$G:$G), "")</f>
        <v>8</v>
      </c>
      <c r="BD26" s="152">
        <f t="array" ref="BD26">ifna(xlookup(AY24, 'Week 2'!$A:$A, 'Week 2'!$H:$H), "")</f>
        <v>1</v>
      </c>
      <c r="BE26" s="152">
        <f t="array" ref="BE26">ifna(xlookup(AY24, 'Week 2'!$A:$A, 'Week 2'!$E:$E), "")</f>
        <v>8</v>
      </c>
      <c r="BF26" s="152">
        <f t="array" ref="BF26">ifna(xlookup(AY24, 'Week 2'!$A:$A, 'Week 2'!$F:$F), "")</f>
        <v>0</v>
      </c>
      <c r="BG26" s="152">
        <f t="array" ref="BG26">ifna(xlookup(AY24, 'Week 2'!$A:$A, 'Week 2'!$I:$I), "")</f>
        <v>24</v>
      </c>
      <c r="BH26" s="153">
        <f t="shared" si="54"/>
        <v>0.4146341463</v>
      </c>
      <c r="BI26" s="8"/>
      <c r="BJ26" s="8"/>
      <c r="BK26" s="8"/>
      <c r="BL26" s="8"/>
    </row>
    <row r="27">
      <c r="A27" s="151" t="s">
        <v>12</v>
      </c>
      <c r="B27" s="2" t="str">
        <f t="shared" si="43"/>
        <v>Yes</v>
      </c>
      <c r="C27" s="152" t="str">
        <f t="array" ref="C27">ifna(xlookup(A24, 'Week 3'!$A:$A, 'Week 3'!$B:$B), "")</f>
        <v>Loss</v>
      </c>
      <c r="D27" s="152">
        <f t="array" ref="D27">ifna(xlookup(A24, 'Week 3'!$A:$A, 'Week 3'!$D:$D), "")</f>
        <v>10</v>
      </c>
      <c r="E27" s="152">
        <f t="array" ref="E27">ifna(xlookup(A24, 'Week 3'!$A:$A, 'Week 3'!$G:$G), "")</f>
        <v>3</v>
      </c>
      <c r="F27" s="152">
        <f t="array" ref="F27">ifna(xlookup(A24, 'Week 3'!$A:$A, 'Week 3'!$H:$H), "")</f>
        <v>0</v>
      </c>
      <c r="G27" s="152">
        <f t="array" ref="G27">ifna(xlookup(A24, 'Week 3'!$A:$A, 'Week 3'!$E:$E), "")</f>
        <v>7</v>
      </c>
      <c r="H27" s="152">
        <f t="array" ref="H27">ifna(xlookup(A24, 'Week 3'!$A:$A, 'Week 3'!$F:$F), "")</f>
        <v>0</v>
      </c>
      <c r="I27" s="152">
        <f t="array" ref="I27">ifna(xlookup(A24, 'Week 3'!$A:$A, 'Week 3'!$I:$I), "")</f>
        <v>29</v>
      </c>
      <c r="J27" s="153">
        <f t="shared" si="44"/>
        <v>0.2564102564</v>
      </c>
      <c r="K27" s="151" t="s">
        <v>12</v>
      </c>
      <c r="L27" s="2" t="str">
        <f t="shared" si="45"/>
        <v>Yes</v>
      </c>
      <c r="M27" s="152" t="str">
        <f t="array" ref="M27">ifna(xlookup(K24, 'Week 3'!$A:$A, 'Week 3'!$B:$B), "")</f>
        <v>Win</v>
      </c>
      <c r="N27" s="152">
        <f t="array" ref="N27">ifna(xlookup(K24, 'Week 3'!$A:$A, 'Week 3'!$D:$D), "")</f>
        <v>28</v>
      </c>
      <c r="O27" s="152">
        <f t="array" ref="O27">ifna(xlookup(K24, 'Week 3'!$A:$A, 'Week 3'!$G:$G), "")</f>
        <v>5</v>
      </c>
      <c r="P27" s="152">
        <f t="array" ref="P27">ifna(xlookup(K24, 'Week 3'!$A:$A, 'Week 3'!$H:$H), "")</f>
        <v>8</v>
      </c>
      <c r="Q27" s="152">
        <f t="array" ref="Q27">ifna(xlookup(K24, 'Week 3'!$A:$A, 'Week 3'!$E:$E), "")</f>
        <v>11</v>
      </c>
      <c r="R27" s="152">
        <f t="array" ref="R27">ifna(xlookup(K24, 'Week 3'!$A:$A, 'Week 3'!$F:$F), "")</f>
        <v>4</v>
      </c>
      <c r="S27" s="152">
        <f t="array" ref="S27">ifna(xlookup(K24, 'Week 3'!$A:$A, 'Week 3'!$I:$I), "")</f>
        <v>26</v>
      </c>
      <c r="T27" s="153">
        <f t="shared" si="46"/>
        <v>0.5185185185</v>
      </c>
      <c r="U27" s="151" t="s">
        <v>12</v>
      </c>
      <c r="V27" s="2" t="str">
        <f t="shared" si="47"/>
        <v>Yes</v>
      </c>
      <c r="W27" s="152" t="str">
        <f t="array" ref="W27">ifna(xlookup(U24, 'Week 3'!$A:$A, 'Week 3'!$B:$B), "")</f>
        <v>Win</v>
      </c>
      <c r="X27" s="152">
        <f t="array" ref="X27">ifna(xlookup(U24, 'Week 3'!$A:$A, 'Week 3'!$D:$D), "")</f>
        <v>13</v>
      </c>
      <c r="Y27" s="152">
        <f t="array" ref="Y27">ifna(xlookup(U24, 'Week 3'!$A:$A, 'Week 3'!$G:$G), "")</f>
        <v>7</v>
      </c>
      <c r="Z27" s="152">
        <f t="array" ref="Z27">ifna(xlookup(U24, 'Week 3'!$A:$A, 'Week 3'!$H:$H), "")</f>
        <v>1</v>
      </c>
      <c r="AA27" s="152">
        <f t="array" ref="AA27">ifna(xlookup(U24, 'Week 3'!$A:$A, 'Week 3'!$E:$E), "")</f>
        <v>4</v>
      </c>
      <c r="AB27" s="152">
        <f t="array" ref="AB27">ifna(xlookup(U24, 'Week 3'!$A:$A, 'Week 3'!$F:$F), "")</f>
        <v>1</v>
      </c>
      <c r="AC27" s="152">
        <f t="array" ref="AC27">ifna(xlookup(U24, 'Week 3'!$A:$A, 'Week 3'!$I:$I), "")</f>
        <v>26</v>
      </c>
      <c r="AD27" s="153">
        <f t="shared" si="48"/>
        <v>0.3333333333</v>
      </c>
      <c r="AE27" s="151" t="s">
        <v>12</v>
      </c>
      <c r="AF27" s="2" t="str">
        <f t="shared" si="49"/>
        <v>Yes</v>
      </c>
      <c r="AG27" s="152" t="str">
        <f t="array" ref="AG27">ifna(xlookup(AE24, 'Week 3'!$A:$A, 'Week 3'!$B:$B), "")</f>
        <v>Loss</v>
      </c>
      <c r="AH27" s="152">
        <f t="array" ref="AH27">ifna(xlookup(AE24, 'Week 3'!$A:$A, 'Week 3'!$D:$D), "")</f>
        <v>26</v>
      </c>
      <c r="AI27" s="152">
        <f t="array" ref="AI27">ifna(xlookup(AE24, 'Week 3'!$A:$A, 'Week 3'!$G:$G), "")</f>
        <v>4</v>
      </c>
      <c r="AJ27" s="152">
        <f t="array" ref="AJ27">ifna(xlookup(AE24, 'Week 3'!$A:$A, 'Week 3'!$H:$H), "")</f>
        <v>0</v>
      </c>
      <c r="AK27" s="152">
        <f t="array" ref="AK27">ifna(xlookup(AE24, 'Week 3'!$A:$A, 'Week 3'!$E:$E), "")</f>
        <v>19</v>
      </c>
      <c r="AL27" s="152">
        <f t="array" ref="AL27">ifna(xlookup(AE24, 'Week 3'!$A:$A, 'Week 3'!$F:$F), "")</f>
        <v>3</v>
      </c>
      <c r="AM27" s="152">
        <f t="array" ref="AM27">ifna(xlookup(AE24, 'Week 3'!$A:$A, 'Week 3'!$I:$I), "")</f>
        <v>27</v>
      </c>
      <c r="AN27" s="153">
        <f t="shared" si="50"/>
        <v>0.4905660377</v>
      </c>
      <c r="AO27" s="151" t="s">
        <v>12</v>
      </c>
      <c r="AP27" s="2" t="str">
        <f t="shared" si="51"/>
        <v/>
      </c>
      <c r="AQ27" s="152" t="str">
        <f t="array" ref="AQ27">ifna(xlookup(AO24, 'Week 3'!$A:$A, 'Week 3'!$B:$B), "")</f>
        <v/>
      </c>
      <c r="AR27" s="152" t="str">
        <f t="array" ref="AR27">ifna(xlookup(AO24, 'Week 3'!$A:$A, 'Week 3'!$D:$D), "")</f>
        <v/>
      </c>
      <c r="AS27" s="152" t="str">
        <f t="array" ref="AS27">ifna(xlookup(AO24, 'Week 3'!$A:$A, 'Week 3'!$G:$G), "")</f>
        <v/>
      </c>
      <c r="AT27" s="152" t="str">
        <f t="array" ref="AT27">ifna(xlookup(AO24, 'Week 3'!$A:$A, 'Week 3'!$H:$H), "")</f>
        <v/>
      </c>
      <c r="AU27" s="152" t="str">
        <f t="array" ref="AU27">ifna(xlookup(AO24, 'Week 3'!$A:$A, 'Week 3'!$E:$E), "")</f>
        <v/>
      </c>
      <c r="AV27" s="152" t="str">
        <f t="array" ref="AV27">ifna(xlookup(AO24, 'Week 3'!$A:$A, 'Week 3'!$F:$F), "")</f>
        <v/>
      </c>
      <c r="AW27" s="152" t="str">
        <f t="array" ref="AW27">ifna(xlookup(AO24, 'Week 3'!$A:$A, 'Week 3'!$I:$I), "")</f>
        <v/>
      </c>
      <c r="AX27" s="153" t="str">
        <f t="shared" si="52"/>
        <v/>
      </c>
      <c r="AY27" s="151" t="s">
        <v>12</v>
      </c>
      <c r="AZ27" s="2" t="str">
        <f t="shared" si="53"/>
        <v/>
      </c>
      <c r="BA27" s="152" t="str">
        <f t="array" ref="BA27">ifna(xlookup(AY24, 'Week 3'!$A:$A, 'Week 3'!$B:$B), "")</f>
        <v>Loss</v>
      </c>
      <c r="BB27" s="152" t="str">
        <f t="array" ref="BB27">ifna(xlookup(AY24, 'Week 3'!$A:$A, 'Week 3'!$D:$D), "")</f>
        <v/>
      </c>
      <c r="BC27" s="152" t="str">
        <f t="array" ref="BC27">ifna(xlookup(AY24, 'Week 3'!$A:$A, 'Week 3'!$G:$G), "")</f>
        <v/>
      </c>
      <c r="BD27" s="152" t="str">
        <f t="array" ref="BD27">ifna(xlookup(AY24, 'Week 3'!$A:$A, 'Week 3'!$H:$H), "")</f>
        <v/>
      </c>
      <c r="BE27" s="152" t="str">
        <f t="array" ref="BE27">ifna(xlookup(AY24, 'Week 3'!$A:$A, 'Week 3'!$E:$E), "")</f>
        <v/>
      </c>
      <c r="BF27" s="152" t="str">
        <f t="array" ref="BF27">ifna(xlookup(AY24, 'Week 3'!$A:$A, 'Week 3'!$F:$F), "")</f>
        <v/>
      </c>
      <c r="BG27" s="152" t="str">
        <f t="array" ref="BG27">ifna(xlookup(AY24, 'Week 3'!$A:$A, 'Week 3'!$I:$I), "")</f>
        <v/>
      </c>
      <c r="BH27" s="153" t="str">
        <f t="shared" si="54"/>
        <v/>
      </c>
      <c r="BI27" s="8"/>
      <c r="BJ27" s="8"/>
      <c r="BK27" s="8"/>
      <c r="BL27" s="8"/>
    </row>
    <row r="28">
      <c r="A28" s="151" t="s">
        <v>17</v>
      </c>
      <c r="B28" s="2" t="str">
        <f t="shared" si="43"/>
        <v>Yes</v>
      </c>
      <c r="C28" s="152" t="str">
        <f t="array" ref="C28">ifna(xlookup(A24, 'Week 4'!$A:$A, 'Week 4'!$B:$B), "")</f>
        <v>Win</v>
      </c>
      <c r="D28" s="152">
        <f t="array" ref="D28">ifna(xlookup(A24, 'Week 4'!$A:$A, 'Week 4'!$D:$D), "")</f>
        <v>5</v>
      </c>
      <c r="E28" s="152">
        <f t="array" ref="E28">ifna(xlookup(A24, 'Week 4'!$A:$A, 'Week 4'!$G:$G), "")</f>
        <v>2</v>
      </c>
      <c r="F28" s="152">
        <f t="array" ref="F28">ifna(xlookup(A24, 'Week 4'!$A:$A, 'Week 4'!$H:$H), "")</f>
        <v>1</v>
      </c>
      <c r="G28" s="152">
        <f t="array" ref="G28">ifna(xlookup(A24, 'Week 4'!$A:$A, 'Week 4'!$E:$E), "")</f>
        <v>2</v>
      </c>
      <c r="H28" s="152">
        <f t="array" ref="H28">ifna(xlookup(A24, 'Week 4'!$A:$A, 'Week 4'!$F:$F), "")</f>
        <v>0</v>
      </c>
      <c r="I28" s="152">
        <f t="array" ref="I28">ifna(xlookup(A24, 'Week 4'!$A:$A, 'Week 4'!$I:$I), "")</f>
        <v>23</v>
      </c>
      <c r="J28" s="153">
        <f t="shared" si="44"/>
        <v>0.1785714286</v>
      </c>
      <c r="K28" s="151" t="s">
        <v>17</v>
      </c>
      <c r="L28" s="2" t="str">
        <f t="shared" si="45"/>
        <v>Yes</v>
      </c>
      <c r="M28" s="152" t="str">
        <f t="array" ref="M28">ifna(xlookup(K24, 'Week 4'!$A:$A, 'Week 4'!$B:$B), "")</f>
        <v>Loss</v>
      </c>
      <c r="N28" s="152">
        <f t="array" ref="N28">ifna(xlookup(K24, 'Week 4'!$A:$A, 'Week 4'!$D:$D), "")</f>
        <v>23</v>
      </c>
      <c r="O28" s="152">
        <f t="array" ref="O28">ifna(xlookup(K24, 'Week 4'!$A:$A, 'Week 4'!$G:$G), "")</f>
        <v>4</v>
      </c>
      <c r="P28" s="152">
        <f t="array" ref="P28">ifna(xlookup(K24, 'Week 4'!$A:$A, 'Week 4'!$H:$H), "")</f>
        <v>5</v>
      </c>
      <c r="Q28" s="152">
        <f t="array" ref="Q28">ifna(xlookup(K24, 'Week 4'!$A:$A, 'Week 4'!$E:$E), "")</f>
        <v>9</v>
      </c>
      <c r="R28" s="152">
        <f t="array" ref="R28">ifna(xlookup(K24, 'Week 4'!$A:$A, 'Week 4'!$F:$F), "")</f>
        <v>5</v>
      </c>
      <c r="S28" s="152">
        <f t="array" ref="S28">ifna(xlookup(K24, 'Week 4'!$A:$A, 'Week 4'!$I:$I), "")</f>
        <v>23</v>
      </c>
      <c r="T28" s="153">
        <f t="shared" si="46"/>
        <v>0.5</v>
      </c>
      <c r="U28" s="151" t="s">
        <v>17</v>
      </c>
      <c r="V28" s="2" t="str">
        <f t="shared" si="47"/>
        <v>Yes</v>
      </c>
      <c r="W28" s="152" t="str">
        <f t="array" ref="W28">ifna(xlookup(U24, 'Week 4'!$A:$A, 'Week 4'!$B:$B), "")</f>
        <v>Loss</v>
      </c>
      <c r="X28" s="152">
        <f t="array" ref="X28">ifna(xlookup(U24, 'Week 4'!$A:$A, 'Week 4'!$D:$D), "")</f>
        <v>20</v>
      </c>
      <c r="Y28" s="152">
        <f t="array" ref="Y28">ifna(xlookup(U24, 'Week 4'!$A:$A, 'Week 4'!$G:$G), "")</f>
        <v>13</v>
      </c>
      <c r="Z28" s="152">
        <f t="array" ref="Z28">ifna(xlookup(U24, 'Week 4'!$A:$A, 'Week 4'!$H:$H), "")</f>
        <v>1</v>
      </c>
      <c r="AA28" s="152">
        <f t="array" ref="AA28">ifna(xlookup(U24, 'Week 4'!$A:$A, 'Week 4'!$E:$E), "")</f>
        <v>4</v>
      </c>
      <c r="AB28" s="152">
        <f t="array" ref="AB28">ifna(xlookup(U24, 'Week 4'!$A:$A, 'Week 4'!$F:$F), "")</f>
        <v>2</v>
      </c>
      <c r="AC28" s="152">
        <f t="array" ref="AC28">ifna(xlookup(U24, 'Week 4'!$A:$A, 'Week 4'!$I:$I), "")</f>
        <v>19</v>
      </c>
      <c r="AD28" s="153">
        <f t="shared" si="48"/>
        <v>0.5128205128</v>
      </c>
      <c r="AE28" s="151" t="s">
        <v>17</v>
      </c>
      <c r="AF28" s="2" t="str">
        <f t="shared" si="49"/>
        <v>Yes</v>
      </c>
      <c r="AG28" s="152" t="str">
        <f t="array" ref="AG28">ifna(xlookup(AE24, 'Week 4'!$A:$A, 'Week 4'!$B:$B), "")</f>
        <v>Win</v>
      </c>
      <c r="AH28" s="152">
        <f t="array" ref="AH28">ifna(xlookup(AE24, 'Week 4'!$A:$A, 'Week 4'!$D:$D), "")</f>
        <v>12</v>
      </c>
      <c r="AI28" s="152">
        <f t="array" ref="AI28">ifna(xlookup(AE24, 'Week 4'!$A:$A, 'Week 4'!$G:$G), "")</f>
        <v>2</v>
      </c>
      <c r="AJ28" s="152">
        <f t="array" ref="AJ28">ifna(xlookup(AE24, 'Week 4'!$A:$A, 'Week 4'!$H:$H), "")</f>
        <v>2</v>
      </c>
      <c r="AK28" s="152">
        <f t="array" ref="AK28">ifna(xlookup(AE24, 'Week 4'!$A:$A, 'Week 4'!$E:$E), "")</f>
        <v>5</v>
      </c>
      <c r="AL28" s="152">
        <f t="array" ref="AL28">ifna(xlookup(AE24, 'Week 4'!$A:$A, 'Week 4'!$F:$F), "")</f>
        <v>3</v>
      </c>
      <c r="AM28" s="152">
        <f t="array" ref="AM28">ifna(xlookup(AE24, 'Week 4'!$A:$A, 'Week 4'!$I:$I), "")</f>
        <v>29</v>
      </c>
      <c r="AN28" s="153">
        <f t="shared" si="50"/>
        <v>0.2926829268</v>
      </c>
      <c r="AO28" s="151" t="s">
        <v>17</v>
      </c>
      <c r="AP28" s="2" t="str">
        <f t="shared" si="51"/>
        <v/>
      </c>
      <c r="AQ28" s="152" t="str">
        <f t="array" ref="AQ28">ifna(xlookup(AO24, 'Week 4'!$A:$A, 'Week 4'!$B:$B), "")</f>
        <v/>
      </c>
      <c r="AR28" s="152" t="str">
        <f t="array" ref="AR28">ifna(xlookup(AO24, 'Week 4'!$A:$A, 'Week 4'!$D:$D), "")</f>
        <v/>
      </c>
      <c r="AS28" s="152" t="str">
        <f t="array" ref="AS28">ifna(xlookup(AO24, 'Week 4'!$A:$A, 'Week 4'!$G:$G), "")</f>
        <v/>
      </c>
      <c r="AT28" s="152" t="str">
        <f t="array" ref="AT28">ifna(xlookup(AO24, 'Week 4'!$A:$A, 'Week 4'!$H:$H), "")</f>
        <v/>
      </c>
      <c r="AU28" s="152" t="str">
        <f t="array" ref="AU28">ifna(xlookup(AO24, 'Week 4'!$A:$A, 'Week 4'!$E:$E), "")</f>
        <v/>
      </c>
      <c r="AV28" s="152" t="str">
        <f t="array" ref="AV28">ifna(xlookup(AO24, 'Week 4'!$A:$A, 'Week 4'!$F:$F), "")</f>
        <v/>
      </c>
      <c r="AW28" s="152" t="str">
        <f t="array" ref="AW28">ifna(xlookup(AO24, 'Week 4'!$A:$A, 'Week 4'!$I:$I), "")</f>
        <v/>
      </c>
      <c r="AX28" s="153" t="str">
        <f t="shared" si="52"/>
        <v/>
      </c>
      <c r="AY28" s="151" t="s">
        <v>17</v>
      </c>
      <c r="AZ28" s="2" t="str">
        <f t="shared" si="53"/>
        <v>Yes</v>
      </c>
      <c r="BA28" s="152" t="str">
        <f t="array" ref="BA28">ifna(xlookup(AY24, 'Week 4'!$A:$A, 'Week 4'!$B:$B), "")</f>
        <v>Loss</v>
      </c>
      <c r="BB28" s="152">
        <f t="array" ref="BB28">ifna(xlookup(AY24, 'Week 4'!$A:$A, 'Week 4'!$D:$D), "")</f>
        <v>15</v>
      </c>
      <c r="BC28" s="152">
        <f t="array" ref="BC28">ifna(xlookup(AY24, 'Week 4'!$A:$A, 'Week 4'!$G:$G), "")</f>
        <v>6</v>
      </c>
      <c r="BD28" s="152">
        <f t="array" ref="BD28">ifna(xlookup(AY24, 'Week 4'!$A:$A, 'Week 4'!$H:$H), "")</f>
        <v>1</v>
      </c>
      <c r="BE28" s="152">
        <f t="array" ref="BE28">ifna(xlookup(AY24, 'Week 4'!$A:$A, 'Week 4'!$E:$E), "")</f>
        <v>7</v>
      </c>
      <c r="BF28" s="152">
        <f t="array" ref="BF28">ifna(xlookup(AY24, 'Week 4'!$A:$A, 'Week 4'!$F:$F), "")</f>
        <v>1</v>
      </c>
      <c r="BG28" s="152">
        <f t="array" ref="BG28">ifna(xlookup(AY24, 'Week 4'!$A:$A, 'Week 4'!$I:$I), "")</f>
        <v>25</v>
      </c>
      <c r="BH28" s="153">
        <f t="shared" si="54"/>
        <v>0.375</v>
      </c>
      <c r="BI28" s="8"/>
      <c r="BJ28" s="8"/>
      <c r="BK28" s="8"/>
      <c r="BL28" s="8"/>
    </row>
    <row r="29">
      <c r="A29" s="151" t="s">
        <v>20</v>
      </c>
      <c r="B29" s="2" t="str">
        <f t="shared" si="43"/>
        <v>Yes</v>
      </c>
      <c r="C29" s="152" t="str">
        <f t="array" ref="C29">ifna(xlookup(A24, 'Week 5'!$A:$A, 'Week 5'!$B:$B), "")</f>
        <v>Loss</v>
      </c>
      <c r="D29" s="152">
        <f t="array" ref="D29">ifna(xlookup(A24, 'Week 5'!$A:$A, 'Week 5'!$D:$D), "")</f>
        <v>8</v>
      </c>
      <c r="E29" s="152">
        <f t="array" ref="E29">ifna(xlookup(A24, 'Week 5'!$A:$A, 'Week 5'!$G:$G), "")</f>
        <v>4</v>
      </c>
      <c r="F29" s="152">
        <f t="array" ref="F29">ifna(xlookup(A24, 'Week 5'!$A:$A, 'Week 5'!$H:$H), "")</f>
        <v>0</v>
      </c>
      <c r="G29" s="152">
        <f t="array" ref="G29">ifna(xlookup(A24, 'Week 5'!$A:$A, 'Week 5'!$E:$E), "")</f>
        <v>4</v>
      </c>
      <c r="H29" s="152">
        <f t="array" ref="H29">ifna(xlookup(A24, 'Week 5'!$A:$A, 'Week 5'!$F:$F), "")</f>
        <v>0</v>
      </c>
      <c r="I29" s="152">
        <f t="array" ref="I29">ifna(xlookup(A24, 'Week 5'!$A:$A, 'Week 5'!$I:$I), "")</f>
        <v>24</v>
      </c>
      <c r="J29" s="153">
        <f t="shared" si="44"/>
        <v>0.25</v>
      </c>
      <c r="K29" s="151" t="s">
        <v>20</v>
      </c>
      <c r="L29" s="2" t="str">
        <f t="shared" si="45"/>
        <v>Yes</v>
      </c>
      <c r="M29" s="152" t="str">
        <f t="array" ref="M29">ifna(xlookup(K24, 'Week 5'!$A:$A, 'Week 5'!$B:$B), "")</f>
        <v>Win</v>
      </c>
      <c r="N29" s="152">
        <f t="array" ref="N29">ifna(xlookup(K24, 'Week 5'!$A:$A, 'Week 5'!$D:$D), "")</f>
        <v>23</v>
      </c>
      <c r="O29" s="152">
        <f t="array" ref="O29">ifna(xlookup(K24, 'Week 5'!$A:$A, 'Week 5'!$G:$G), "")</f>
        <v>4</v>
      </c>
      <c r="P29" s="152">
        <f t="array" ref="P29">ifna(xlookup(K24, 'Week 5'!$A:$A, 'Week 5'!$H:$H), "")</f>
        <v>5</v>
      </c>
      <c r="Q29" s="152">
        <f t="array" ref="Q29">ifna(xlookup(K24, 'Week 5'!$A:$A, 'Week 5'!$E:$E), "")</f>
        <v>12</v>
      </c>
      <c r="R29" s="152">
        <f t="array" ref="R29">ifna(xlookup(K24, 'Week 5'!$A:$A, 'Week 5'!$F:$F), "")</f>
        <v>2</v>
      </c>
      <c r="S29" s="152">
        <f t="array" ref="S29">ifna(xlookup(K24, 'Week 5'!$A:$A, 'Week 5'!$I:$I), "")</f>
        <v>27</v>
      </c>
      <c r="T29" s="153">
        <f t="shared" si="46"/>
        <v>0.46</v>
      </c>
      <c r="U29" s="151" t="s">
        <v>20</v>
      </c>
      <c r="V29" s="2" t="str">
        <f t="shared" si="47"/>
        <v>Yes</v>
      </c>
      <c r="W29" s="152" t="str">
        <f t="array" ref="W29">ifna(xlookup(U24, 'Week 5'!$A:$A, 'Week 5'!$B:$B), "")</f>
        <v>Loss</v>
      </c>
      <c r="X29" s="152">
        <f t="array" ref="X29">ifna(xlookup(U24, 'Week 5'!$A:$A, 'Week 5'!$D:$D), "")</f>
        <v>22</v>
      </c>
      <c r="Y29" s="152">
        <f t="array" ref="Y29">ifna(xlookup(U24, 'Week 5'!$A:$A, 'Week 5'!$G:$G), "")</f>
        <v>4</v>
      </c>
      <c r="Z29" s="152">
        <f t="array" ref="Z29">ifna(xlookup(U24, 'Week 5'!$A:$A, 'Week 5'!$H:$H), "")</f>
        <v>4</v>
      </c>
      <c r="AA29" s="152">
        <f t="array" ref="AA29">ifna(xlookup(U24, 'Week 5'!$A:$A, 'Week 5'!$E:$E), "")</f>
        <v>10</v>
      </c>
      <c r="AB29" s="152">
        <f t="array" ref="AB29">ifna(xlookup(U24, 'Week 5'!$A:$A, 'Week 5'!$F:$F), "")</f>
        <v>4</v>
      </c>
      <c r="AC29" s="152">
        <f t="array" ref="AC29">ifna(xlookup(U24, 'Week 5'!$A:$A, 'Week 5'!$I:$I), "")</f>
        <v>24</v>
      </c>
      <c r="AD29" s="153">
        <f t="shared" si="48"/>
        <v>0.4782608696</v>
      </c>
      <c r="AE29" s="151" t="s">
        <v>20</v>
      </c>
      <c r="AF29" s="2" t="str">
        <f t="shared" si="49"/>
        <v>Yes</v>
      </c>
      <c r="AG29" s="152" t="str">
        <f t="array" ref="AG29">ifna(xlookup(AE24, 'Week 5'!$A:$A, 'Week 5'!$B:$B), "")</f>
        <v>Win</v>
      </c>
      <c r="AH29" s="152">
        <f t="array" ref="AH29">ifna(xlookup(AE24, 'Week 5'!$A:$A, 'Week 5'!$D:$D), "")</f>
        <v>16</v>
      </c>
      <c r="AI29" s="152">
        <f t="array" ref="AI29">ifna(xlookup(AE24, 'Week 5'!$A:$A, 'Week 5'!$G:$G), "")</f>
        <v>3</v>
      </c>
      <c r="AJ29" s="152">
        <f t="array" ref="AJ29">ifna(xlookup(AE24, 'Week 5'!$A:$A, 'Week 5'!$H:$H), "")</f>
        <v>0</v>
      </c>
      <c r="AK29" s="152">
        <f t="array" ref="AK29">ifna(xlookup(AE24, 'Week 5'!$A:$A, 'Week 5'!$E:$E), "")</f>
        <v>12</v>
      </c>
      <c r="AL29" s="152">
        <f t="array" ref="AL29">ifna(xlookup(AE24, 'Week 5'!$A:$A, 'Week 5'!$F:$F), "")</f>
        <v>1</v>
      </c>
      <c r="AM29" s="152">
        <f t="array" ref="AM29">ifna(xlookup(AE24, 'Week 5'!$A:$A, 'Week 5'!$I:$I), "")</f>
        <v>29</v>
      </c>
      <c r="AN29" s="153">
        <f t="shared" si="50"/>
        <v>0.3555555556</v>
      </c>
      <c r="AO29" s="151" t="s">
        <v>20</v>
      </c>
      <c r="AP29" s="2" t="str">
        <f t="shared" si="51"/>
        <v/>
      </c>
      <c r="AQ29" s="152" t="str">
        <f t="array" ref="AQ29">ifna(xlookup(AO24, 'Week 5'!$A:$A, 'Week 5'!$B:$B), "")</f>
        <v/>
      </c>
      <c r="AR29" s="152" t="str">
        <f t="array" ref="AR29">ifna(xlookup(AO24, 'Week 5'!$A:$A, 'Week 5'!$D:$D), "")</f>
        <v/>
      </c>
      <c r="AS29" s="152" t="str">
        <f t="array" ref="AS29">ifna(xlookup(AO24, 'Week 5'!$A:$A, 'Week 5'!$G:$G), "")</f>
        <v/>
      </c>
      <c r="AT29" s="152" t="str">
        <f t="array" ref="AT29">ifna(xlookup(AO24, 'Week 5'!$A:$A, 'Week 5'!$H:$H), "")</f>
        <v/>
      </c>
      <c r="AU29" s="152" t="str">
        <f t="array" ref="AU29">ifna(xlookup(AO24, 'Week 5'!$A:$A, 'Week 5'!$E:$E), "")</f>
        <v/>
      </c>
      <c r="AV29" s="152" t="str">
        <f t="array" ref="AV29">ifna(xlookup(AO24, 'Week 5'!$A:$A, 'Week 5'!$F:$F), "")</f>
        <v/>
      </c>
      <c r="AW29" s="152" t="str">
        <f t="array" ref="AW29">ifna(xlookup(AO24, 'Week 5'!$A:$A, 'Week 5'!$I:$I), "")</f>
        <v/>
      </c>
      <c r="AX29" s="153" t="str">
        <f t="shared" si="52"/>
        <v/>
      </c>
      <c r="AY29" s="151" t="s">
        <v>20</v>
      </c>
      <c r="AZ29" s="2" t="str">
        <f t="shared" si="53"/>
        <v>Yes</v>
      </c>
      <c r="BA29" s="152" t="str">
        <f t="array" ref="BA29">ifna(xlookup(AY24, 'Week 5'!$A:$A, 'Week 5'!$B:$B), "")</f>
        <v>Loss</v>
      </c>
      <c r="BB29" s="152">
        <f t="array" ref="BB29">ifna(xlookup(AY24, 'Week 5'!$A:$A, 'Week 5'!$D:$D), "")</f>
        <v>15</v>
      </c>
      <c r="BC29" s="152">
        <f t="array" ref="BC29">ifna(xlookup(AY24, 'Week 5'!$A:$A, 'Week 5'!$G:$G), "")</f>
        <v>6</v>
      </c>
      <c r="BD29" s="152">
        <f t="array" ref="BD29">ifna(xlookup(AY24, 'Week 5'!$A:$A, 'Week 5'!$H:$H), "")</f>
        <v>1</v>
      </c>
      <c r="BE29" s="152">
        <f t="array" ref="BE29">ifna(xlookup(AY24, 'Week 5'!$A:$A, 'Week 5'!$E:$E), "")</f>
        <v>6</v>
      </c>
      <c r="BF29" s="152">
        <f t="array" ref="BF29">ifna(xlookup(AY24, 'Week 5'!$A:$A, 'Week 5'!$F:$F), "")</f>
        <v>2</v>
      </c>
      <c r="BG29" s="152">
        <f t="array" ref="BG29">ifna(xlookup(AY24, 'Week 5'!$A:$A, 'Week 5'!$I:$I), "")</f>
        <v>30</v>
      </c>
      <c r="BH29" s="153">
        <f t="shared" si="54"/>
        <v>0.3333333333</v>
      </c>
      <c r="BI29" s="8"/>
      <c r="BJ29" s="8"/>
      <c r="BK29" s="8"/>
      <c r="BL29" s="8"/>
    </row>
    <row r="30">
      <c r="A30" s="151" t="s">
        <v>23</v>
      </c>
      <c r="B30" s="2" t="str">
        <f t="shared" si="43"/>
        <v>Yes</v>
      </c>
      <c r="C30" s="152" t="str">
        <f t="array" ref="C30">ifna(xlookup(A24, 'Week 6'!$A:$A, 'Week 6'!$B:$B), "")</f>
        <v>Win</v>
      </c>
      <c r="D30" s="152">
        <f t="array" ref="D30">ifna(xlookup(A24, 'Week 6'!$A:$A, 'Week 6'!$D:$D), "")</f>
        <v>17</v>
      </c>
      <c r="E30" s="152">
        <f t="array" ref="E30">ifna(xlookup(A24, 'Week 6'!$A:$A, 'Week 6'!$G:$G), "")</f>
        <v>4</v>
      </c>
      <c r="F30" s="152">
        <f t="array" ref="F30">ifna(xlookup(A24, 'Week 6'!$A:$A, 'Week 6'!$H:$H), "")</f>
        <v>2</v>
      </c>
      <c r="G30" s="152">
        <f t="array" ref="G30">ifna(xlookup(A24, 'Week 6'!$A:$A, 'Week 6'!$E:$E), "")</f>
        <v>8</v>
      </c>
      <c r="H30" s="152">
        <f t="array" ref="H30">ifna(xlookup(A24, 'Week 6'!$A:$A, 'Week 6'!$F:$F), "")</f>
        <v>3</v>
      </c>
      <c r="I30" s="152">
        <f t="array" ref="I30">ifna(xlookup(A24, 'Week 6'!$A:$A, 'Week 6'!$I:$I), "")</f>
        <v>23</v>
      </c>
      <c r="J30" s="153">
        <f t="shared" si="44"/>
        <v>0.425</v>
      </c>
      <c r="K30" s="151" t="s">
        <v>23</v>
      </c>
      <c r="L30" s="2" t="str">
        <f t="shared" si="45"/>
        <v>Yes</v>
      </c>
      <c r="M30" s="152" t="str">
        <f t="array" ref="M30">ifna(xlookup(K24, 'Week 6'!$A:$A, 'Week 6'!$B:$B), "")</f>
        <v>Loss</v>
      </c>
      <c r="N30" s="152">
        <f t="array" ref="N30">ifna(xlookup(K24, 'Week 6'!$A:$A, 'Week 6'!$D:$D), "")</f>
        <v>19</v>
      </c>
      <c r="O30" s="152">
        <f t="array" ref="O30">ifna(xlookup(K24, 'Week 6'!$A:$A, 'Week 6'!$G:$G), "")</f>
        <v>2</v>
      </c>
      <c r="P30" s="152">
        <f t="array" ref="P30">ifna(xlookup(K24, 'Week 6'!$A:$A, 'Week 6'!$H:$H), "")</f>
        <v>3</v>
      </c>
      <c r="Q30" s="152">
        <f t="array" ref="Q30">ifna(xlookup(K24, 'Week 6'!$A:$A, 'Week 6'!$E:$E), "")</f>
        <v>10</v>
      </c>
      <c r="R30" s="152">
        <f t="array" ref="R30">ifna(xlookup(K24, 'Week 6'!$A:$A, 'Week 6'!$F:$F), "")</f>
        <v>4</v>
      </c>
      <c r="S30" s="152">
        <f t="array" ref="S30">ifna(xlookup(K24, 'Week 6'!$A:$A, 'Week 6'!$I:$I), "")</f>
        <v>25</v>
      </c>
      <c r="T30" s="153">
        <f t="shared" si="46"/>
        <v>0.4318181818</v>
      </c>
      <c r="U30" s="151" t="s">
        <v>23</v>
      </c>
      <c r="V30" s="2" t="str">
        <f t="shared" si="47"/>
        <v>Yes</v>
      </c>
      <c r="W30" s="152" t="str">
        <f t="array" ref="W30">ifna(xlookup(U24, 'Week 6'!$A:$A, 'Week 6'!$B:$B), "")</f>
        <v>Loss</v>
      </c>
      <c r="X30" s="152">
        <f t="array" ref="X30">ifna(xlookup(U24, 'Week 6'!$A:$A, 'Week 6'!$D:$D), "")</f>
        <v>16</v>
      </c>
      <c r="Y30" s="152">
        <f t="array" ref="Y30">ifna(xlookup(U24, 'Week 6'!$A:$A, 'Week 6'!$G:$G), "")</f>
        <v>8</v>
      </c>
      <c r="Z30" s="152">
        <f t="array" ref="Z30">ifna(xlookup(U24, 'Week 6'!$A:$A, 'Week 6'!$H:$H), "")</f>
        <v>1</v>
      </c>
      <c r="AA30" s="152">
        <f t="array" ref="AA30">ifna(xlookup(U24, 'Week 6'!$A:$A, 'Week 6'!$E:$E), "")</f>
        <v>7</v>
      </c>
      <c r="AB30" s="152">
        <f t="array" ref="AB30">ifna(xlookup(U24, 'Week 6'!$A:$A, 'Week 6'!$F:$F), "")</f>
        <v>0</v>
      </c>
      <c r="AC30" s="152">
        <f t="array" ref="AC30">ifna(xlookup(U24, 'Week 6'!$A:$A, 'Week 6'!$I:$I), "")</f>
        <v>22</v>
      </c>
      <c r="AD30" s="153">
        <f t="shared" si="48"/>
        <v>0.4210526316</v>
      </c>
      <c r="AE30" s="151" t="s">
        <v>23</v>
      </c>
      <c r="AF30" s="2" t="str">
        <f t="shared" si="49"/>
        <v>Yes</v>
      </c>
      <c r="AG30" s="152" t="str">
        <f t="array" ref="AG30">ifna(xlookup(AE24, 'Week 6'!$A:$A, 'Week 6'!$B:$B), "")</f>
        <v>Loss</v>
      </c>
      <c r="AH30" s="152">
        <f t="array" ref="AH30">ifna(xlookup(AE24, 'Week 6'!$A:$A, 'Week 6'!$D:$D), "")</f>
        <v>16</v>
      </c>
      <c r="AI30" s="152">
        <f t="array" ref="AI30">ifna(xlookup(AE24, 'Week 6'!$A:$A, 'Week 6'!$G:$G), "")</f>
        <v>4</v>
      </c>
      <c r="AJ30" s="152">
        <f t="array" ref="AJ30">ifna(xlookup(AE24, 'Week 6'!$A:$A, 'Week 6'!$H:$H), "")</f>
        <v>3</v>
      </c>
      <c r="AK30" s="152">
        <f t="array" ref="AK30">ifna(xlookup(AE24, 'Week 6'!$A:$A, 'Week 6'!$E:$E), "")</f>
        <v>7</v>
      </c>
      <c r="AL30" s="152">
        <f t="array" ref="AL30">ifna(xlookup(AE24, 'Week 6'!$A:$A, 'Week 6'!$F:$F), "")</f>
        <v>2</v>
      </c>
      <c r="AM30" s="152">
        <f t="array" ref="AM30">ifna(xlookup(AE24, 'Week 6'!$A:$A, 'Week 6'!$I:$I), "")</f>
        <v>25</v>
      </c>
      <c r="AN30" s="153">
        <f t="shared" si="50"/>
        <v>0.3902439024</v>
      </c>
      <c r="AO30" s="151" t="s">
        <v>23</v>
      </c>
      <c r="AP30" s="2" t="str">
        <f t="shared" si="51"/>
        <v/>
      </c>
      <c r="AQ30" s="152" t="str">
        <f t="array" ref="AQ30">ifna(xlookup(AO24, 'Week 6'!$A:$A, 'Week 6'!$B:$B), "")</f>
        <v/>
      </c>
      <c r="AR30" s="152" t="str">
        <f t="array" ref="AR30">ifna(xlookup(AO24, 'Week 6'!$A:$A, 'Week 6'!$D:$D), "")</f>
        <v/>
      </c>
      <c r="AS30" s="152" t="str">
        <f t="array" ref="AS30">ifna(xlookup(AO24, 'Week 6'!$A:$A, 'Week 6'!$G:$G), "")</f>
        <v/>
      </c>
      <c r="AT30" s="152" t="str">
        <f t="array" ref="AT30">ifna(xlookup(AO24, 'Week 6'!$A:$A, 'Week 6'!$H:$H), "")</f>
        <v/>
      </c>
      <c r="AU30" s="152" t="str">
        <f t="array" ref="AU30">ifna(xlookup(AO24, 'Week 6'!$A:$A, 'Week 6'!$E:$E), "")</f>
        <v/>
      </c>
      <c r="AV30" s="152" t="str">
        <f t="array" ref="AV30">ifna(xlookup(AO24, 'Week 6'!$A:$A, 'Week 6'!$F:$F), "")</f>
        <v/>
      </c>
      <c r="AW30" s="152" t="str">
        <f t="array" ref="AW30">ifna(xlookup(AO24, 'Week 6'!$A:$A, 'Week 6'!$I:$I), "")</f>
        <v/>
      </c>
      <c r="AX30" s="153" t="str">
        <f t="shared" si="52"/>
        <v/>
      </c>
      <c r="AY30" s="151" t="s">
        <v>23</v>
      </c>
      <c r="AZ30" s="2" t="str">
        <f t="shared" si="53"/>
        <v>Yes</v>
      </c>
      <c r="BA30" s="152" t="str">
        <f t="array" ref="BA30">ifna(xlookup(AY24, 'Week 6'!$A:$A, 'Week 6'!$B:$B), "")</f>
        <v>Win</v>
      </c>
      <c r="BB30" s="152">
        <f t="array" ref="BB30">ifna(xlookup(AY24, 'Week 6'!$A:$A, 'Week 6'!$D:$D), "")</f>
        <v>29</v>
      </c>
      <c r="BC30" s="152">
        <f t="array" ref="BC30">ifna(xlookup(AY24, 'Week 6'!$A:$A, 'Week 6'!$G:$G), "")</f>
        <v>13</v>
      </c>
      <c r="BD30" s="152">
        <f t="array" ref="BD30">ifna(xlookup(AY24, 'Week 6'!$A:$A, 'Week 6'!$H:$H), "")</f>
        <v>3</v>
      </c>
      <c r="BE30" s="152">
        <f t="array" ref="BE30">ifna(xlookup(AY24, 'Week 6'!$A:$A, 'Week 6'!$E:$E), "")</f>
        <v>10</v>
      </c>
      <c r="BF30" s="152">
        <f t="array" ref="BF30">ifna(xlookup(AY24, 'Week 6'!$A:$A, 'Week 6'!$F:$F), "")</f>
        <v>3</v>
      </c>
      <c r="BG30" s="152">
        <f t="array" ref="BG30">ifna(xlookup(AY24, 'Week 6'!$A:$A, 'Week 6'!$I:$I), "")</f>
        <v>20</v>
      </c>
      <c r="BH30" s="153">
        <f t="shared" si="54"/>
        <v>0.5918367347</v>
      </c>
      <c r="BI30" s="8"/>
      <c r="BJ30" s="8"/>
      <c r="BK30" s="8"/>
      <c r="BL30" s="8"/>
    </row>
    <row r="31">
      <c r="A31" s="151" t="s">
        <v>41</v>
      </c>
      <c r="B31" s="2" t="str">
        <f t="shared" si="43"/>
        <v/>
      </c>
      <c r="C31" s="152" t="str">
        <f t="array" ref="C31">ifna(xlookup(A24, 'Week 7'!$A:$A, 'Week 7'!$B:$B), "")</f>
        <v>Win</v>
      </c>
      <c r="D31" s="152" t="str">
        <f t="array" ref="D31">ifna(xlookup(A24, 'Week 7'!$A:$A, 'Week 7'!$D:$D), "")</f>
        <v/>
      </c>
      <c r="E31" s="152" t="str">
        <f t="array" ref="E31">ifna(xlookup(A24, 'Week 7'!$A:$A, 'Week 7'!$G:$G), "")</f>
        <v/>
      </c>
      <c r="F31" s="152" t="str">
        <f t="array" ref="F31">ifna(xlookup(A24, 'Week 7'!$A:$A, 'Week 7'!$H:$H), "")</f>
        <v/>
      </c>
      <c r="G31" s="152" t="str">
        <f t="array" ref="G31">ifna(xlookup(A24, 'Week 7'!$A:$A, 'Week 7'!$E:$E), "")</f>
        <v/>
      </c>
      <c r="H31" s="152" t="str">
        <f t="array" ref="H31">ifna(xlookup(A24, 'Week 7'!$A:$A, 'Week 7'!$F:$F), "")</f>
        <v/>
      </c>
      <c r="I31" s="152" t="str">
        <f t="array" ref="I31">ifna(xlookup(A24, 'Week 7'!$A:$A, 'Week 7'!$I:$I), "")</f>
        <v/>
      </c>
      <c r="J31" s="153" t="str">
        <f t="shared" si="44"/>
        <v/>
      </c>
      <c r="K31" s="151" t="s">
        <v>41</v>
      </c>
      <c r="L31" s="2" t="str">
        <f t="shared" si="45"/>
        <v>Yes</v>
      </c>
      <c r="M31" s="152" t="str">
        <f t="array" ref="M31">ifna(xlookup(K24, 'Week 7'!$A:$A, 'Week 7'!$B:$B), "")</f>
        <v>Win</v>
      </c>
      <c r="N31" s="152">
        <f t="array" ref="N31">ifna(xlookup(K24, 'Week 7'!$A:$A, 'Week 7'!$D:$D), "")</f>
        <v>17</v>
      </c>
      <c r="O31" s="152">
        <f t="array" ref="O31">ifna(xlookup(K24, 'Week 7'!$A:$A, 'Week 7'!$G:$G), "")</f>
        <v>2</v>
      </c>
      <c r="P31" s="152">
        <f t="array" ref="P31">ifna(xlookup(K24, 'Week 7'!$A:$A, 'Week 7'!$H:$H), "")</f>
        <v>2</v>
      </c>
      <c r="Q31" s="152">
        <f t="array" ref="Q31">ifna(xlookup(K24, 'Week 7'!$A:$A, 'Week 7'!$E:$E), "")</f>
        <v>11</v>
      </c>
      <c r="R31" s="152">
        <f t="array" ref="R31">ifna(xlookup(K24, 'Week 7'!$A:$A, 'Week 7'!$F:$F), "")</f>
        <v>2</v>
      </c>
      <c r="S31" s="152">
        <f t="array" ref="S31">ifna(xlookup(K24, 'Week 7'!$A:$A, 'Week 7'!$I:$I), "")</f>
        <v>20</v>
      </c>
      <c r="T31" s="153">
        <f t="shared" si="46"/>
        <v>0.4594594595</v>
      </c>
      <c r="U31" s="151" t="s">
        <v>41</v>
      </c>
      <c r="V31" s="2" t="str">
        <f t="shared" si="47"/>
        <v>Yes</v>
      </c>
      <c r="W31" s="152" t="str">
        <f t="array" ref="W31">ifna(xlookup(U24, 'Week 7'!$A:$A, 'Week 7'!$B:$B), "")</f>
        <v>Loss</v>
      </c>
      <c r="X31" s="152">
        <f t="array" ref="X31">ifna(xlookup(U24, 'Week 7'!$A:$A, 'Week 7'!$D:$D), "")</f>
        <v>8</v>
      </c>
      <c r="Y31" s="152">
        <f t="array" ref="Y31">ifna(xlookup(U24, 'Week 7'!$A:$A, 'Week 7'!$G:$G), "")</f>
        <v>4</v>
      </c>
      <c r="Z31" s="152">
        <f t="array" ref="Z31">ifna(xlookup(U24, 'Week 7'!$A:$A, 'Week 7'!$H:$H), "")</f>
        <v>0</v>
      </c>
      <c r="AA31" s="152">
        <f t="array" ref="AA31">ifna(xlookup(U24, 'Week 7'!$A:$A, 'Week 7'!$E:$E), "")</f>
        <v>4</v>
      </c>
      <c r="AB31" s="152">
        <f t="array" ref="AB31">ifna(xlookup(U24, 'Week 7'!$A:$A, 'Week 7'!$F:$F), "")</f>
        <v>0</v>
      </c>
      <c r="AC31" s="152">
        <f t="array" ref="AC31">ifna(xlookup(U24, 'Week 7'!$A:$A, 'Week 7'!$I:$I), "")</f>
        <v>21</v>
      </c>
      <c r="AD31" s="153">
        <f t="shared" si="48"/>
        <v>0.275862069</v>
      </c>
      <c r="AE31" s="151" t="s">
        <v>41</v>
      </c>
      <c r="AF31" s="2" t="str">
        <f t="shared" si="49"/>
        <v>Yes</v>
      </c>
      <c r="AG31" s="152" t="str">
        <f t="array" ref="AG31">ifna(xlookup(AE24, 'Week 7'!$A:$A, 'Week 7'!$B:$B), "")</f>
        <v>Loss</v>
      </c>
      <c r="AH31" s="152">
        <f t="array" ref="AH31">ifna(xlookup(AE24, 'Week 7'!$A:$A, 'Week 7'!$D:$D), "")</f>
        <v>14</v>
      </c>
      <c r="AI31" s="152">
        <f t="array" ref="AI31">ifna(xlookup(AE24, 'Week 7'!$A:$A, 'Week 7'!$G:$G), "")</f>
        <v>3</v>
      </c>
      <c r="AJ31" s="152">
        <f t="array" ref="AJ31">ifna(xlookup(AE24, 'Week 7'!$A:$A, 'Week 7'!$H:$H), "")</f>
        <v>1</v>
      </c>
      <c r="AK31" s="152">
        <f t="array" ref="AK31">ifna(xlookup(AE24, 'Week 7'!$A:$A, 'Week 7'!$E:$E), "")</f>
        <v>6</v>
      </c>
      <c r="AL31" s="152">
        <f t="array" ref="AL31">ifna(xlookup(AE24, 'Week 7'!$A:$A, 'Week 7'!$F:$F), "")</f>
        <v>4</v>
      </c>
      <c r="AM31" s="152">
        <f t="array" ref="AM31">ifna(xlookup(AE24, 'Week 7'!$A:$A, 'Week 7'!$I:$I), "")</f>
        <v>31</v>
      </c>
      <c r="AN31" s="153">
        <f t="shared" si="50"/>
        <v>0.3111111111</v>
      </c>
      <c r="AO31" s="151" t="s">
        <v>41</v>
      </c>
      <c r="AP31" s="2" t="str">
        <f t="shared" si="51"/>
        <v/>
      </c>
      <c r="AQ31" s="152" t="str">
        <f t="array" ref="AQ31">ifna(xlookup(AO24, 'Week 7'!$A:$A, 'Week 7'!$B:$B), "")</f>
        <v/>
      </c>
      <c r="AR31" s="152" t="str">
        <f t="array" ref="AR31">ifna(xlookup(AO24, 'Week 7'!$A:$A, 'Week 7'!$D:$D), "")</f>
        <v/>
      </c>
      <c r="AS31" s="152" t="str">
        <f t="array" ref="AS31">ifna(xlookup(AO24, 'Week 7'!$A:$A, 'Week 7'!$G:$G), "")</f>
        <v/>
      </c>
      <c r="AT31" s="152" t="str">
        <f t="array" ref="AT31">ifna(xlookup(AO24, 'Week 7'!$A:$A, 'Week 7'!$H:$H), "")</f>
        <v/>
      </c>
      <c r="AU31" s="152" t="str">
        <f t="array" ref="AU31">ifna(xlookup(AO24, 'Week 7'!$A:$A, 'Week 7'!$E:$E), "")</f>
        <v/>
      </c>
      <c r="AV31" s="152" t="str">
        <f t="array" ref="AV31">ifna(xlookup(AO24, 'Week 7'!$A:$A, 'Week 7'!$F:$F), "")</f>
        <v/>
      </c>
      <c r="AW31" s="152" t="str">
        <f t="array" ref="AW31">ifna(xlookup(AO24, 'Week 7'!$A:$A, 'Week 7'!$I:$I), "")</f>
        <v/>
      </c>
      <c r="AX31" s="153" t="str">
        <f t="shared" si="52"/>
        <v/>
      </c>
      <c r="AY31" s="151" t="s">
        <v>41</v>
      </c>
      <c r="AZ31" s="2" t="str">
        <f t="shared" si="53"/>
        <v>Yes</v>
      </c>
      <c r="BA31" s="152" t="str">
        <f t="array" ref="BA31">ifna(xlookup(AY24, 'Week 7'!$A:$A, 'Week 7'!$B:$B), "")</f>
        <v>Loss</v>
      </c>
      <c r="BB31" s="152">
        <f t="array" ref="BB31">ifna(xlookup(AY24, 'Week 7'!$A:$A, 'Week 7'!$D:$D), "")</f>
        <v>22</v>
      </c>
      <c r="BC31" s="152">
        <f t="array" ref="BC31">ifna(xlookup(AY24, 'Week 7'!$A:$A, 'Week 7'!$G:$G), "")</f>
        <v>12</v>
      </c>
      <c r="BD31" s="152">
        <f t="array" ref="BD31">ifna(xlookup(AY24, 'Week 7'!$A:$A, 'Week 7'!$H:$H), "")</f>
        <v>4</v>
      </c>
      <c r="BE31" s="152">
        <f t="array" ref="BE31">ifna(xlookup(AY24, 'Week 7'!$A:$A, 'Week 7'!$E:$E), "")</f>
        <v>6</v>
      </c>
      <c r="BF31" s="152">
        <f t="array" ref="BF31">ifna(xlookup(AY24, 'Week 7'!$A:$A, 'Week 7'!$F:$F), "")</f>
        <v>0</v>
      </c>
      <c r="BG31" s="152">
        <f t="array" ref="BG31">ifna(xlookup(AY24, 'Week 7'!$A:$A, 'Week 7'!$I:$I), "")</f>
        <v>24</v>
      </c>
      <c r="BH31" s="153">
        <f t="shared" si="54"/>
        <v>0.4782608696</v>
      </c>
      <c r="BI31" s="8"/>
      <c r="BJ31" s="8"/>
      <c r="BK31" s="8"/>
      <c r="BL31" s="8"/>
    </row>
    <row r="32">
      <c r="A32" s="151" t="s">
        <v>181</v>
      </c>
      <c r="B32" s="2"/>
      <c r="C32" s="2"/>
      <c r="D32" s="2"/>
      <c r="E32" s="2"/>
      <c r="F32" s="2"/>
      <c r="G32" s="2"/>
      <c r="H32" s="2"/>
      <c r="I32" s="2"/>
      <c r="J32" s="153"/>
      <c r="K32" s="151" t="s">
        <v>181</v>
      </c>
      <c r="L32" s="2"/>
      <c r="M32" s="2"/>
      <c r="N32" s="2"/>
      <c r="O32" s="2"/>
      <c r="P32" s="2"/>
      <c r="Q32" s="2"/>
      <c r="R32" s="2"/>
      <c r="S32" s="2"/>
      <c r="T32" s="153"/>
      <c r="U32" s="151" t="s">
        <v>181</v>
      </c>
      <c r="V32" s="2"/>
      <c r="W32" s="2"/>
      <c r="X32" s="2"/>
      <c r="Y32" s="2"/>
      <c r="Z32" s="2"/>
      <c r="AA32" s="2"/>
      <c r="AB32" s="2"/>
      <c r="AC32" s="2"/>
      <c r="AD32" s="153"/>
      <c r="AE32" s="151" t="s">
        <v>181</v>
      </c>
      <c r="AF32" s="2"/>
      <c r="AG32" s="2"/>
      <c r="AH32" s="2"/>
      <c r="AI32" s="2"/>
      <c r="AJ32" s="2"/>
      <c r="AK32" s="2"/>
      <c r="AL32" s="2"/>
      <c r="AM32" s="2"/>
      <c r="AN32" s="153"/>
      <c r="AO32" s="151" t="s">
        <v>181</v>
      </c>
      <c r="AP32" s="2"/>
      <c r="AQ32" s="2"/>
      <c r="AR32" s="2"/>
      <c r="AS32" s="2"/>
      <c r="AT32" s="2"/>
      <c r="AU32" s="2"/>
      <c r="AV32" s="2"/>
      <c r="AW32" s="2"/>
      <c r="AX32" s="153"/>
      <c r="AY32" s="151" t="s">
        <v>181</v>
      </c>
      <c r="AZ32" s="2"/>
      <c r="BA32" s="2"/>
      <c r="BB32" s="2"/>
      <c r="BC32" s="2"/>
      <c r="BD32" s="2"/>
      <c r="BE32" s="2"/>
      <c r="BF32" s="2"/>
      <c r="BG32" s="2"/>
      <c r="BH32" s="153"/>
      <c r="BI32" s="8"/>
      <c r="BJ32" s="8"/>
      <c r="BK32" s="8"/>
      <c r="BL32" s="8"/>
    </row>
    <row r="33">
      <c r="A33" s="151" t="s">
        <v>182</v>
      </c>
      <c r="B33" s="2"/>
      <c r="C33" s="2"/>
      <c r="D33" s="2"/>
      <c r="E33" s="2"/>
      <c r="F33" s="2"/>
      <c r="G33" s="2"/>
      <c r="H33" s="2"/>
      <c r="I33" s="2"/>
      <c r="J33" s="153"/>
      <c r="K33" s="151" t="s">
        <v>182</v>
      </c>
      <c r="L33" s="2"/>
      <c r="M33" s="2"/>
      <c r="N33" s="2"/>
      <c r="O33" s="2"/>
      <c r="P33" s="2"/>
      <c r="Q33" s="2"/>
      <c r="R33" s="2"/>
      <c r="S33" s="2"/>
      <c r="T33" s="153"/>
      <c r="U33" s="151" t="s">
        <v>182</v>
      </c>
      <c r="V33" s="2"/>
      <c r="W33" s="2"/>
      <c r="X33" s="2"/>
      <c r="Y33" s="2"/>
      <c r="Z33" s="2"/>
      <c r="AA33" s="2"/>
      <c r="AB33" s="2"/>
      <c r="AC33" s="2"/>
      <c r="AD33" s="153"/>
      <c r="AE33" s="151" t="s">
        <v>182</v>
      </c>
      <c r="AF33" s="2"/>
      <c r="AG33" s="2"/>
      <c r="AH33" s="2"/>
      <c r="AI33" s="2"/>
      <c r="AJ33" s="2"/>
      <c r="AK33" s="2"/>
      <c r="AL33" s="2"/>
      <c r="AM33" s="2"/>
      <c r="AN33" s="153"/>
      <c r="AO33" s="151" t="s">
        <v>182</v>
      </c>
      <c r="AP33" s="2"/>
      <c r="AQ33" s="2"/>
      <c r="AR33" s="2"/>
      <c r="AS33" s="2"/>
      <c r="AT33" s="2"/>
      <c r="AU33" s="2"/>
      <c r="AV33" s="2"/>
      <c r="AW33" s="2"/>
      <c r="AX33" s="153"/>
      <c r="AY33" s="151" t="s">
        <v>182</v>
      </c>
      <c r="AZ33" s="2"/>
      <c r="BA33" s="2"/>
      <c r="BB33" s="2"/>
      <c r="BC33" s="2"/>
      <c r="BD33" s="2"/>
      <c r="BE33" s="2"/>
      <c r="BF33" s="2"/>
      <c r="BG33" s="2"/>
      <c r="BH33" s="153"/>
      <c r="BI33" s="8"/>
      <c r="BJ33" s="8"/>
      <c r="BK33" s="8"/>
      <c r="BL33" s="8"/>
    </row>
    <row r="34">
      <c r="A34" s="5" t="s">
        <v>183</v>
      </c>
      <c r="B34" s="154">
        <f>countif(B25:B33, "Yes")</f>
        <v>6</v>
      </c>
      <c r="C34" s="155">
        <f>IFERROR( COUNTIFS(B25:B31,"Yes", C25:C31,"Win") / COUNTIF(B25:B31,"Yes"), "")</f>
        <v>0.3333333333</v>
      </c>
      <c r="D34" s="156">
        <f>if(B34&gt;0, average(D25:D33), "")</f>
        <v>12.16666667</v>
      </c>
      <c r="E34" s="156">
        <f>if(B34&gt;0, average(E25:E33), "")</f>
        <v>3.833333333</v>
      </c>
      <c r="F34" s="156">
        <f>if(B34&gt;0, average(F25:F33), "")</f>
        <v>0.5</v>
      </c>
      <c r="G34" s="156">
        <f>if(B34&gt;0, average(G25:G33), "")</f>
        <v>6.833333333</v>
      </c>
      <c r="H34" s="156">
        <f>if(B34&gt;0, average(H25:H33), "")</f>
        <v>1</v>
      </c>
      <c r="I34" s="156">
        <f>if(B34&gt;0, average(I25:I33), "")</f>
        <v>26.83333333</v>
      </c>
      <c r="J34" s="157">
        <f>if(B34&gt;0, D34/(I34+D34), "")</f>
        <v>0.311965812</v>
      </c>
      <c r="K34" s="5" t="s">
        <v>183</v>
      </c>
      <c r="L34" s="154">
        <f>countif(L25:L33, "Yes")</f>
        <v>7</v>
      </c>
      <c r="M34" s="155">
        <f>IFERROR( COUNTIFS(L25:L31,"Yes", M25:M31,"Win") / COUNTIF(L25:L31,"Yes"), "")</f>
        <v>0.4285714286</v>
      </c>
      <c r="N34" s="156">
        <f>if(L34&gt;0, average(N25:N33), "")</f>
        <v>20.71428571</v>
      </c>
      <c r="O34" s="156">
        <f>if(L34&gt;0, average(O25:O33), "")</f>
        <v>4.571428571</v>
      </c>
      <c r="P34" s="156">
        <f>if(L34&gt;0, average(P25:P33), "")</f>
        <v>3.857142857</v>
      </c>
      <c r="Q34" s="156">
        <f>if(L34&gt;0, average(Q25:Q33), "")</f>
        <v>8.714285714</v>
      </c>
      <c r="R34" s="156">
        <f>if(L34&gt;0, average(R25:R33), "")</f>
        <v>3.571428571</v>
      </c>
      <c r="S34" s="156">
        <f>if(L34&gt;0, average(S25:S33), "")</f>
        <v>23.14285714</v>
      </c>
      <c r="T34" s="157">
        <f>if(L34&gt;0, N34/(S34+N34), "")</f>
        <v>0.4723127036</v>
      </c>
      <c r="U34" s="5" t="s">
        <v>183</v>
      </c>
      <c r="V34" s="154">
        <f>countif(V25:V33, "Yes")</f>
        <v>7</v>
      </c>
      <c r="W34" s="155">
        <f>IFERROR( COUNTIFS(V25:V31,"Yes", W25:W31,"Win") / COUNTIF(V25:V31,"Yes"), "")</f>
        <v>0.4285714286</v>
      </c>
      <c r="X34" s="156">
        <f>if(V34&gt;0, average(X25:X33), "")</f>
        <v>16.57142857</v>
      </c>
      <c r="Y34" s="156">
        <f>if(V34&gt;0, average(Y25:Y33), "")</f>
        <v>6.857142857</v>
      </c>
      <c r="Z34" s="156">
        <f>if(V34&gt;0, average(Z25:Z33), "")</f>
        <v>1.571428571</v>
      </c>
      <c r="AA34" s="156">
        <f>if(V34&gt;0, average(AA25:AA33), "")</f>
        <v>6.571428571</v>
      </c>
      <c r="AB34" s="156">
        <f>if(V34&gt;0, average(AB25:AB33), "")</f>
        <v>1.571428571</v>
      </c>
      <c r="AC34" s="156">
        <f>if(V34&gt;0, average(AC25:AC33), "")</f>
        <v>23.42857143</v>
      </c>
      <c r="AD34" s="157">
        <f>if(V34&gt;0, X34/(AC34+X34), "")</f>
        <v>0.4142857143</v>
      </c>
      <c r="AE34" s="5" t="s">
        <v>183</v>
      </c>
      <c r="AF34" s="154">
        <f>countif(AF25:AF33, "Yes")</f>
        <v>7</v>
      </c>
      <c r="AG34" s="155">
        <f>IFERROR( COUNTIFS(AF25:AF31,"Yes", AG25:AG31,"Win") / COUNTIF(AF25:AF31,"Yes"), "")</f>
        <v>0.4285714286</v>
      </c>
      <c r="AH34" s="156">
        <f>if(AF34&gt;0, average(AH25:AH33), "")</f>
        <v>16.57142857</v>
      </c>
      <c r="AI34" s="156">
        <f>if(AF34&gt;0, average(AI25:AI33), "")</f>
        <v>3.857142857</v>
      </c>
      <c r="AJ34" s="156">
        <f>if(AF34&gt;0, average(AJ25:AJ33), "")</f>
        <v>1.428571429</v>
      </c>
      <c r="AK34" s="156">
        <f>if(AF34&gt;0, average(AK25:AK33), "")</f>
        <v>9</v>
      </c>
      <c r="AL34" s="156">
        <f>if(AF34&gt;0, average(AL25:AL33), "")</f>
        <v>2.285714286</v>
      </c>
      <c r="AM34" s="156">
        <f>if(AF34&gt;0, average(AM25:AM33), "")</f>
        <v>28.42857143</v>
      </c>
      <c r="AN34" s="157">
        <f>if(AF34&gt;0, AH34/(AM34+AH34), "")</f>
        <v>0.3682539683</v>
      </c>
      <c r="AO34" s="5" t="s">
        <v>183</v>
      </c>
      <c r="AP34" s="154">
        <f>countif(AP25:AP33, "Yes")</f>
        <v>0</v>
      </c>
      <c r="AQ34" s="155" t="str">
        <f>IFERROR( COUNTIFS(AP25:AP31,"Yes", AQ25:AQ31,"Win") / COUNTIF(AP25:AP31,"Yes"), "")</f>
        <v/>
      </c>
      <c r="AR34" s="156" t="str">
        <f>if(AP34&gt;0, average(AR25:AR33), "")</f>
        <v/>
      </c>
      <c r="AS34" s="156" t="str">
        <f>if(AP34&gt;0, average(AS25:AS33), "")</f>
        <v/>
      </c>
      <c r="AT34" s="156" t="str">
        <f>if(AP34&gt;0, average(AT25:AT33), "")</f>
        <v/>
      </c>
      <c r="AU34" s="156" t="str">
        <f>if(AP34&gt;0, average(AU25:AU33), "")</f>
        <v/>
      </c>
      <c r="AV34" s="156" t="str">
        <f>if(AP34&gt;0, average(AV25:AV33), "")</f>
        <v/>
      </c>
      <c r="AW34" s="156" t="str">
        <f>if(AP34&gt;0, average(AW25:AW33), "")</f>
        <v/>
      </c>
      <c r="AX34" s="157" t="str">
        <f>if(AP34&gt;0, AR34/(AW34+AR34), "")</f>
        <v/>
      </c>
      <c r="AY34" s="5" t="s">
        <v>183</v>
      </c>
      <c r="AZ34" s="154">
        <f>countif(AZ25:AZ33, "Yes")</f>
        <v>6</v>
      </c>
      <c r="BA34" s="155">
        <f>IFERROR( COUNTIFS(AZ25:AZ31,"Yes", BA25:BA31,"Win") / COUNTIF(AZ25:AZ31,"Yes"), "")</f>
        <v>0.5</v>
      </c>
      <c r="BB34" s="156">
        <f>if(AZ34&gt;0, average(BB25:BB33), "")</f>
        <v>19.33333333</v>
      </c>
      <c r="BC34" s="156">
        <f>if(AZ34&gt;0, average(BC25:BC33), "")</f>
        <v>8.166666667</v>
      </c>
      <c r="BD34" s="156">
        <f>if(AZ34&gt;0, average(BD25:BD33), "")</f>
        <v>2</v>
      </c>
      <c r="BE34" s="156">
        <f>if(AZ34&gt;0, average(BE25:BE33), "")</f>
        <v>8.166666667</v>
      </c>
      <c r="BF34" s="156">
        <f>if(AZ34&gt;0, average(BF25:BF33), "")</f>
        <v>1</v>
      </c>
      <c r="BG34" s="156">
        <f>if(AZ34&gt;0, average(BG25:BG33), "")</f>
        <v>24.16666667</v>
      </c>
      <c r="BH34" s="157">
        <f>if(AZ34&gt;0, BB34/(BG34+BB34), "")</f>
        <v>0.4444444444</v>
      </c>
      <c r="BI34" s="8"/>
      <c r="BJ34" s="8"/>
      <c r="BK34" s="8"/>
      <c r="BL34" s="8"/>
    </row>
    <row r="35">
      <c r="A35" s="158" t="str">
        <f>Draft!B50</f>
        <v>Andy Yu</v>
      </c>
      <c r="B35" s="129">
        <f t="shared" ref="B35:J35" si="55">B45</f>
        <v>6</v>
      </c>
      <c r="C35" s="143">
        <f t="shared" si="55"/>
        <v>0.3333333333</v>
      </c>
      <c r="D35" s="144">
        <f t="shared" si="55"/>
        <v>16.66666667</v>
      </c>
      <c r="E35" s="144">
        <f t="shared" si="55"/>
        <v>5.833333333</v>
      </c>
      <c r="F35" s="144">
        <f t="shared" si="55"/>
        <v>2.166666667</v>
      </c>
      <c r="G35" s="144">
        <f t="shared" si="55"/>
        <v>6.833333333</v>
      </c>
      <c r="H35" s="144">
        <f t="shared" si="55"/>
        <v>1.833333333</v>
      </c>
      <c r="I35" s="144">
        <f t="shared" si="55"/>
        <v>27</v>
      </c>
      <c r="J35" s="145">
        <f t="shared" si="55"/>
        <v>0.3816793893</v>
      </c>
      <c r="K35" s="159" t="str">
        <f>Draft!C50</f>
        <v>Eric</v>
      </c>
      <c r="L35" s="129">
        <f t="shared" ref="L35:T35" si="56">L45</f>
        <v>7</v>
      </c>
      <c r="M35" s="143">
        <f t="shared" si="56"/>
        <v>0.4285714286</v>
      </c>
      <c r="N35" s="144">
        <f t="shared" si="56"/>
        <v>15.71428571</v>
      </c>
      <c r="O35" s="144">
        <f t="shared" si="56"/>
        <v>6.285714286</v>
      </c>
      <c r="P35" s="144">
        <f t="shared" si="56"/>
        <v>0.5714285714</v>
      </c>
      <c r="Q35" s="144">
        <f t="shared" si="56"/>
        <v>8</v>
      </c>
      <c r="R35" s="144">
        <f t="shared" si="56"/>
        <v>0.8571428571</v>
      </c>
      <c r="S35" s="144">
        <f t="shared" si="56"/>
        <v>25.14285714</v>
      </c>
      <c r="T35" s="145">
        <f t="shared" si="56"/>
        <v>0.3846153846</v>
      </c>
      <c r="U35" s="160" t="str">
        <f>Draft!D50</f>
        <v>KZ</v>
      </c>
      <c r="V35" s="129">
        <f t="shared" ref="V35:AD35" si="57">V45</f>
        <v>6</v>
      </c>
      <c r="W35" s="143">
        <f t="shared" si="57"/>
        <v>0.5</v>
      </c>
      <c r="X35" s="144">
        <f t="shared" si="57"/>
        <v>14</v>
      </c>
      <c r="Y35" s="144">
        <f t="shared" si="57"/>
        <v>6.333333333</v>
      </c>
      <c r="Z35" s="144">
        <f t="shared" si="57"/>
        <v>0</v>
      </c>
      <c r="AA35" s="144">
        <f t="shared" si="57"/>
        <v>7.5</v>
      </c>
      <c r="AB35" s="144">
        <f t="shared" si="57"/>
        <v>0.1666666667</v>
      </c>
      <c r="AC35" s="144">
        <f t="shared" si="57"/>
        <v>24</v>
      </c>
      <c r="AD35" s="145">
        <f t="shared" si="57"/>
        <v>0.3684210526</v>
      </c>
      <c r="AE35" s="161" t="str">
        <f>Draft!E50</f>
        <v>Sean</v>
      </c>
      <c r="AF35" s="129">
        <f t="shared" ref="AF35:AN35" si="58">AF45</f>
        <v>6</v>
      </c>
      <c r="AG35" s="143">
        <f t="shared" si="58"/>
        <v>0.5</v>
      </c>
      <c r="AH35" s="144">
        <f t="shared" si="58"/>
        <v>12.66666667</v>
      </c>
      <c r="AI35" s="144">
        <f t="shared" si="58"/>
        <v>4.333333333</v>
      </c>
      <c r="AJ35" s="144">
        <f t="shared" si="58"/>
        <v>1.833333333</v>
      </c>
      <c r="AK35" s="144">
        <f t="shared" si="58"/>
        <v>5.166666667</v>
      </c>
      <c r="AL35" s="144">
        <f t="shared" si="58"/>
        <v>1.333333333</v>
      </c>
      <c r="AM35" s="144">
        <f t="shared" si="58"/>
        <v>29.5</v>
      </c>
      <c r="AN35" s="145">
        <f t="shared" si="58"/>
        <v>0.3003952569</v>
      </c>
      <c r="AO35" s="162" t="str">
        <f>Draft!F50</f>
        <v>Paul</v>
      </c>
      <c r="AP35" s="129">
        <f t="shared" ref="AP35:AX35" si="59">AP45</f>
        <v>7</v>
      </c>
      <c r="AQ35" s="143">
        <f t="shared" si="59"/>
        <v>0.8571428571</v>
      </c>
      <c r="AR35" s="144">
        <f t="shared" si="59"/>
        <v>13.71428571</v>
      </c>
      <c r="AS35" s="144">
        <f t="shared" si="59"/>
        <v>6.428571429</v>
      </c>
      <c r="AT35" s="144">
        <f t="shared" si="59"/>
        <v>0.5714285714</v>
      </c>
      <c r="AU35" s="144">
        <f t="shared" si="59"/>
        <v>6.571428571</v>
      </c>
      <c r="AV35" s="144">
        <f t="shared" si="59"/>
        <v>0.1428571429</v>
      </c>
      <c r="AW35" s="144">
        <f t="shared" si="59"/>
        <v>25.42857143</v>
      </c>
      <c r="AX35" s="145">
        <f t="shared" si="59"/>
        <v>0.3503649635</v>
      </c>
      <c r="AY35" s="163" t="str">
        <f>Draft!G50</f>
        <v>Steven</v>
      </c>
      <c r="AZ35" s="129">
        <f t="shared" ref="AZ35:BH35" si="60">AZ45</f>
        <v>6</v>
      </c>
      <c r="BA35" s="143">
        <f t="shared" si="60"/>
        <v>0.5</v>
      </c>
      <c r="BB35" s="144">
        <f t="shared" si="60"/>
        <v>16</v>
      </c>
      <c r="BC35" s="144">
        <f t="shared" si="60"/>
        <v>11.33333333</v>
      </c>
      <c r="BD35" s="144">
        <f t="shared" si="60"/>
        <v>0.6666666667</v>
      </c>
      <c r="BE35" s="144">
        <f t="shared" si="60"/>
        <v>3.333333333</v>
      </c>
      <c r="BF35" s="144">
        <f t="shared" si="60"/>
        <v>0.6666666667</v>
      </c>
      <c r="BG35" s="144">
        <f t="shared" si="60"/>
        <v>26.16666667</v>
      </c>
      <c r="BH35" s="145">
        <f t="shared" si="60"/>
        <v>0.3794466403</v>
      </c>
      <c r="BI35" s="8"/>
      <c r="BJ35" s="8"/>
      <c r="BK35" s="8"/>
      <c r="BL35" s="8"/>
    </row>
    <row r="36">
      <c r="A36" s="151" t="s">
        <v>5</v>
      </c>
      <c r="B36" s="2" t="str">
        <f t="shared" ref="B36:B42" si="61">ifna(if(I36&lt;&gt;"", "Yes", ""), "")</f>
        <v>Yes</v>
      </c>
      <c r="C36" s="152" t="str">
        <f t="array" ref="C36">ifna(xlookup(A35, 'Week 1'!$A:$A, 'Week 1'!$B:$B), "")</f>
        <v>Loss</v>
      </c>
      <c r="D36" s="152">
        <f t="array" ref="D36">ifna(xlookup(A35, 'Week 1'!$A:$A, 'Week 1'!$D:$D), "")</f>
        <v>15</v>
      </c>
      <c r="E36" s="152">
        <f t="array" ref="E36">ifna(xlookup(A35, 'Week 1'!$A:$A, 'Week 1'!$G:$G), "")</f>
        <v>8</v>
      </c>
      <c r="F36" s="152">
        <f t="array" ref="F36">ifna(xlookup(A35, 'Week 1'!$A:$A, 'Week 1'!$H:$H), "")</f>
        <v>5</v>
      </c>
      <c r="G36" s="152">
        <f t="array" ref="G36">ifna(xlookup(A35, 'Week 1'!$A:$A, 'Week 1'!$E:$E), "")</f>
        <v>2</v>
      </c>
      <c r="H36" s="152">
        <f t="array" ref="H36">ifna(xlookup(A35, 'Week 1'!$A:$A, 'Week 1'!$F:$F), "")</f>
        <v>0</v>
      </c>
      <c r="I36" s="152">
        <f t="array" ref="I36">ifna(xlookup(A35, 'Week 1'!$A:$A, 'Week 1'!$I:$I), "")</f>
        <v>39</v>
      </c>
      <c r="J36" s="153">
        <f t="shared" ref="J36:J42" si="62">iferror(IF(D36&gt;0, (D36/(D36+I36)), ""),"")</f>
        <v>0.2777777778</v>
      </c>
      <c r="K36" s="151" t="s">
        <v>5</v>
      </c>
      <c r="L36" s="2" t="str">
        <f t="shared" ref="L36:L42" si="63">ifna(if(S36&lt;&gt;"", "Yes", ""), "")</f>
        <v>Yes</v>
      </c>
      <c r="M36" s="152" t="str">
        <f t="array" ref="M36">ifna(xlookup(K35, 'Week 1'!$A:$A, 'Week 1'!$B:$B), "")</f>
        <v>Loss</v>
      </c>
      <c r="N36" s="152">
        <f t="array" ref="N36">ifna(xlookup(K35, 'Week 1'!$A:$A, 'Week 1'!$D:$D), "")</f>
        <v>12</v>
      </c>
      <c r="O36" s="152">
        <f t="array" ref="O36">ifna(xlookup(K35, 'Week 1'!$A:$A, 'Week 1'!$G:$G), "")</f>
        <v>1</v>
      </c>
      <c r="P36" s="152">
        <f t="array" ref="P36">ifna(xlookup(K35, 'Week 1'!$A:$A, 'Week 1'!$H:$H), "")</f>
        <v>0</v>
      </c>
      <c r="Q36" s="152">
        <f t="array" ref="Q36">ifna(xlookup(K35, 'Week 1'!$A:$A, 'Week 1'!$E:$E), "")</f>
        <v>10</v>
      </c>
      <c r="R36" s="152">
        <f t="array" ref="R36">ifna(xlookup(K35, 'Week 1'!$A:$A, 'Week 1'!$F:$F), "")</f>
        <v>1</v>
      </c>
      <c r="S36" s="152">
        <f t="array" ref="S36">ifna(xlookup(K35, 'Week 1'!$A:$A, 'Week 1'!$I:$I), "")</f>
        <v>22</v>
      </c>
      <c r="T36" s="153">
        <f t="shared" ref="T36:T42" si="64">iferror(IF(N36&gt;0, (N36/(N36+S36)), ""),"")</f>
        <v>0.3529411765</v>
      </c>
      <c r="U36" s="151" t="s">
        <v>5</v>
      </c>
      <c r="V36" s="2" t="str">
        <f t="shared" ref="V36:V42" si="65">ifna(if(AC36&lt;&gt;"", "Yes", ""), "")</f>
        <v>Yes</v>
      </c>
      <c r="W36" s="152" t="str">
        <f t="array" ref="W36">ifna(xlookup(U35, 'Week 1'!$A:$A, 'Week 1'!$B:$B), "")</f>
        <v>Win</v>
      </c>
      <c r="X36" s="152">
        <f t="array" ref="X36">ifna(xlookup(U35, 'Week 1'!$A:$A, 'Week 1'!$D:$D), "")</f>
        <v>20</v>
      </c>
      <c r="Y36" s="152">
        <f t="array" ref="Y36">ifna(xlookup(U35, 'Week 1'!$A:$A, 'Week 1'!$G:$G), "")</f>
        <v>14</v>
      </c>
      <c r="Z36" s="152">
        <f t="array" ref="Z36">ifna(xlookup(U35, 'Week 1'!$A:$A, 'Week 1'!$H:$H), "")</f>
        <v>0</v>
      </c>
      <c r="AA36" s="152">
        <f t="array" ref="AA36">ifna(xlookup(U35, 'Week 1'!$A:$A, 'Week 1'!$E:$E), "")</f>
        <v>6</v>
      </c>
      <c r="AB36" s="152">
        <f t="array" ref="AB36">ifna(xlookup(U35, 'Week 1'!$A:$A, 'Week 1'!$F:$F), "")</f>
        <v>0</v>
      </c>
      <c r="AC36" s="152">
        <f t="array" ref="AC36">ifna(xlookup(U35, 'Week 1'!$A:$A, 'Week 1'!$I:$I), "")</f>
        <v>25</v>
      </c>
      <c r="AD36" s="153">
        <f t="shared" ref="AD36:AD42" si="66">iferror(IF(X36&gt;0, (X36/(X36+AC36)), ""),"")</f>
        <v>0.4444444444</v>
      </c>
      <c r="AE36" s="151" t="s">
        <v>5</v>
      </c>
      <c r="AF36" s="2" t="str">
        <f t="shared" ref="AF36:AF42" si="67">ifna(if(AM36&lt;&gt;"", "Yes", ""), "")</f>
        <v>Yes</v>
      </c>
      <c r="AG36" s="152" t="str">
        <f t="array" ref="AG36">ifna(xlookup(AE35, 'Week 1'!$A:$A, 'Week 1'!$B:$B), "")</f>
        <v>Win</v>
      </c>
      <c r="AH36" s="152">
        <f t="array" ref="AH36">ifna(xlookup(AE35, 'Week 1'!$A:$A, 'Week 1'!$D:$D), "")</f>
        <v>13</v>
      </c>
      <c r="AI36" s="152">
        <f t="array" ref="AI36">ifna(xlookup(AE35, 'Week 1'!$A:$A, 'Week 1'!$G:$G), "")</f>
        <v>1</v>
      </c>
      <c r="AJ36" s="152">
        <f t="array" ref="AJ36">ifna(xlookup(AE35, 'Week 1'!$A:$A, 'Week 1'!$H:$H), "")</f>
        <v>0</v>
      </c>
      <c r="AK36" s="152">
        <f t="array" ref="AK36">ifna(xlookup(AE35, 'Week 1'!$A:$A, 'Week 1'!$E:$E), "")</f>
        <v>8</v>
      </c>
      <c r="AL36" s="152">
        <f t="array" ref="AL36">ifna(xlookup(AE35, 'Week 1'!$A:$A, 'Week 1'!$F:$F), "")</f>
        <v>4</v>
      </c>
      <c r="AM36" s="152">
        <f t="array" ref="AM36">ifna(xlookup(AE35, 'Week 1'!$A:$A, 'Week 1'!$I:$I), "")</f>
        <v>38</v>
      </c>
      <c r="AN36" s="153">
        <f t="shared" ref="AN36:AN42" si="68">iferror(IF(AH36&gt;0, (AH36/(AH36+AM36)), ""),"")</f>
        <v>0.2549019608</v>
      </c>
      <c r="AO36" s="151" t="s">
        <v>5</v>
      </c>
      <c r="AP36" s="2" t="str">
        <f t="shared" ref="AP36:AP42" si="69">ifna(if(AW36&lt;&gt;"", "Yes", ""), "")</f>
        <v>Yes</v>
      </c>
      <c r="AQ36" s="152" t="str">
        <f t="array" ref="AQ36">ifna(xlookup(AO35, 'Week 1'!$A:$A, 'Week 1'!$B:$B), "")</f>
        <v>Loss</v>
      </c>
      <c r="AR36" s="152">
        <f t="array" ref="AR36">ifna(xlookup(AO35, 'Week 1'!$A:$A, 'Week 1'!$D:$D), "")</f>
        <v>12</v>
      </c>
      <c r="AS36" s="152">
        <f t="array" ref="AS36">ifna(xlookup(AO35, 'Week 1'!$A:$A, 'Week 1'!$G:$G), "")</f>
        <v>10</v>
      </c>
      <c r="AT36" s="152">
        <f t="array" ref="AT36">ifna(xlookup(AO35, 'Week 1'!$A:$A, 'Week 1'!$H:$H), "")</f>
        <v>1</v>
      </c>
      <c r="AU36" s="152">
        <f t="array" ref="AU36">ifna(xlookup(AO35, 'Week 1'!$A:$A, 'Week 1'!$E:$E), "")</f>
        <v>1</v>
      </c>
      <c r="AV36" s="152">
        <f t="array" ref="AV36">ifna(xlookup(AO35, 'Week 1'!$A:$A, 'Week 1'!$F:$F), "")</f>
        <v>0</v>
      </c>
      <c r="AW36" s="152">
        <f t="array" ref="AW36">ifna(xlookup(AO35, 'Week 1'!$A:$A, 'Week 1'!$I:$I), "")</f>
        <v>27</v>
      </c>
      <c r="AX36" s="153">
        <f t="shared" ref="AX36:AX42" si="70">iferror(IF(AR36&gt;0, (AR36/(AR36+AW36)), ""),"")</f>
        <v>0.3076923077</v>
      </c>
      <c r="AY36" s="151" t="s">
        <v>5</v>
      </c>
      <c r="AZ36" s="2" t="str">
        <f t="shared" ref="AZ36:AZ42" si="71">ifna(if(BG36&lt;&gt;"", "Yes", ""), "")</f>
        <v>Yes</v>
      </c>
      <c r="BA36" s="152" t="str">
        <f t="array" ref="BA36">ifna(xlookup(AY35, 'Week 1'!$A:$A, 'Week 1'!$B:$B), "")</f>
        <v>Win</v>
      </c>
      <c r="BB36" s="152">
        <f t="array" ref="BB36">ifna(xlookup(AY35, 'Week 1'!$A:$A, 'Week 1'!$D:$D), "")</f>
        <v>12</v>
      </c>
      <c r="BC36" s="152">
        <f t="array" ref="BC36">ifna(xlookup(AY35, 'Week 1'!$A:$A, 'Week 1'!$G:$G), "")</f>
        <v>7</v>
      </c>
      <c r="BD36" s="152">
        <f t="array" ref="BD36">ifna(xlookup(AY35, 'Week 1'!$A:$A, 'Week 1'!$H:$H), "")</f>
        <v>0</v>
      </c>
      <c r="BE36" s="152">
        <f t="array" ref="BE36">ifna(xlookup(AY35, 'Week 1'!$A:$A, 'Week 1'!$E:$E), "")</f>
        <v>5</v>
      </c>
      <c r="BF36" s="152">
        <f t="array" ref="BF36">ifna(xlookup(AY35, 'Week 1'!$A:$A, 'Week 1'!$F:$F), "")</f>
        <v>0</v>
      </c>
      <c r="BG36" s="152">
        <f t="array" ref="BG36">ifna(xlookup(AY35, 'Week 1'!$A:$A, 'Week 1'!$I:$I), "")</f>
        <v>24</v>
      </c>
      <c r="BH36" s="153">
        <f t="shared" ref="BH36:BH42" si="72">iferror(IF(BB36&gt;0, (BB36/(BB36+BG36)), ""),"")</f>
        <v>0.3333333333</v>
      </c>
      <c r="BI36" s="8"/>
      <c r="BJ36" s="8"/>
      <c r="BK36" s="8"/>
      <c r="BL36" s="8"/>
    </row>
    <row r="37">
      <c r="A37" s="151" t="s">
        <v>7</v>
      </c>
      <c r="B37" s="2" t="str">
        <f t="shared" si="61"/>
        <v>Yes</v>
      </c>
      <c r="C37" s="152" t="str">
        <f t="array" ref="C37">ifna(xlookup(A35, 'Week 2'!$A:$A, 'Week 2'!$B:$B), "")</f>
        <v>Loss</v>
      </c>
      <c r="D37" s="152">
        <f t="array" ref="D37">ifna(xlookup(A35, 'Week 2'!$A:$A, 'Week 2'!$D:$D), "")</f>
        <v>17</v>
      </c>
      <c r="E37" s="152">
        <f t="array" ref="E37">ifna(xlookup(A35, 'Week 2'!$A:$A, 'Week 2'!$G:$G), "")</f>
        <v>5</v>
      </c>
      <c r="F37" s="152">
        <f t="array" ref="F37">ifna(xlookup(A35, 'Week 2'!$A:$A, 'Week 2'!$H:$H), "")</f>
        <v>1</v>
      </c>
      <c r="G37" s="152">
        <f t="array" ref="G37">ifna(xlookup(A35, 'Week 2'!$A:$A, 'Week 2'!$E:$E), "")</f>
        <v>9</v>
      </c>
      <c r="H37" s="152">
        <f t="array" ref="H37">ifna(xlookup(A35, 'Week 2'!$A:$A, 'Week 2'!$F:$F), "")</f>
        <v>2</v>
      </c>
      <c r="I37" s="152">
        <f t="array" ref="I37">ifna(xlookup(A35, 'Week 2'!$A:$A, 'Week 2'!$I:$I), "")</f>
        <v>23</v>
      </c>
      <c r="J37" s="153">
        <f t="shared" si="62"/>
        <v>0.425</v>
      </c>
      <c r="K37" s="151" t="s">
        <v>7</v>
      </c>
      <c r="L37" s="2" t="str">
        <f t="shared" si="63"/>
        <v>Yes</v>
      </c>
      <c r="M37" s="152" t="str">
        <f t="array" ref="M37">ifna(xlookup(K35, 'Week 2'!$A:$A, 'Week 2'!$B:$B), "")</f>
        <v>Loss</v>
      </c>
      <c r="N37" s="152">
        <f t="array" ref="N37">ifna(xlookup(K35, 'Week 2'!$A:$A, 'Week 2'!$D:$D), "")</f>
        <v>12</v>
      </c>
      <c r="O37" s="152">
        <f t="array" ref="O37">ifna(xlookup(K35, 'Week 2'!$A:$A, 'Week 2'!$G:$G), "")</f>
        <v>3</v>
      </c>
      <c r="P37" s="152">
        <f t="array" ref="P37">ifna(xlookup(K35, 'Week 2'!$A:$A, 'Week 2'!$H:$H), "")</f>
        <v>0</v>
      </c>
      <c r="Q37" s="152">
        <f t="array" ref="Q37">ifna(xlookup(K35, 'Week 2'!$A:$A, 'Week 2'!$E:$E), "")</f>
        <v>9</v>
      </c>
      <c r="R37" s="152">
        <f t="array" ref="R37">ifna(xlookup(K35, 'Week 2'!$A:$A, 'Week 2'!$F:$F), "")</f>
        <v>0</v>
      </c>
      <c r="S37" s="152">
        <f t="array" ref="S37">ifna(xlookup(K35, 'Week 2'!$A:$A, 'Week 2'!$I:$I), "")</f>
        <v>21</v>
      </c>
      <c r="T37" s="153">
        <f t="shared" si="64"/>
        <v>0.3636363636</v>
      </c>
      <c r="U37" s="151" t="s">
        <v>7</v>
      </c>
      <c r="V37" s="2" t="str">
        <f t="shared" si="65"/>
        <v>Yes</v>
      </c>
      <c r="W37" s="152" t="str">
        <f t="array" ref="W37">ifna(xlookup(U35, 'Week 2'!$A:$A, 'Week 2'!$B:$B), "")</f>
        <v>Win</v>
      </c>
      <c r="X37" s="152">
        <f t="array" ref="X37">ifna(xlookup(U35, 'Week 2'!$A:$A, 'Week 2'!$D:$D), "")</f>
        <v>19</v>
      </c>
      <c r="Y37" s="152">
        <f t="array" ref="Y37">ifna(xlookup(U35, 'Week 2'!$A:$A, 'Week 2'!$G:$G), "")</f>
        <v>10</v>
      </c>
      <c r="Z37" s="152">
        <f t="array" ref="Z37">ifna(xlookup(U35, 'Week 2'!$A:$A, 'Week 2'!$H:$H), "")</f>
        <v>0</v>
      </c>
      <c r="AA37" s="152">
        <f t="array" ref="AA37">ifna(xlookup(U35, 'Week 2'!$A:$A, 'Week 2'!$E:$E), "")</f>
        <v>9</v>
      </c>
      <c r="AB37" s="152">
        <f t="array" ref="AB37">ifna(xlookup(U35, 'Week 2'!$A:$A, 'Week 2'!$F:$F), "")</f>
        <v>0</v>
      </c>
      <c r="AC37" s="152">
        <f t="array" ref="AC37">ifna(xlookup(U35, 'Week 2'!$A:$A, 'Week 2'!$I:$I), "")</f>
        <v>20</v>
      </c>
      <c r="AD37" s="153">
        <f t="shared" si="66"/>
        <v>0.4871794872</v>
      </c>
      <c r="AE37" s="151" t="s">
        <v>7</v>
      </c>
      <c r="AF37" s="2" t="str">
        <f t="shared" si="67"/>
        <v>Yes</v>
      </c>
      <c r="AG37" s="152" t="str">
        <f t="array" ref="AG37">ifna(xlookup(AE35, 'Week 2'!$A:$A, 'Week 2'!$B:$B), "")</f>
        <v>Loss</v>
      </c>
      <c r="AH37" s="152">
        <f t="array" ref="AH37">ifna(xlookup(AE35, 'Week 2'!$A:$A, 'Week 2'!$D:$D), "")</f>
        <v>11</v>
      </c>
      <c r="AI37" s="152">
        <f t="array" ref="AI37">ifna(xlookup(AE35, 'Week 2'!$A:$A, 'Week 2'!$G:$G), "")</f>
        <v>4</v>
      </c>
      <c r="AJ37" s="152">
        <f t="array" ref="AJ37">ifna(xlookup(AE35, 'Week 2'!$A:$A, 'Week 2'!$H:$H), "")</f>
        <v>1</v>
      </c>
      <c r="AK37" s="152">
        <f t="array" ref="AK37">ifna(xlookup(AE35, 'Week 2'!$A:$A, 'Week 2'!$E:$E), "")</f>
        <v>5</v>
      </c>
      <c r="AL37" s="152">
        <f t="array" ref="AL37">ifna(xlookup(AE35, 'Week 2'!$A:$A, 'Week 2'!$F:$F), "")</f>
        <v>1</v>
      </c>
      <c r="AM37" s="152">
        <f t="array" ref="AM37">ifna(xlookup(AE35, 'Week 2'!$A:$A, 'Week 2'!$I:$I), "")</f>
        <v>22</v>
      </c>
      <c r="AN37" s="153">
        <f t="shared" si="68"/>
        <v>0.3333333333</v>
      </c>
      <c r="AO37" s="151" t="s">
        <v>7</v>
      </c>
      <c r="AP37" s="2" t="str">
        <f t="shared" si="69"/>
        <v>Yes</v>
      </c>
      <c r="AQ37" s="152" t="str">
        <f t="array" ref="AQ37">ifna(xlookup(AO35, 'Week 2'!$A:$A, 'Week 2'!$B:$B), "")</f>
        <v>Win</v>
      </c>
      <c r="AR37" s="152">
        <f t="array" ref="AR37">ifna(xlookup(AO35, 'Week 2'!$A:$A, 'Week 2'!$D:$D), "")</f>
        <v>17</v>
      </c>
      <c r="AS37" s="152">
        <f t="array" ref="AS37">ifna(xlookup(AO35, 'Week 2'!$A:$A, 'Week 2'!$G:$G), "")</f>
        <v>8</v>
      </c>
      <c r="AT37" s="152">
        <f t="array" ref="AT37">ifna(xlookup(AO35, 'Week 2'!$A:$A, 'Week 2'!$H:$H), "")</f>
        <v>0</v>
      </c>
      <c r="AU37" s="152">
        <f t="array" ref="AU37">ifna(xlookup(AO35, 'Week 2'!$A:$A, 'Week 2'!$E:$E), "")</f>
        <v>9</v>
      </c>
      <c r="AV37" s="152">
        <f t="array" ref="AV37">ifna(xlookup(AO35, 'Week 2'!$A:$A, 'Week 2'!$F:$F), "")</f>
        <v>0</v>
      </c>
      <c r="AW37" s="152">
        <f t="array" ref="AW37">ifna(xlookup(AO35, 'Week 2'!$A:$A, 'Week 2'!$I:$I), "")</f>
        <v>22</v>
      </c>
      <c r="AX37" s="153">
        <f t="shared" si="70"/>
        <v>0.4358974359</v>
      </c>
      <c r="AY37" s="151" t="s">
        <v>7</v>
      </c>
      <c r="AZ37" s="2" t="str">
        <f t="shared" si="71"/>
        <v>Yes</v>
      </c>
      <c r="BA37" s="152" t="str">
        <f t="array" ref="BA37">ifna(xlookup(AY35, 'Week 2'!$A:$A, 'Week 2'!$B:$B), "")</f>
        <v>Win</v>
      </c>
      <c r="BB37" s="152">
        <f t="array" ref="BB37">ifna(xlookup(AY35, 'Week 2'!$A:$A, 'Week 2'!$D:$D), "")</f>
        <v>19</v>
      </c>
      <c r="BC37" s="152">
        <f t="array" ref="BC37">ifna(xlookup(AY35, 'Week 2'!$A:$A, 'Week 2'!$G:$G), "")</f>
        <v>17</v>
      </c>
      <c r="BD37" s="152">
        <f t="array" ref="BD37">ifna(xlookup(AY35, 'Week 2'!$A:$A, 'Week 2'!$H:$H), "")</f>
        <v>1</v>
      </c>
      <c r="BE37" s="152">
        <f t="array" ref="BE37">ifna(xlookup(AY35, 'Week 2'!$A:$A, 'Week 2'!$E:$E), "")</f>
        <v>0</v>
      </c>
      <c r="BF37" s="152">
        <f t="array" ref="BF37">ifna(xlookup(AY35, 'Week 2'!$A:$A, 'Week 2'!$F:$F), "")</f>
        <v>1</v>
      </c>
      <c r="BG37" s="152">
        <f t="array" ref="BG37">ifna(xlookup(AY35, 'Week 2'!$A:$A, 'Week 2'!$I:$I), "")</f>
        <v>20</v>
      </c>
      <c r="BH37" s="153">
        <f t="shared" si="72"/>
        <v>0.4871794872</v>
      </c>
      <c r="BI37" s="8"/>
      <c r="BJ37" s="8"/>
      <c r="BK37" s="8"/>
      <c r="BL37" s="8"/>
    </row>
    <row r="38">
      <c r="A38" s="151" t="s">
        <v>12</v>
      </c>
      <c r="B38" s="2" t="str">
        <f t="shared" si="61"/>
        <v>Yes</v>
      </c>
      <c r="C38" s="152" t="str">
        <f t="array" ref="C38">ifna(xlookup(A35, 'Week 3'!$A:$A, 'Week 3'!$B:$B), "")</f>
        <v>Loss</v>
      </c>
      <c r="D38" s="152">
        <f t="array" ref="D38">ifna(xlookup(A35, 'Week 3'!$A:$A, 'Week 3'!$D:$D), "")</f>
        <v>19</v>
      </c>
      <c r="E38" s="152">
        <f t="array" ref="E38">ifna(xlookup(A35, 'Week 3'!$A:$A, 'Week 3'!$G:$G), "")</f>
        <v>6</v>
      </c>
      <c r="F38" s="152">
        <f t="array" ref="F38">ifna(xlookup(A35, 'Week 3'!$A:$A, 'Week 3'!$H:$H), "")</f>
        <v>0</v>
      </c>
      <c r="G38" s="152">
        <f t="array" ref="G38">ifna(xlookup(A35, 'Week 3'!$A:$A, 'Week 3'!$E:$E), "")</f>
        <v>9</v>
      </c>
      <c r="H38" s="152">
        <f t="array" ref="H38">ifna(xlookup(A35, 'Week 3'!$A:$A, 'Week 3'!$F:$F), "")</f>
        <v>4</v>
      </c>
      <c r="I38" s="152">
        <f t="array" ref="I38">ifna(xlookup(A35, 'Week 3'!$A:$A, 'Week 3'!$I:$I), "")</f>
        <v>27</v>
      </c>
      <c r="J38" s="153">
        <f t="shared" si="62"/>
        <v>0.4130434783</v>
      </c>
      <c r="K38" s="151" t="s">
        <v>12</v>
      </c>
      <c r="L38" s="2" t="str">
        <f t="shared" si="63"/>
        <v>Yes</v>
      </c>
      <c r="M38" s="152" t="str">
        <f t="array" ref="M38">ifna(xlookup(K35, 'Week 3'!$A:$A, 'Week 3'!$B:$B), "")</f>
        <v>Win</v>
      </c>
      <c r="N38" s="152">
        <f t="array" ref="N38">ifna(xlookup(K35, 'Week 3'!$A:$A, 'Week 3'!$D:$D), "")</f>
        <v>19</v>
      </c>
      <c r="O38" s="152">
        <f t="array" ref="O38">ifna(xlookup(K35, 'Week 3'!$A:$A, 'Week 3'!$G:$G), "")</f>
        <v>13</v>
      </c>
      <c r="P38" s="152">
        <f t="array" ref="P38">ifna(xlookup(K35, 'Week 3'!$A:$A, 'Week 3'!$H:$H), "")</f>
        <v>0</v>
      </c>
      <c r="Q38" s="152">
        <f t="array" ref="Q38">ifna(xlookup(K35, 'Week 3'!$A:$A, 'Week 3'!$E:$E), "")</f>
        <v>6</v>
      </c>
      <c r="R38" s="152">
        <f t="array" ref="R38">ifna(xlookup(K35, 'Week 3'!$A:$A, 'Week 3'!$F:$F), "")</f>
        <v>0</v>
      </c>
      <c r="S38" s="152">
        <f t="array" ref="S38">ifna(xlookup(K35, 'Week 3'!$A:$A, 'Week 3'!$I:$I), "")</f>
        <v>31</v>
      </c>
      <c r="T38" s="153">
        <f t="shared" si="64"/>
        <v>0.38</v>
      </c>
      <c r="U38" s="151" t="s">
        <v>12</v>
      </c>
      <c r="V38" s="2" t="str">
        <f t="shared" si="65"/>
        <v>Yes</v>
      </c>
      <c r="W38" s="152" t="str">
        <f t="array" ref="W38">ifna(xlookup(U35, 'Week 3'!$A:$A, 'Week 3'!$B:$B), "")</f>
        <v>Win</v>
      </c>
      <c r="X38" s="152">
        <f t="array" ref="X38">ifna(xlookup(U35, 'Week 3'!$A:$A, 'Week 3'!$D:$D), "")</f>
        <v>13</v>
      </c>
      <c r="Y38" s="152">
        <f t="array" ref="Y38">ifna(xlookup(U35, 'Week 3'!$A:$A, 'Week 3'!$G:$G), "")</f>
        <v>3</v>
      </c>
      <c r="Z38" s="152">
        <f t="array" ref="Z38">ifna(xlookup(U35, 'Week 3'!$A:$A, 'Week 3'!$H:$H), "")</f>
        <v>0</v>
      </c>
      <c r="AA38" s="152">
        <f t="array" ref="AA38">ifna(xlookup(U35, 'Week 3'!$A:$A, 'Week 3'!$E:$E), "")</f>
        <v>10</v>
      </c>
      <c r="AB38" s="152">
        <f t="array" ref="AB38">ifna(xlookup(U35, 'Week 3'!$A:$A, 'Week 3'!$F:$F), "")</f>
        <v>0</v>
      </c>
      <c r="AC38" s="152">
        <f t="array" ref="AC38">ifna(xlookup(U35, 'Week 3'!$A:$A, 'Week 3'!$I:$I), "")</f>
        <v>27</v>
      </c>
      <c r="AD38" s="153">
        <f t="shared" si="66"/>
        <v>0.325</v>
      </c>
      <c r="AE38" s="151" t="s">
        <v>12</v>
      </c>
      <c r="AF38" s="2" t="str">
        <f t="shared" si="67"/>
        <v>Yes</v>
      </c>
      <c r="AG38" s="152" t="str">
        <f t="array" ref="AG38">ifna(xlookup(AE35, 'Week 3'!$A:$A, 'Week 3'!$B:$B), "")</f>
        <v>Loss</v>
      </c>
      <c r="AH38" s="152">
        <f t="array" ref="AH38">ifna(xlookup(AE35, 'Week 3'!$A:$A, 'Week 3'!$D:$D), "")</f>
        <v>12</v>
      </c>
      <c r="AI38" s="152">
        <f t="array" ref="AI38">ifna(xlookup(AE35, 'Week 3'!$A:$A, 'Week 3'!$G:$G), "")</f>
        <v>6</v>
      </c>
      <c r="AJ38" s="152">
        <f t="array" ref="AJ38">ifna(xlookup(AE35, 'Week 3'!$A:$A, 'Week 3'!$H:$H), "")</f>
        <v>5</v>
      </c>
      <c r="AK38" s="152">
        <f t="array" ref="AK38">ifna(xlookup(AE35, 'Week 3'!$A:$A, 'Week 3'!$E:$E), "")</f>
        <v>1</v>
      </c>
      <c r="AL38" s="152">
        <f t="array" ref="AL38">ifna(xlookup(AE35, 'Week 3'!$A:$A, 'Week 3'!$F:$F), "")</f>
        <v>0</v>
      </c>
      <c r="AM38" s="152">
        <f t="array" ref="AM38">ifna(xlookup(AE35, 'Week 3'!$A:$A, 'Week 3'!$I:$I), "")</f>
        <v>30</v>
      </c>
      <c r="AN38" s="153">
        <f t="shared" si="68"/>
        <v>0.2857142857</v>
      </c>
      <c r="AO38" s="151" t="s">
        <v>12</v>
      </c>
      <c r="AP38" s="2" t="str">
        <f t="shared" si="69"/>
        <v>Yes</v>
      </c>
      <c r="AQ38" s="152" t="str">
        <f t="array" ref="AQ38">ifna(xlookup(AO35, 'Week 3'!$A:$A, 'Week 3'!$B:$B), "")</f>
        <v>Win</v>
      </c>
      <c r="AR38" s="152">
        <f t="array" ref="AR38">ifna(xlookup(AO35, 'Week 3'!$A:$A, 'Week 3'!$D:$D), "")</f>
        <v>16</v>
      </c>
      <c r="AS38" s="152">
        <f t="array" ref="AS38">ifna(xlookup(AO35, 'Week 3'!$A:$A, 'Week 3'!$G:$G), "")</f>
        <v>6</v>
      </c>
      <c r="AT38" s="152">
        <f t="array" ref="AT38">ifna(xlookup(AO35, 'Week 3'!$A:$A, 'Week 3'!$H:$H), "")</f>
        <v>1</v>
      </c>
      <c r="AU38" s="152">
        <f t="array" ref="AU38">ifna(xlookup(AO35, 'Week 3'!$A:$A, 'Week 3'!$E:$E), "")</f>
        <v>9</v>
      </c>
      <c r="AV38" s="152">
        <f t="array" ref="AV38">ifna(xlookup(AO35, 'Week 3'!$A:$A, 'Week 3'!$F:$F), "")</f>
        <v>0</v>
      </c>
      <c r="AW38" s="152">
        <f t="array" ref="AW38">ifna(xlookup(AO35, 'Week 3'!$A:$A, 'Week 3'!$I:$I), "")</f>
        <v>26</v>
      </c>
      <c r="AX38" s="153">
        <f t="shared" si="70"/>
        <v>0.380952381</v>
      </c>
      <c r="AY38" s="151" t="s">
        <v>12</v>
      </c>
      <c r="AZ38" s="2" t="str">
        <f t="shared" si="71"/>
        <v/>
      </c>
      <c r="BA38" s="152" t="str">
        <f t="array" ref="BA38">ifna(xlookup(AY35, 'Week 3'!$A:$A, 'Week 3'!$B:$B), "")</f>
        <v>Loss</v>
      </c>
      <c r="BB38" s="152" t="str">
        <f t="array" ref="BB38">ifna(xlookup(AY35, 'Week 3'!$A:$A, 'Week 3'!$D:$D), "")</f>
        <v/>
      </c>
      <c r="BC38" s="152" t="str">
        <f t="array" ref="BC38">ifna(xlookup(AY35, 'Week 3'!$A:$A, 'Week 3'!$G:$G), "")</f>
        <v/>
      </c>
      <c r="BD38" s="152" t="str">
        <f t="array" ref="BD38">ifna(xlookup(AY35, 'Week 3'!$A:$A, 'Week 3'!$H:$H), "")</f>
        <v/>
      </c>
      <c r="BE38" s="152" t="str">
        <f t="array" ref="BE38">ifna(xlookup(AY35, 'Week 3'!$A:$A, 'Week 3'!$E:$E), "")</f>
        <v/>
      </c>
      <c r="BF38" s="152" t="str">
        <f t="array" ref="BF38">ifna(xlookup(AY35, 'Week 3'!$A:$A, 'Week 3'!$F:$F), "")</f>
        <v/>
      </c>
      <c r="BG38" s="152" t="str">
        <f t="array" ref="BG38">ifna(xlookup(AY35, 'Week 3'!$A:$A, 'Week 3'!$I:$I), "")</f>
        <v/>
      </c>
      <c r="BH38" s="153" t="str">
        <f t="shared" si="72"/>
        <v/>
      </c>
      <c r="BI38" s="8"/>
      <c r="BJ38" s="8"/>
      <c r="BK38" s="8"/>
      <c r="BL38" s="8"/>
    </row>
    <row r="39">
      <c r="A39" s="151" t="s">
        <v>17</v>
      </c>
      <c r="B39" s="2" t="str">
        <f t="shared" si="61"/>
        <v>Yes</v>
      </c>
      <c r="C39" s="152" t="str">
        <f t="array" ref="C39">ifna(xlookup(A35, 'Week 4'!$A:$A, 'Week 4'!$B:$B), "")</f>
        <v>Win</v>
      </c>
      <c r="D39" s="152">
        <f t="array" ref="D39">ifna(xlookup(A35, 'Week 4'!$A:$A, 'Week 4'!$D:$D), "")</f>
        <v>21</v>
      </c>
      <c r="E39" s="152">
        <f t="array" ref="E39">ifna(xlookup(A35, 'Week 4'!$A:$A, 'Week 4'!$G:$G), "")</f>
        <v>8</v>
      </c>
      <c r="F39" s="152">
        <f t="array" ref="F39">ifna(xlookup(A35, 'Week 4'!$A:$A, 'Week 4'!$H:$H), "")</f>
        <v>3</v>
      </c>
      <c r="G39" s="152">
        <f t="array" ref="G39">ifna(xlookup(A35, 'Week 4'!$A:$A, 'Week 4'!$E:$E), "")</f>
        <v>8</v>
      </c>
      <c r="H39" s="152">
        <f t="array" ref="H39">ifna(xlookup(A35, 'Week 4'!$A:$A, 'Week 4'!$F:$F), "")</f>
        <v>2</v>
      </c>
      <c r="I39" s="152">
        <f t="array" ref="I39">ifna(xlookup(A35, 'Week 4'!$A:$A, 'Week 4'!$I:$I), "")</f>
        <v>21</v>
      </c>
      <c r="J39" s="153">
        <f t="shared" si="62"/>
        <v>0.5</v>
      </c>
      <c r="K39" s="151" t="s">
        <v>17</v>
      </c>
      <c r="L39" s="2" t="str">
        <f t="shared" si="63"/>
        <v>Yes</v>
      </c>
      <c r="M39" s="152" t="str">
        <f t="array" ref="M39">ifna(xlookup(K35, 'Week 4'!$A:$A, 'Week 4'!$B:$B), "")</f>
        <v>Loss</v>
      </c>
      <c r="N39" s="152">
        <f t="array" ref="N39">ifna(xlookup(K35, 'Week 4'!$A:$A, 'Week 4'!$D:$D), "")</f>
        <v>21</v>
      </c>
      <c r="O39" s="152">
        <f t="array" ref="O39">ifna(xlookup(K35, 'Week 4'!$A:$A, 'Week 4'!$G:$G), "")</f>
        <v>6</v>
      </c>
      <c r="P39" s="152">
        <f t="array" ref="P39">ifna(xlookup(K35, 'Week 4'!$A:$A, 'Week 4'!$H:$H), "")</f>
        <v>2</v>
      </c>
      <c r="Q39" s="152">
        <f t="array" ref="Q39">ifna(xlookup(K35, 'Week 4'!$A:$A, 'Week 4'!$E:$E), "")</f>
        <v>10</v>
      </c>
      <c r="R39" s="152">
        <f t="array" ref="R39">ifna(xlookup(K35, 'Week 4'!$A:$A, 'Week 4'!$F:$F), "")</f>
        <v>3</v>
      </c>
      <c r="S39" s="152">
        <f t="array" ref="S39">ifna(xlookup(K35, 'Week 4'!$A:$A, 'Week 4'!$I:$I), "")</f>
        <v>31</v>
      </c>
      <c r="T39" s="153">
        <f t="shared" si="64"/>
        <v>0.4038461538</v>
      </c>
      <c r="U39" s="151" t="s">
        <v>17</v>
      </c>
      <c r="V39" s="2" t="str">
        <f t="shared" si="65"/>
        <v>Yes</v>
      </c>
      <c r="W39" s="152" t="str">
        <f t="array" ref="W39">ifna(xlookup(U35, 'Week 4'!$A:$A, 'Week 4'!$B:$B), "")</f>
        <v>Loss</v>
      </c>
      <c r="X39" s="152">
        <f t="array" ref="X39">ifna(xlookup(U35, 'Week 4'!$A:$A, 'Week 4'!$D:$D), "")</f>
        <v>14</v>
      </c>
      <c r="Y39" s="152">
        <f t="array" ref="Y39">ifna(xlookup(U35, 'Week 4'!$A:$A, 'Week 4'!$G:$G), "")</f>
        <v>4</v>
      </c>
      <c r="Z39" s="152">
        <f t="array" ref="Z39">ifna(xlookup(U35, 'Week 4'!$A:$A, 'Week 4'!$H:$H), "")</f>
        <v>0</v>
      </c>
      <c r="AA39" s="152">
        <f t="array" ref="AA39">ifna(xlookup(U35, 'Week 4'!$A:$A, 'Week 4'!$E:$E), "")</f>
        <v>10</v>
      </c>
      <c r="AB39" s="152">
        <f t="array" ref="AB39">ifna(xlookup(U35, 'Week 4'!$A:$A, 'Week 4'!$F:$F), "")</f>
        <v>0</v>
      </c>
      <c r="AC39" s="152">
        <f t="array" ref="AC39">ifna(xlookup(U35, 'Week 4'!$A:$A, 'Week 4'!$I:$I), "")</f>
        <v>21</v>
      </c>
      <c r="AD39" s="153">
        <f t="shared" si="66"/>
        <v>0.4</v>
      </c>
      <c r="AE39" s="151" t="s">
        <v>17</v>
      </c>
      <c r="AF39" s="2" t="str">
        <f t="shared" si="67"/>
        <v>Yes</v>
      </c>
      <c r="AG39" s="152" t="str">
        <f t="array" ref="AG39">ifna(xlookup(AE35, 'Week 4'!$A:$A, 'Week 4'!$B:$B), "")</f>
        <v>Win</v>
      </c>
      <c r="AH39" s="152">
        <f t="array" ref="AH39">ifna(xlookup(AE35, 'Week 4'!$A:$A, 'Week 4'!$D:$D), "")</f>
        <v>12</v>
      </c>
      <c r="AI39" s="152">
        <f t="array" ref="AI39">ifna(xlookup(AE35, 'Week 4'!$A:$A, 'Week 4'!$G:$G), "")</f>
        <v>5</v>
      </c>
      <c r="AJ39" s="152">
        <f t="array" ref="AJ39">ifna(xlookup(AE35, 'Week 4'!$A:$A, 'Week 4'!$H:$H), "")</f>
        <v>1</v>
      </c>
      <c r="AK39" s="152">
        <f t="array" ref="AK39">ifna(xlookup(AE35, 'Week 4'!$A:$A, 'Week 4'!$E:$E), "")</f>
        <v>4</v>
      </c>
      <c r="AL39" s="152">
        <f t="array" ref="AL39">ifna(xlookup(AE35, 'Week 4'!$A:$A, 'Week 4'!$F:$F), "")</f>
        <v>2</v>
      </c>
      <c r="AM39" s="152">
        <f t="array" ref="AM39">ifna(xlookup(AE35, 'Week 4'!$A:$A, 'Week 4'!$I:$I), "")</f>
        <v>31</v>
      </c>
      <c r="AN39" s="153">
        <f t="shared" si="68"/>
        <v>0.2790697674</v>
      </c>
      <c r="AO39" s="151" t="s">
        <v>17</v>
      </c>
      <c r="AP39" s="2" t="str">
        <f t="shared" si="69"/>
        <v>Yes</v>
      </c>
      <c r="AQ39" s="152" t="str">
        <f t="array" ref="AQ39">ifna(xlookup(AO35, 'Week 4'!$A:$A, 'Week 4'!$B:$B), "")</f>
        <v>Win</v>
      </c>
      <c r="AR39" s="152">
        <f t="array" ref="AR39">ifna(xlookup(AO35, 'Week 4'!$A:$A, 'Week 4'!$D:$D), "")</f>
        <v>18</v>
      </c>
      <c r="AS39" s="152">
        <f t="array" ref="AS39">ifna(xlookup(AO35, 'Week 4'!$A:$A, 'Week 4'!$G:$G), "")</f>
        <v>4</v>
      </c>
      <c r="AT39" s="152">
        <f t="array" ref="AT39">ifna(xlookup(AO35, 'Week 4'!$A:$A, 'Week 4'!$H:$H), "")</f>
        <v>1</v>
      </c>
      <c r="AU39" s="152">
        <f t="array" ref="AU39">ifna(xlookup(AO35, 'Week 4'!$A:$A, 'Week 4'!$E:$E), "")</f>
        <v>13</v>
      </c>
      <c r="AV39" s="152">
        <f t="array" ref="AV39">ifna(xlookup(AO35, 'Week 4'!$A:$A, 'Week 4'!$F:$F), "")</f>
        <v>0</v>
      </c>
      <c r="AW39" s="152">
        <f t="array" ref="AW39">ifna(xlookup(AO35, 'Week 4'!$A:$A, 'Week 4'!$I:$I), "")</f>
        <v>26</v>
      </c>
      <c r="AX39" s="153">
        <f t="shared" si="70"/>
        <v>0.4090909091</v>
      </c>
      <c r="AY39" s="151" t="s">
        <v>17</v>
      </c>
      <c r="AZ39" s="2" t="str">
        <f t="shared" si="71"/>
        <v>Yes</v>
      </c>
      <c r="BA39" s="152" t="str">
        <f t="array" ref="BA39">ifna(xlookup(AY35, 'Week 4'!$A:$A, 'Week 4'!$B:$B), "")</f>
        <v>Loss</v>
      </c>
      <c r="BB39" s="152">
        <f t="array" ref="BB39">ifna(xlookup(AY35, 'Week 4'!$A:$A, 'Week 4'!$D:$D), "")</f>
        <v>20</v>
      </c>
      <c r="BC39" s="152">
        <f t="array" ref="BC39">ifna(xlookup(AY35, 'Week 4'!$A:$A, 'Week 4'!$G:$G), "")</f>
        <v>12</v>
      </c>
      <c r="BD39" s="152">
        <f t="array" ref="BD39">ifna(xlookup(AY35, 'Week 4'!$A:$A, 'Week 4'!$H:$H), "")</f>
        <v>1</v>
      </c>
      <c r="BE39" s="152">
        <f t="array" ref="BE39">ifna(xlookup(AY35, 'Week 4'!$A:$A, 'Week 4'!$E:$E), "")</f>
        <v>5</v>
      </c>
      <c r="BF39" s="152">
        <f t="array" ref="BF39">ifna(xlookup(AY35, 'Week 4'!$A:$A, 'Week 4'!$F:$F), "")</f>
        <v>2</v>
      </c>
      <c r="BG39" s="152">
        <f t="array" ref="BG39">ifna(xlookup(AY35, 'Week 4'!$A:$A, 'Week 4'!$I:$I), "")</f>
        <v>24</v>
      </c>
      <c r="BH39" s="153">
        <f t="shared" si="72"/>
        <v>0.4545454545</v>
      </c>
      <c r="BI39" s="8"/>
      <c r="BJ39" s="8"/>
      <c r="BK39" s="8"/>
      <c r="BL39" s="8"/>
    </row>
    <row r="40">
      <c r="A40" s="151" t="s">
        <v>20</v>
      </c>
      <c r="B40" s="2" t="str">
        <f t="shared" si="61"/>
        <v>Yes</v>
      </c>
      <c r="C40" s="152" t="str">
        <f t="array" ref="C40">ifna(xlookup(A35, 'Week 5'!$A:$A, 'Week 5'!$B:$B), "")</f>
        <v>Loss</v>
      </c>
      <c r="D40" s="152">
        <f t="array" ref="D40">ifna(xlookup(A35, 'Week 5'!$A:$A, 'Week 5'!$D:$D), "")</f>
        <v>13</v>
      </c>
      <c r="E40" s="152">
        <f t="array" ref="E40">ifna(xlookup(A35, 'Week 5'!$A:$A, 'Week 5'!$G:$G), "")</f>
        <v>1</v>
      </c>
      <c r="F40" s="152">
        <f t="array" ref="F40">ifna(xlookup(A35, 'Week 5'!$A:$A, 'Week 5'!$H:$H), "")</f>
        <v>2</v>
      </c>
      <c r="G40" s="152">
        <f t="array" ref="G40">ifna(xlookup(A35, 'Week 5'!$A:$A, 'Week 5'!$E:$E), "")</f>
        <v>8</v>
      </c>
      <c r="H40" s="152">
        <f t="array" ref="H40">ifna(xlookup(A35, 'Week 5'!$A:$A, 'Week 5'!$F:$F), "")</f>
        <v>2</v>
      </c>
      <c r="I40" s="152">
        <f t="array" ref="I40">ifna(xlookup(A35, 'Week 5'!$A:$A, 'Week 5'!$I:$I), "")</f>
        <v>25</v>
      </c>
      <c r="J40" s="153">
        <f t="shared" si="62"/>
        <v>0.3421052632</v>
      </c>
      <c r="K40" s="151" t="s">
        <v>20</v>
      </c>
      <c r="L40" s="2" t="str">
        <f t="shared" si="63"/>
        <v>Yes</v>
      </c>
      <c r="M40" s="152" t="str">
        <f t="array" ref="M40">ifna(xlookup(K35, 'Week 5'!$A:$A, 'Week 5'!$B:$B), "")</f>
        <v>Win</v>
      </c>
      <c r="N40" s="152">
        <f t="array" ref="N40">ifna(xlookup(K35, 'Week 5'!$A:$A, 'Week 5'!$D:$D), "")</f>
        <v>12</v>
      </c>
      <c r="O40" s="152">
        <f t="array" ref="O40">ifna(xlookup(K35, 'Week 5'!$A:$A, 'Week 5'!$G:$G), "")</f>
        <v>2</v>
      </c>
      <c r="P40" s="152">
        <f t="array" ref="P40">ifna(xlookup(K35, 'Week 5'!$A:$A, 'Week 5'!$H:$H), "")</f>
        <v>0</v>
      </c>
      <c r="Q40" s="152">
        <f t="array" ref="Q40">ifna(xlookup(K35, 'Week 5'!$A:$A, 'Week 5'!$E:$E), "")</f>
        <v>8</v>
      </c>
      <c r="R40" s="152">
        <f t="array" ref="R40">ifna(xlookup(K35, 'Week 5'!$A:$A, 'Week 5'!$F:$F), "")</f>
        <v>2</v>
      </c>
      <c r="S40" s="152">
        <f t="array" ref="S40">ifna(xlookup(K35, 'Week 5'!$A:$A, 'Week 5'!$I:$I), "")</f>
        <v>31</v>
      </c>
      <c r="T40" s="153">
        <f t="shared" si="64"/>
        <v>0.2790697674</v>
      </c>
      <c r="U40" s="151" t="s">
        <v>20</v>
      </c>
      <c r="V40" s="2" t="str">
        <f t="shared" si="65"/>
        <v>Yes</v>
      </c>
      <c r="W40" s="152" t="str">
        <f t="array" ref="W40">ifna(xlookup(U35, 'Week 5'!$A:$A, 'Week 5'!$B:$B), "")</f>
        <v>Loss</v>
      </c>
      <c r="X40" s="152">
        <f t="array" ref="X40">ifna(xlookup(U35, 'Week 5'!$A:$A, 'Week 5'!$D:$D), "")</f>
        <v>11</v>
      </c>
      <c r="Y40" s="152">
        <f t="array" ref="Y40">ifna(xlookup(U35, 'Week 5'!$A:$A, 'Week 5'!$G:$G), "")</f>
        <v>3</v>
      </c>
      <c r="Z40" s="152">
        <f t="array" ref="Z40">ifna(xlookup(U35, 'Week 5'!$A:$A, 'Week 5'!$H:$H), "")</f>
        <v>0</v>
      </c>
      <c r="AA40" s="152">
        <f t="array" ref="AA40">ifna(xlookup(U35, 'Week 5'!$A:$A, 'Week 5'!$E:$E), "")</f>
        <v>7</v>
      </c>
      <c r="AB40" s="152">
        <f t="array" ref="AB40">ifna(xlookup(U35, 'Week 5'!$A:$A, 'Week 5'!$F:$F), "")</f>
        <v>1</v>
      </c>
      <c r="AC40" s="152">
        <f t="array" ref="AC40">ifna(xlookup(U35, 'Week 5'!$A:$A, 'Week 5'!$I:$I), "")</f>
        <v>30</v>
      </c>
      <c r="AD40" s="153">
        <f t="shared" si="66"/>
        <v>0.2682926829</v>
      </c>
      <c r="AE40" s="151" t="s">
        <v>20</v>
      </c>
      <c r="AF40" s="2" t="str">
        <f t="shared" si="67"/>
        <v>Yes</v>
      </c>
      <c r="AG40" s="152" t="str">
        <f t="array" ref="AG40">ifna(xlookup(AE35, 'Week 5'!$A:$A, 'Week 5'!$B:$B), "")</f>
        <v>Win</v>
      </c>
      <c r="AH40" s="152">
        <f t="array" ref="AH40">ifna(xlookup(AE35, 'Week 5'!$A:$A, 'Week 5'!$D:$D), "")</f>
        <v>16</v>
      </c>
      <c r="AI40" s="152">
        <f t="array" ref="AI40">ifna(xlookup(AE35, 'Week 5'!$A:$A, 'Week 5'!$G:$G), "")</f>
        <v>7</v>
      </c>
      <c r="AJ40" s="152">
        <f t="array" ref="AJ40">ifna(xlookup(AE35, 'Week 5'!$A:$A, 'Week 5'!$H:$H), "")</f>
        <v>3</v>
      </c>
      <c r="AK40" s="152">
        <f t="array" ref="AK40">ifna(xlookup(AE35, 'Week 5'!$A:$A, 'Week 5'!$E:$E), "")</f>
        <v>6</v>
      </c>
      <c r="AL40" s="152">
        <f t="array" ref="AL40">ifna(xlookup(AE35, 'Week 5'!$A:$A, 'Week 5'!$F:$F), "")</f>
        <v>0</v>
      </c>
      <c r="AM40" s="152">
        <f t="array" ref="AM40">ifna(xlookup(AE35, 'Week 5'!$A:$A, 'Week 5'!$I:$I), "")</f>
        <v>29</v>
      </c>
      <c r="AN40" s="153">
        <f t="shared" si="68"/>
        <v>0.3555555556</v>
      </c>
      <c r="AO40" s="151" t="s">
        <v>20</v>
      </c>
      <c r="AP40" s="2" t="str">
        <f t="shared" si="69"/>
        <v>Yes</v>
      </c>
      <c r="AQ40" s="152" t="str">
        <f t="array" ref="AQ40">ifna(xlookup(AO35, 'Week 5'!$A:$A, 'Week 5'!$B:$B), "")</f>
        <v>Win</v>
      </c>
      <c r="AR40" s="152">
        <f t="array" ref="AR40">ifna(xlookup(AO35, 'Week 5'!$A:$A, 'Week 5'!$D:$D), "")</f>
        <v>7</v>
      </c>
      <c r="AS40" s="152">
        <f t="array" ref="AS40">ifna(xlookup(AO35, 'Week 5'!$A:$A, 'Week 5'!$G:$G), "")</f>
        <v>6</v>
      </c>
      <c r="AT40" s="152">
        <f t="array" ref="AT40">ifna(xlookup(AO35, 'Week 5'!$A:$A, 'Week 5'!$H:$H), "")</f>
        <v>0</v>
      </c>
      <c r="AU40" s="152">
        <f t="array" ref="AU40">ifna(xlookup(AO35, 'Week 5'!$A:$A, 'Week 5'!$E:$E), "")</f>
        <v>1</v>
      </c>
      <c r="AV40" s="152">
        <f t="array" ref="AV40">ifna(xlookup(AO35, 'Week 5'!$A:$A, 'Week 5'!$F:$F), "")</f>
        <v>0</v>
      </c>
      <c r="AW40" s="152">
        <f t="array" ref="AW40">ifna(xlookup(AO35, 'Week 5'!$A:$A, 'Week 5'!$I:$I), "")</f>
        <v>25</v>
      </c>
      <c r="AX40" s="153">
        <f t="shared" si="70"/>
        <v>0.21875</v>
      </c>
      <c r="AY40" s="151" t="s">
        <v>20</v>
      </c>
      <c r="AZ40" s="2" t="str">
        <f t="shared" si="71"/>
        <v>Yes</v>
      </c>
      <c r="BA40" s="152" t="str">
        <f t="array" ref="BA40">ifna(xlookup(AY35, 'Week 5'!$A:$A, 'Week 5'!$B:$B), "")</f>
        <v>Loss</v>
      </c>
      <c r="BB40" s="152">
        <f t="array" ref="BB40">ifna(xlookup(AY35, 'Week 5'!$A:$A, 'Week 5'!$D:$D), "")</f>
        <v>20</v>
      </c>
      <c r="BC40" s="152">
        <f t="array" ref="BC40">ifna(xlookup(AY35, 'Week 5'!$A:$A, 'Week 5'!$G:$G), "")</f>
        <v>17</v>
      </c>
      <c r="BD40" s="152">
        <f t="array" ref="BD40">ifna(xlookup(AY35, 'Week 5'!$A:$A, 'Week 5'!$H:$H), "")</f>
        <v>1</v>
      </c>
      <c r="BE40" s="152">
        <f t="array" ref="BE40">ifna(xlookup(AY35, 'Week 5'!$A:$A, 'Week 5'!$E:$E), "")</f>
        <v>2</v>
      </c>
      <c r="BF40" s="152">
        <f t="array" ref="BF40">ifna(xlookup(AY35, 'Week 5'!$A:$A, 'Week 5'!$F:$F), "")</f>
        <v>0</v>
      </c>
      <c r="BG40" s="152">
        <f t="array" ref="BG40">ifna(xlookup(AY35, 'Week 5'!$A:$A, 'Week 5'!$I:$I), "")</f>
        <v>33</v>
      </c>
      <c r="BH40" s="153">
        <f t="shared" si="72"/>
        <v>0.3773584906</v>
      </c>
      <c r="BI40" s="8"/>
      <c r="BJ40" s="8"/>
      <c r="BK40" s="8"/>
      <c r="BL40" s="8"/>
    </row>
    <row r="41">
      <c r="A41" s="151" t="s">
        <v>23</v>
      </c>
      <c r="B41" s="2" t="str">
        <f t="shared" si="61"/>
        <v/>
      </c>
      <c r="C41" s="152" t="str">
        <f t="array" ref="C41">ifna(xlookup(A35, 'Week 6'!$A:$A, 'Week 6'!$B:$B), "")</f>
        <v>Win</v>
      </c>
      <c r="D41" s="152" t="str">
        <f t="array" ref="D41">ifna(xlookup(A35, 'Week 6'!$A:$A, 'Week 6'!$D:$D), "")</f>
        <v/>
      </c>
      <c r="E41" s="152" t="str">
        <f t="array" ref="E41">ifna(xlookup(A35, 'Week 6'!$A:$A, 'Week 6'!$G:$G), "")</f>
        <v/>
      </c>
      <c r="F41" s="152" t="str">
        <f t="array" ref="F41">ifna(xlookup(A35, 'Week 6'!$A:$A, 'Week 6'!$H:$H), "")</f>
        <v/>
      </c>
      <c r="G41" s="152" t="str">
        <f t="array" ref="G41">ifna(xlookup(A35, 'Week 6'!$A:$A, 'Week 6'!$E:$E), "")</f>
        <v/>
      </c>
      <c r="H41" s="152" t="str">
        <f t="array" ref="H41">ifna(xlookup(A35, 'Week 6'!$A:$A, 'Week 6'!$F:$F), "")</f>
        <v/>
      </c>
      <c r="I41" s="152" t="str">
        <f t="array" ref="I41">ifna(xlookup(A35, 'Week 6'!$A:$A, 'Week 6'!$I:$I), "")</f>
        <v/>
      </c>
      <c r="J41" s="153" t="str">
        <f t="shared" si="62"/>
        <v/>
      </c>
      <c r="K41" s="151" t="s">
        <v>23</v>
      </c>
      <c r="L41" s="2" t="str">
        <f t="shared" si="63"/>
        <v>Yes</v>
      </c>
      <c r="M41" s="152" t="str">
        <f t="array" ref="M41">ifna(xlookup(K35, 'Week 6'!$A:$A, 'Week 6'!$B:$B), "")</f>
        <v>Loss</v>
      </c>
      <c r="N41" s="152">
        <f t="array" ref="N41">ifna(xlookup(K35, 'Week 6'!$A:$A, 'Week 6'!$D:$D), "")</f>
        <v>18</v>
      </c>
      <c r="O41" s="152">
        <f t="array" ref="O41">ifna(xlookup(K35, 'Week 6'!$A:$A, 'Week 6'!$G:$G), "")</f>
        <v>8</v>
      </c>
      <c r="P41" s="152">
        <f t="array" ref="P41">ifna(xlookup(K35, 'Week 6'!$A:$A, 'Week 6'!$H:$H), "")</f>
        <v>0</v>
      </c>
      <c r="Q41" s="152">
        <f t="array" ref="Q41">ifna(xlookup(K35, 'Week 6'!$A:$A, 'Week 6'!$E:$E), "")</f>
        <v>10</v>
      </c>
      <c r="R41" s="152">
        <f t="array" ref="R41">ifna(xlookup(K35, 'Week 6'!$A:$A, 'Week 6'!$F:$F), "")</f>
        <v>0</v>
      </c>
      <c r="S41" s="152">
        <f t="array" ref="S41">ifna(xlookup(K35, 'Week 6'!$A:$A, 'Week 6'!$I:$I), "")</f>
        <v>20</v>
      </c>
      <c r="T41" s="153">
        <f t="shared" si="64"/>
        <v>0.4736842105</v>
      </c>
      <c r="U41" s="151" t="s">
        <v>23</v>
      </c>
      <c r="V41" s="2" t="str">
        <f t="shared" si="65"/>
        <v/>
      </c>
      <c r="W41" s="152" t="str">
        <f t="array" ref="W41">ifna(xlookup(U35, 'Week 6'!$A:$A, 'Week 6'!$B:$B), "")</f>
        <v>Loss</v>
      </c>
      <c r="X41" s="152" t="str">
        <f t="array" ref="X41">ifna(xlookup(U35, 'Week 6'!$A:$A, 'Week 6'!$D:$D), "")</f>
        <v/>
      </c>
      <c r="Y41" s="152" t="str">
        <f t="array" ref="Y41">ifna(xlookup(U35, 'Week 6'!$A:$A, 'Week 6'!$G:$G), "")</f>
        <v/>
      </c>
      <c r="Z41" s="152" t="str">
        <f t="array" ref="Z41">ifna(xlookup(U35, 'Week 6'!$A:$A, 'Week 6'!$H:$H), "")</f>
        <v/>
      </c>
      <c r="AA41" s="152" t="str">
        <f t="array" ref="AA41">ifna(xlookup(U35, 'Week 6'!$A:$A, 'Week 6'!$E:$E), "")</f>
        <v/>
      </c>
      <c r="AB41" s="152" t="str">
        <f t="array" ref="AB41">ifna(xlookup(U35, 'Week 6'!$A:$A, 'Week 6'!$F:$F), "")</f>
        <v/>
      </c>
      <c r="AC41" s="152" t="str">
        <f t="array" ref="AC41">ifna(xlookup(U35, 'Week 6'!$A:$A, 'Week 6'!$I:$I), "")</f>
        <v/>
      </c>
      <c r="AD41" s="153" t="str">
        <f t="shared" si="66"/>
        <v/>
      </c>
      <c r="AE41" s="151" t="s">
        <v>23</v>
      </c>
      <c r="AF41" s="2" t="str">
        <f t="shared" si="67"/>
        <v>Yes</v>
      </c>
      <c r="AG41" s="152" t="str">
        <f t="array" ref="AG41">ifna(xlookup(AE35, 'Week 6'!$A:$A, 'Week 6'!$B:$B), "")</f>
        <v>Loss</v>
      </c>
      <c r="AH41" s="152">
        <f t="array" ref="AH41">ifna(xlookup(AE35, 'Week 6'!$A:$A, 'Week 6'!$D:$D), "")</f>
        <v>12</v>
      </c>
      <c r="AI41" s="152">
        <f t="array" ref="AI41">ifna(xlookup(AE35, 'Week 6'!$A:$A, 'Week 6'!$G:$G), "")</f>
        <v>3</v>
      </c>
      <c r="AJ41" s="152">
        <f t="array" ref="AJ41">ifna(xlookup(AE35, 'Week 6'!$A:$A, 'Week 6'!$H:$H), "")</f>
        <v>1</v>
      </c>
      <c r="AK41" s="152">
        <f t="array" ref="AK41">ifna(xlookup(AE35, 'Week 6'!$A:$A, 'Week 6'!$E:$E), "")</f>
        <v>7</v>
      </c>
      <c r="AL41" s="152">
        <f t="array" ref="AL41">ifna(xlookup(AE35, 'Week 6'!$A:$A, 'Week 6'!$F:$F), "")</f>
        <v>1</v>
      </c>
      <c r="AM41" s="152">
        <f t="array" ref="AM41">ifna(xlookup(AE35, 'Week 6'!$A:$A, 'Week 6'!$I:$I), "")</f>
        <v>27</v>
      </c>
      <c r="AN41" s="153">
        <f t="shared" si="68"/>
        <v>0.3076923077</v>
      </c>
      <c r="AO41" s="151" t="s">
        <v>23</v>
      </c>
      <c r="AP41" s="2" t="str">
        <f t="shared" si="69"/>
        <v>Yes</v>
      </c>
      <c r="AQ41" s="152" t="str">
        <f t="array" ref="AQ41">ifna(xlookup(AO35, 'Week 6'!$A:$A, 'Week 6'!$B:$B), "")</f>
        <v>Win</v>
      </c>
      <c r="AR41" s="152">
        <f t="array" ref="AR41">ifna(xlookup(AO35, 'Week 6'!$A:$A, 'Week 6'!$D:$D), "")</f>
        <v>14</v>
      </c>
      <c r="AS41" s="152">
        <f t="array" ref="AS41">ifna(xlookup(AO35, 'Week 6'!$A:$A, 'Week 6'!$G:$G), "")</f>
        <v>5</v>
      </c>
      <c r="AT41" s="152">
        <f t="array" ref="AT41">ifna(xlookup(AO35, 'Week 6'!$A:$A, 'Week 6'!$H:$H), "")</f>
        <v>0</v>
      </c>
      <c r="AU41" s="152">
        <f t="array" ref="AU41">ifna(xlookup(AO35, 'Week 6'!$A:$A, 'Week 6'!$E:$E), "")</f>
        <v>9</v>
      </c>
      <c r="AV41" s="152">
        <f t="array" ref="AV41">ifna(xlookup(AO35, 'Week 6'!$A:$A, 'Week 6'!$F:$F), "")</f>
        <v>0</v>
      </c>
      <c r="AW41" s="152">
        <f t="array" ref="AW41">ifna(xlookup(AO35, 'Week 6'!$A:$A, 'Week 6'!$I:$I), "")</f>
        <v>22</v>
      </c>
      <c r="AX41" s="153">
        <f t="shared" si="70"/>
        <v>0.3888888889</v>
      </c>
      <c r="AY41" s="151" t="s">
        <v>23</v>
      </c>
      <c r="AZ41" s="2" t="str">
        <f t="shared" si="71"/>
        <v>Yes</v>
      </c>
      <c r="BA41" s="152" t="str">
        <f t="array" ref="BA41">ifna(xlookup(AY35, 'Week 6'!$A:$A, 'Week 6'!$B:$B), "")</f>
        <v>Win</v>
      </c>
      <c r="BB41" s="152">
        <f t="array" ref="BB41">ifna(xlookup(AY35, 'Week 6'!$A:$A, 'Week 6'!$D:$D), "")</f>
        <v>10</v>
      </c>
      <c r="BC41" s="152">
        <f t="array" ref="BC41">ifna(xlookup(AY35, 'Week 6'!$A:$A, 'Week 6'!$G:$G), "")</f>
        <v>8</v>
      </c>
      <c r="BD41" s="152">
        <f t="array" ref="BD41">ifna(xlookup(AY35, 'Week 6'!$A:$A, 'Week 6'!$H:$H), "")</f>
        <v>1</v>
      </c>
      <c r="BE41" s="152">
        <f t="array" ref="BE41">ifna(xlookup(AY35, 'Week 6'!$A:$A, 'Week 6'!$E:$E), "")</f>
        <v>1</v>
      </c>
      <c r="BF41" s="152">
        <f t="array" ref="BF41">ifna(xlookup(AY35, 'Week 6'!$A:$A, 'Week 6'!$F:$F), "")</f>
        <v>0</v>
      </c>
      <c r="BG41" s="152">
        <f t="array" ref="BG41">ifna(xlookup(AY35, 'Week 6'!$A:$A, 'Week 6'!$I:$I), "")</f>
        <v>28</v>
      </c>
      <c r="BH41" s="153">
        <f t="shared" si="72"/>
        <v>0.2631578947</v>
      </c>
      <c r="BI41" s="8"/>
      <c r="BJ41" s="8"/>
      <c r="BK41" s="8"/>
      <c r="BL41" s="8"/>
    </row>
    <row r="42">
      <c r="A42" s="151" t="s">
        <v>41</v>
      </c>
      <c r="B42" s="2" t="str">
        <f t="shared" si="61"/>
        <v>Yes</v>
      </c>
      <c r="C42" s="152" t="str">
        <f t="array" ref="C42">ifna(xlookup(A35, 'Week 7'!$A:$A, 'Week 7'!$B:$B), "")</f>
        <v>Win</v>
      </c>
      <c r="D42" s="152">
        <f t="array" ref="D42">ifna(xlookup(A35, 'Week 7'!$A:$A, 'Week 7'!$D:$D), "")</f>
        <v>15</v>
      </c>
      <c r="E42" s="152">
        <f t="array" ref="E42">ifna(xlookup(A35, 'Week 7'!$A:$A, 'Week 7'!$G:$G), "")</f>
        <v>7</v>
      </c>
      <c r="F42" s="152">
        <f t="array" ref="F42">ifna(xlookup(A35, 'Week 7'!$A:$A, 'Week 7'!$H:$H), "")</f>
        <v>2</v>
      </c>
      <c r="G42" s="152">
        <f t="array" ref="G42">ifna(xlookup(A35, 'Week 7'!$A:$A, 'Week 7'!$E:$E), "")</f>
        <v>5</v>
      </c>
      <c r="H42" s="152">
        <f t="array" ref="H42">ifna(xlookup(A35, 'Week 7'!$A:$A, 'Week 7'!$F:$F), "")</f>
        <v>1</v>
      </c>
      <c r="I42" s="152">
        <f t="array" ref="I42">ifna(xlookup(A35, 'Week 7'!$A:$A, 'Week 7'!$I:$I), "")</f>
        <v>27</v>
      </c>
      <c r="J42" s="153">
        <f t="shared" si="62"/>
        <v>0.3571428571</v>
      </c>
      <c r="K42" s="151" t="s">
        <v>41</v>
      </c>
      <c r="L42" s="2" t="str">
        <f t="shared" si="63"/>
        <v>Yes</v>
      </c>
      <c r="M42" s="152" t="str">
        <f t="array" ref="M42">ifna(xlookup(K35, 'Week 7'!$A:$A, 'Week 7'!$B:$B), "")</f>
        <v>Win</v>
      </c>
      <c r="N42" s="152">
        <f t="array" ref="N42">ifna(xlookup(K35, 'Week 7'!$A:$A, 'Week 7'!$D:$D), "")</f>
        <v>16</v>
      </c>
      <c r="O42" s="152">
        <f t="array" ref="O42">ifna(xlookup(K35, 'Week 7'!$A:$A, 'Week 7'!$G:$G), "")</f>
        <v>11</v>
      </c>
      <c r="P42" s="152">
        <f t="array" ref="P42">ifna(xlookup(K35, 'Week 7'!$A:$A, 'Week 7'!$H:$H), "")</f>
        <v>2</v>
      </c>
      <c r="Q42" s="152">
        <f t="array" ref="Q42">ifna(xlookup(K35, 'Week 7'!$A:$A, 'Week 7'!$E:$E), "")</f>
        <v>3</v>
      </c>
      <c r="R42" s="152">
        <f t="array" ref="R42">ifna(xlookup(K35, 'Week 7'!$A:$A, 'Week 7'!$F:$F), "")</f>
        <v>0</v>
      </c>
      <c r="S42" s="152">
        <f t="array" ref="S42">ifna(xlookup(K35, 'Week 7'!$A:$A, 'Week 7'!$I:$I), "")</f>
        <v>20</v>
      </c>
      <c r="T42" s="153">
        <f t="shared" si="64"/>
        <v>0.4444444444</v>
      </c>
      <c r="U42" s="151" t="s">
        <v>41</v>
      </c>
      <c r="V42" s="2" t="str">
        <f t="shared" si="65"/>
        <v>Yes</v>
      </c>
      <c r="W42" s="152" t="str">
        <f t="array" ref="W42">ifna(xlookup(U35, 'Week 7'!$A:$A, 'Week 7'!$B:$B), "")</f>
        <v>Loss</v>
      </c>
      <c r="X42" s="152">
        <f t="array" ref="X42">ifna(xlookup(U35, 'Week 7'!$A:$A, 'Week 7'!$D:$D), "")</f>
        <v>7</v>
      </c>
      <c r="Y42" s="152">
        <f t="array" ref="Y42">ifna(xlookup(U35, 'Week 7'!$A:$A, 'Week 7'!$G:$G), "")</f>
        <v>4</v>
      </c>
      <c r="Z42" s="152">
        <f t="array" ref="Z42">ifna(xlookup(U35, 'Week 7'!$A:$A, 'Week 7'!$H:$H), "")</f>
        <v>0</v>
      </c>
      <c r="AA42" s="152">
        <f t="array" ref="AA42">ifna(xlookup(U35, 'Week 7'!$A:$A, 'Week 7'!$E:$E), "")</f>
        <v>3</v>
      </c>
      <c r="AB42" s="152">
        <f t="array" ref="AB42">ifna(xlookup(U35, 'Week 7'!$A:$A, 'Week 7'!$F:$F), "")</f>
        <v>0</v>
      </c>
      <c r="AC42" s="152">
        <f t="array" ref="AC42">ifna(xlookup(U35, 'Week 7'!$A:$A, 'Week 7'!$I:$I), "")</f>
        <v>21</v>
      </c>
      <c r="AD42" s="153">
        <f t="shared" si="66"/>
        <v>0.25</v>
      </c>
      <c r="AE42" s="151" t="s">
        <v>41</v>
      </c>
      <c r="AF42" s="2" t="str">
        <f t="shared" si="67"/>
        <v/>
      </c>
      <c r="AG42" s="152" t="str">
        <f t="array" ref="AG42">ifna(xlookup(AE35, 'Week 7'!$A:$A, 'Week 7'!$B:$B), "")</f>
        <v>Loss</v>
      </c>
      <c r="AH42" s="152" t="str">
        <f t="array" ref="AH42">ifna(xlookup(AE35, 'Week 7'!$A:$A, 'Week 7'!$D:$D), "")</f>
        <v/>
      </c>
      <c r="AI42" s="152" t="str">
        <f t="array" ref="AI42">ifna(xlookup(AE35, 'Week 7'!$A:$A, 'Week 7'!$G:$G), "")</f>
        <v/>
      </c>
      <c r="AJ42" s="152" t="str">
        <f t="array" ref="AJ42">ifna(xlookup(AE35, 'Week 7'!$A:$A, 'Week 7'!$H:$H), "")</f>
        <v/>
      </c>
      <c r="AK42" s="152" t="str">
        <f t="array" ref="AK42">ifna(xlookup(AE35, 'Week 7'!$A:$A, 'Week 7'!$E:$E), "")</f>
        <v/>
      </c>
      <c r="AL42" s="152" t="str">
        <f t="array" ref="AL42">ifna(xlookup(AE35, 'Week 7'!$A:$A, 'Week 7'!$F:$F), "")</f>
        <v/>
      </c>
      <c r="AM42" s="152" t="str">
        <f t="array" ref="AM42">ifna(xlookup(AE35, 'Week 7'!$A:$A, 'Week 7'!$I:$I), "")</f>
        <v/>
      </c>
      <c r="AN42" s="153" t="str">
        <f t="shared" si="68"/>
        <v/>
      </c>
      <c r="AO42" s="151" t="s">
        <v>41</v>
      </c>
      <c r="AP42" s="2" t="str">
        <f t="shared" si="69"/>
        <v>Yes</v>
      </c>
      <c r="AQ42" s="152" t="str">
        <f t="array" ref="AQ42">ifna(xlookup(AO35, 'Week 7'!$A:$A, 'Week 7'!$B:$B), "")</f>
        <v>Win</v>
      </c>
      <c r="AR42" s="152">
        <f t="array" ref="AR42">ifna(xlookup(AO35, 'Week 7'!$A:$A, 'Week 7'!$D:$D), "")</f>
        <v>12</v>
      </c>
      <c r="AS42" s="152">
        <f t="array" ref="AS42">ifna(xlookup(AO35, 'Week 7'!$A:$A, 'Week 7'!$G:$G), "")</f>
        <v>6</v>
      </c>
      <c r="AT42" s="152">
        <f t="array" ref="AT42">ifna(xlookup(AO35, 'Week 7'!$A:$A, 'Week 7'!$H:$H), "")</f>
        <v>1</v>
      </c>
      <c r="AU42" s="152">
        <f t="array" ref="AU42">ifna(xlookup(AO35, 'Week 7'!$A:$A, 'Week 7'!$E:$E), "")</f>
        <v>4</v>
      </c>
      <c r="AV42" s="152">
        <f t="array" ref="AV42">ifna(xlookup(AO35, 'Week 7'!$A:$A, 'Week 7'!$F:$F), "")</f>
        <v>1</v>
      </c>
      <c r="AW42" s="152">
        <f t="array" ref="AW42">ifna(xlookup(AO35, 'Week 7'!$A:$A, 'Week 7'!$I:$I), "")</f>
        <v>30</v>
      </c>
      <c r="AX42" s="153">
        <f t="shared" si="70"/>
        <v>0.2857142857</v>
      </c>
      <c r="AY42" s="151" t="s">
        <v>41</v>
      </c>
      <c r="AZ42" s="2" t="str">
        <f t="shared" si="71"/>
        <v>Yes</v>
      </c>
      <c r="BA42" s="152" t="str">
        <f t="array" ref="BA42">ifna(xlookup(AY35, 'Week 7'!$A:$A, 'Week 7'!$B:$B), "")</f>
        <v>Loss</v>
      </c>
      <c r="BB42" s="164">
        <f t="array" ref="BB42">ifna(xlookup(AY35, 'Week 7'!$A:$A, 'Week 7'!$D:$D), "")</f>
        <v>15</v>
      </c>
      <c r="BC42" s="152">
        <f t="array" ref="BC42">ifna(xlookup(AY35, 'Week 7'!$A:$A, 'Week 7'!$G:$G), "")</f>
        <v>7</v>
      </c>
      <c r="BD42" s="152">
        <f t="array" ref="BD42">ifna(xlookup(AY35, 'Week 7'!$A:$A, 'Week 7'!$H:$H), "")</f>
        <v>0</v>
      </c>
      <c r="BE42" s="152">
        <f t="array" ref="BE42">ifna(xlookup(AY35, 'Week 7'!$A:$A, 'Week 7'!$E:$E), "")</f>
        <v>7</v>
      </c>
      <c r="BF42" s="152">
        <f t="array" ref="BF42">ifna(xlookup(AY35, 'Week 7'!$A:$A, 'Week 7'!$F:$F), "")</f>
        <v>1</v>
      </c>
      <c r="BG42" s="152">
        <f t="array" ref="BG42">ifna(xlookup(AY35, 'Week 7'!$A:$A, 'Week 7'!$I:$I), "")</f>
        <v>28</v>
      </c>
      <c r="BH42" s="153">
        <f t="shared" si="72"/>
        <v>0.3488372093</v>
      </c>
      <c r="BI42" s="8"/>
      <c r="BJ42" s="8"/>
      <c r="BK42" s="8"/>
      <c r="BL42" s="8"/>
    </row>
    <row r="43">
      <c r="A43" s="151" t="s">
        <v>181</v>
      </c>
      <c r="B43" s="2"/>
      <c r="C43" s="2"/>
      <c r="D43" s="2"/>
      <c r="E43" s="2"/>
      <c r="F43" s="2"/>
      <c r="G43" s="2"/>
      <c r="H43" s="2"/>
      <c r="I43" s="2"/>
      <c r="J43" s="153"/>
      <c r="K43" s="151" t="s">
        <v>181</v>
      </c>
      <c r="L43" s="2"/>
      <c r="M43" s="2"/>
      <c r="N43" s="2"/>
      <c r="O43" s="2"/>
      <c r="P43" s="2"/>
      <c r="Q43" s="2"/>
      <c r="R43" s="2"/>
      <c r="S43" s="2"/>
      <c r="T43" s="153"/>
      <c r="U43" s="151" t="s">
        <v>181</v>
      </c>
      <c r="V43" s="2"/>
      <c r="W43" s="2"/>
      <c r="X43" s="2"/>
      <c r="Y43" s="2"/>
      <c r="Z43" s="2"/>
      <c r="AA43" s="2"/>
      <c r="AB43" s="2"/>
      <c r="AC43" s="2"/>
      <c r="AD43" s="153"/>
      <c r="AE43" s="151" t="s">
        <v>181</v>
      </c>
      <c r="AF43" s="2"/>
      <c r="AG43" s="2"/>
      <c r="AH43" s="2"/>
      <c r="AI43" s="2"/>
      <c r="AJ43" s="2"/>
      <c r="AK43" s="2"/>
      <c r="AL43" s="2"/>
      <c r="AM43" s="2"/>
      <c r="AN43" s="153"/>
      <c r="AO43" s="151" t="s">
        <v>181</v>
      </c>
      <c r="AP43" s="2"/>
      <c r="AQ43" s="2"/>
      <c r="AR43" s="2"/>
      <c r="AS43" s="2"/>
      <c r="AT43" s="2"/>
      <c r="AU43" s="2"/>
      <c r="AV43" s="2"/>
      <c r="AW43" s="2"/>
      <c r="AX43" s="153"/>
      <c r="AY43" s="151" t="s">
        <v>181</v>
      </c>
      <c r="AZ43" s="2"/>
      <c r="BA43" s="2"/>
      <c r="BB43" s="2"/>
      <c r="BC43" s="2"/>
      <c r="BD43" s="2"/>
      <c r="BE43" s="2"/>
      <c r="BF43" s="2"/>
      <c r="BG43" s="2"/>
      <c r="BH43" s="153"/>
      <c r="BI43" s="8"/>
      <c r="BJ43" s="8"/>
      <c r="BK43" s="8"/>
      <c r="BL43" s="8"/>
    </row>
    <row r="44">
      <c r="A44" s="151" t="s">
        <v>182</v>
      </c>
      <c r="B44" s="2"/>
      <c r="C44" s="2"/>
      <c r="D44" s="2"/>
      <c r="E44" s="2"/>
      <c r="F44" s="2"/>
      <c r="G44" s="2"/>
      <c r="H44" s="2"/>
      <c r="I44" s="2"/>
      <c r="J44" s="153"/>
      <c r="K44" s="151" t="s">
        <v>182</v>
      </c>
      <c r="L44" s="2"/>
      <c r="M44" s="2"/>
      <c r="N44" s="2"/>
      <c r="O44" s="2"/>
      <c r="P44" s="2"/>
      <c r="Q44" s="2"/>
      <c r="R44" s="2"/>
      <c r="S44" s="2"/>
      <c r="T44" s="153"/>
      <c r="U44" s="151" t="s">
        <v>182</v>
      </c>
      <c r="V44" s="2"/>
      <c r="W44" s="2"/>
      <c r="X44" s="2"/>
      <c r="Y44" s="2"/>
      <c r="Z44" s="2"/>
      <c r="AA44" s="2"/>
      <c r="AB44" s="2"/>
      <c r="AC44" s="2"/>
      <c r="AD44" s="153"/>
      <c r="AE44" s="151" t="s">
        <v>182</v>
      </c>
      <c r="AF44" s="2"/>
      <c r="AG44" s="2"/>
      <c r="AH44" s="2"/>
      <c r="AI44" s="2"/>
      <c r="AJ44" s="2"/>
      <c r="AK44" s="2"/>
      <c r="AL44" s="2"/>
      <c r="AM44" s="2"/>
      <c r="AN44" s="153"/>
      <c r="AO44" s="151" t="s">
        <v>182</v>
      </c>
      <c r="AP44" s="2"/>
      <c r="AQ44" s="2"/>
      <c r="AR44" s="2"/>
      <c r="AS44" s="2"/>
      <c r="AT44" s="2"/>
      <c r="AU44" s="2"/>
      <c r="AV44" s="2"/>
      <c r="AW44" s="2"/>
      <c r="AX44" s="153"/>
      <c r="AY44" s="151" t="s">
        <v>182</v>
      </c>
      <c r="AZ44" s="2"/>
      <c r="BA44" s="2"/>
      <c r="BB44" s="2"/>
      <c r="BC44" s="2"/>
      <c r="BD44" s="2"/>
      <c r="BE44" s="2"/>
      <c r="BF44" s="2"/>
      <c r="BG44" s="2"/>
      <c r="BH44" s="153"/>
      <c r="BI44" s="8"/>
      <c r="BJ44" s="8"/>
      <c r="BK44" s="8"/>
      <c r="BL44" s="8"/>
    </row>
    <row r="45">
      <c r="A45" s="5" t="s">
        <v>183</v>
      </c>
      <c r="B45" s="154">
        <f>countif(B36:B44, "Yes")</f>
        <v>6</v>
      </c>
      <c r="C45" s="155">
        <f>IFERROR( COUNTIFS(B36:B42,"Yes", C36:C42,"Win") / COUNTIF(B36:B42,"Yes"), "")</f>
        <v>0.3333333333</v>
      </c>
      <c r="D45" s="156">
        <f>if(B45&gt;0, average(D36:D44), "")</f>
        <v>16.66666667</v>
      </c>
      <c r="E45" s="156">
        <f>if(B45&gt;0, average(E36:E44), "")</f>
        <v>5.833333333</v>
      </c>
      <c r="F45" s="156">
        <f>if(B45&gt;0, average(F36:F44), "")</f>
        <v>2.166666667</v>
      </c>
      <c r="G45" s="156">
        <f>if(B45&gt;0, average(G36:G44), "")</f>
        <v>6.833333333</v>
      </c>
      <c r="H45" s="156">
        <f>if(B45&gt;0, average(H36:H44), "")</f>
        <v>1.833333333</v>
      </c>
      <c r="I45" s="156">
        <f>if(B45&gt;0, average(I36:I44), "")</f>
        <v>27</v>
      </c>
      <c r="J45" s="157">
        <f>if(B45&gt;0, D45/(I45+D45), "")</f>
        <v>0.3816793893</v>
      </c>
      <c r="K45" s="5" t="s">
        <v>183</v>
      </c>
      <c r="L45" s="154">
        <f>countif(L36:L44, "Yes")</f>
        <v>7</v>
      </c>
      <c r="M45" s="155">
        <f>IFERROR( COUNTIFS(L36:L42,"Yes", M36:M42,"Win") / COUNTIF(L36:L42,"Yes"), "")</f>
        <v>0.4285714286</v>
      </c>
      <c r="N45" s="156">
        <f>if(L45&gt;0, average(N36:N44), "")</f>
        <v>15.71428571</v>
      </c>
      <c r="O45" s="156">
        <f>if(L45&gt;0, average(O36:O44), "")</f>
        <v>6.285714286</v>
      </c>
      <c r="P45" s="156">
        <f>if(L45&gt;0, average(P36:P44), "")</f>
        <v>0.5714285714</v>
      </c>
      <c r="Q45" s="156">
        <f>if(L45&gt;0, average(Q36:Q44), "")</f>
        <v>8</v>
      </c>
      <c r="R45" s="156">
        <f>if(L45&gt;0, average(R36:R44), "")</f>
        <v>0.8571428571</v>
      </c>
      <c r="S45" s="156">
        <f>if(L45&gt;0, average(S36:S44), "")</f>
        <v>25.14285714</v>
      </c>
      <c r="T45" s="157">
        <f>if(L45&gt;0, N45/(S45+N45), "")</f>
        <v>0.3846153846</v>
      </c>
      <c r="U45" s="5" t="s">
        <v>183</v>
      </c>
      <c r="V45" s="154">
        <f>countif(V36:V44, "Yes")</f>
        <v>6</v>
      </c>
      <c r="W45" s="155">
        <f>IFERROR( COUNTIFS(V36:V42,"Yes", W36:W42,"Win") / COUNTIF(V36:V42,"Yes"), "")</f>
        <v>0.5</v>
      </c>
      <c r="X45" s="156">
        <f>if(V45&gt;0, average(X36:X44), "")</f>
        <v>14</v>
      </c>
      <c r="Y45" s="156">
        <f>if(V45&gt;0, average(Y36:Y44), "")</f>
        <v>6.333333333</v>
      </c>
      <c r="Z45" s="156">
        <f>if(V45&gt;0, average(Z36:Z44), "")</f>
        <v>0</v>
      </c>
      <c r="AA45" s="156">
        <f>if(V45&gt;0, average(AA36:AA44), "")</f>
        <v>7.5</v>
      </c>
      <c r="AB45" s="156">
        <f>if(V45&gt;0, average(AB36:AB44), "")</f>
        <v>0.1666666667</v>
      </c>
      <c r="AC45" s="156">
        <f>if(V45&gt;0, average(AC36:AC44), "")</f>
        <v>24</v>
      </c>
      <c r="AD45" s="157">
        <f>if(V45&gt;0, X45/(AC45+X45), "")</f>
        <v>0.3684210526</v>
      </c>
      <c r="AE45" s="5" t="s">
        <v>183</v>
      </c>
      <c r="AF45" s="154">
        <f>countif(AF36:AF44, "Yes")</f>
        <v>6</v>
      </c>
      <c r="AG45" s="155">
        <f>IFERROR( COUNTIFS(AF36:AF42,"Yes", AG36:AG42,"Win") / COUNTIF(AF36:AF42,"Yes"), "")</f>
        <v>0.5</v>
      </c>
      <c r="AH45" s="156">
        <f>if(AF45&gt;0, average(AH36:AH44), "")</f>
        <v>12.66666667</v>
      </c>
      <c r="AI45" s="156">
        <f>if(AF45&gt;0, average(AI36:AI44), "")</f>
        <v>4.333333333</v>
      </c>
      <c r="AJ45" s="156">
        <f>if(AF45&gt;0, average(AJ36:AJ44), "")</f>
        <v>1.833333333</v>
      </c>
      <c r="AK45" s="156">
        <f>if(AF45&gt;0, average(AK36:AK44), "")</f>
        <v>5.166666667</v>
      </c>
      <c r="AL45" s="156">
        <f>if(AF45&gt;0, average(AL36:AL44), "")</f>
        <v>1.333333333</v>
      </c>
      <c r="AM45" s="156">
        <f>if(AF45&gt;0, average(AM36:AM44), "")</f>
        <v>29.5</v>
      </c>
      <c r="AN45" s="157">
        <f>if(AF45&gt;0, AH45/(AM45+AH45), "")</f>
        <v>0.3003952569</v>
      </c>
      <c r="AO45" s="5" t="s">
        <v>183</v>
      </c>
      <c r="AP45" s="154">
        <f>countif(AP36:AP44, "Yes")</f>
        <v>7</v>
      </c>
      <c r="AQ45" s="155">
        <f>IFERROR( COUNTIFS(AP36:AP42,"Yes", AQ36:AQ42,"Win") / COUNTIF(AP36:AP42,"Yes"), "")</f>
        <v>0.8571428571</v>
      </c>
      <c r="AR45" s="156">
        <f>if(AP45&gt;0, average(AR36:AR44), "")</f>
        <v>13.71428571</v>
      </c>
      <c r="AS45" s="156">
        <f>if(AP45&gt;0, average(AS36:AS44), "")</f>
        <v>6.428571429</v>
      </c>
      <c r="AT45" s="156">
        <f>if(AP45&gt;0, average(AT36:AT44), "")</f>
        <v>0.5714285714</v>
      </c>
      <c r="AU45" s="156">
        <f>if(AP45&gt;0, average(AU36:AU44), "")</f>
        <v>6.571428571</v>
      </c>
      <c r="AV45" s="156">
        <f>if(AP45&gt;0, average(AV36:AV44), "")</f>
        <v>0.1428571429</v>
      </c>
      <c r="AW45" s="156">
        <f>if(AP45&gt;0, average(AW36:AW44), "")</f>
        <v>25.42857143</v>
      </c>
      <c r="AX45" s="157">
        <f>if(AP45&gt;0, AR45/(AW45+AR45), "")</f>
        <v>0.3503649635</v>
      </c>
      <c r="AY45" s="5" t="s">
        <v>183</v>
      </c>
      <c r="AZ45" s="154">
        <f>countif(AZ36:AZ44, "Yes")</f>
        <v>6</v>
      </c>
      <c r="BA45" s="155">
        <f>IFERROR( COUNTIFS(AZ36:AZ42,"Yes", BA36:BA42,"Win") / COUNTIF(AZ36:AZ42,"Yes"), "")</f>
        <v>0.5</v>
      </c>
      <c r="BB45" s="156">
        <f>if(AZ45&gt;0, average(BB36:BB44), "")</f>
        <v>16</v>
      </c>
      <c r="BC45" s="156">
        <f>if(AZ45&gt;0, average(BC36:BC44), "")</f>
        <v>11.33333333</v>
      </c>
      <c r="BD45" s="156">
        <f>if(AZ45&gt;0, average(BD36:BD44), "")</f>
        <v>0.6666666667</v>
      </c>
      <c r="BE45" s="156">
        <f>if(AZ45&gt;0, average(BE36:BE44), "")</f>
        <v>3.333333333</v>
      </c>
      <c r="BF45" s="156">
        <f>if(AZ45&gt;0, average(BF36:BF44), "")</f>
        <v>0.6666666667</v>
      </c>
      <c r="BG45" s="156">
        <f>if(AZ45&gt;0, average(BG36:BG44), "")</f>
        <v>26.16666667</v>
      </c>
      <c r="BH45" s="157">
        <f>if(AZ45&gt;0, BB45/(BG45+BB45), "")</f>
        <v>0.3794466403</v>
      </c>
      <c r="BI45" s="8"/>
      <c r="BJ45" s="8"/>
      <c r="BK45" s="8"/>
      <c r="BL45" s="8"/>
    </row>
    <row r="46">
      <c r="A46" s="158" t="str">
        <f>Draft!B51</f>
        <v>Dli</v>
      </c>
      <c r="B46" s="129">
        <f t="shared" ref="B46:J46" si="73">B56</f>
        <v>7</v>
      </c>
      <c r="C46" s="143">
        <f t="shared" si="73"/>
        <v>0.4285714286</v>
      </c>
      <c r="D46" s="144">
        <f t="shared" si="73"/>
        <v>17.85714286</v>
      </c>
      <c r="E46" s="144">
        <f t="shared" si="73"/>
        <v>10.71428571</v>
      </c>
      <c r="F46" s="144">
        <f t="shared" si="73"/>
        <v>0.7142857143</v>
      </c>
      <c r="G46" s="144">
        <f t="shared" si="73"/>
        <v>5.857142857</v>
      </c>
      <c r="H46" s="144">
        <f t="shared" si="73"/>
        <v>0.5714285714</v>
      </c>
      <c r="I46" s="144">
        <f t="shared" si="73"/>
        <v>26.14285714</v>
      </c>
      <c r="J46" s="145">
        <f t="shared" si="73"/>
        <v>0.4058441558</v>
      </c>
      <c r="K46" s="159" t="str">
        <f>Draft!C51</f>
        <v>Ilt</v>
      </c>
      <c r="L46" s="129">
        <f t="shared" ref="L46:T46" si="74">L56</f>
        <v>5</v>
      </c>
      <c r="M46" s="143">
        <f t="shared" si="74"/>
        <v>0.4</v>
      </c>
      <c r="N46" s="144">
        <f t="shared" si="74"/>
        <v>11.8</v>
      </c>
      <c r="O46" s="144">
        <f t="shared" si="74"/>
        <v>9.8</v>
      </c>
      <c r="P46" s="144">
        <f t="shared" si="74"/>
        <v>0.2</v>
      </c>
      <c r="Q46" s="144">
        <f t="shared" si="74"/>
        <v>1.6</v>
      </c>
      <c r="R46" s="144">
        <f t="shared" si="74"/>
        <v>0.2</v>
      </c>
      <c r="S46" s="144">
        <f t="shared" si="74"/>
        <v>27.4</v>
      </c>
      <c r="T46" s="145">
        <f t="shared" si="74"/>
        <v>0.3010204082</v>
      </c>
      <c r="U46" s="160" t="str">
        <f>Draft!D51</f>
        <v>Adi</v>
      </c>
      <c r="V46" s="129">
        <f t="shared" ref="V46:AD46" si="75">V56</f>
        <v>5</v>
      </c>
      <c r="W46" s="143">
        <f t="shared" si="75"/>
        <v>0.6</v>
      </c>
      <c r="X46" s="144">
        <f t="shared" si="75"/>
        <v>14.6</v>
      </c>
      <c r="Y46" s="144">
        <f t="shared" si="75"/>
        <v>4</v>
      </c>
      <c r="Z46" s="144">
        <f t="shared" si="75"/>
        <v>0</v>
      </c>
      <c r="AA46" s="144">
        <f t="shared" si="75"/>
        <v>9.6</v>
      </c>
      <c r="AB46" s="144">
        <f t="shared" si="75"/>
        <v>1</v>
      </c>
      <c r="AC46" s="144">
        <f t="shared" si="75"/>
        <v>23.4</v>
      </c>
      <c r="AD46" s="145">
        <f t="shared" si="75"/>
        <v>0.3842105263</v>
      </c>
      <c r="AE46" s="161" t="str">
        <f>Draft!E51</f>
        <v>Samos</v>
      </c>
      <c r="AF46" s="129">
        <f t="shared" ref="AF46:AN46" si="76">AF56</f>
        <v>7</v>
      </c>
      <c r="AG46" s="143">
        <f t="shared" si="76"/>
        <v>0.5714285714</v>
      </c>
      <c r="AH46" s="144">
        <f t="shared" si="76"/>
        <v>16.71428571</v>
      </c>
      <c r="AI46" s="144">
        <f t="shared" si="76"/>
        <v>11.57142857</v>
      </c>
      <c r="AJ46" s="144">
        <f t="shared" si="76"/>
        <v>0.8571428571</v>
      </c>
      <c r="AK46" s="144">
        <f t="shared" si="76"/>
        <v>4.142857143</v>
      </c>
      <c r="AL46" s="144">
        <f t="shared" si="76"/>
        <v>0.1428571429</v>
      </c>
      <c r="AM46" s="144">
        <f t="shared" si="76"/>
        <v>28.14285714</v>
      </c>
      <c r="AN46" s="145">
        <f t="shared" si="76"/>
        <v>0.372611465</v>
      </c>
      <c r="AO46" s="162" t="str">
        <f>Draft!F51</f>
        <v>Raymond</v>
      </c>
      <c r="AP46" s="129">
        <f t="shared" ref="AP46:AX46" si="77">AP56</f>
        <v>6</v>
      </c>
      <c r="AQ46" s="143">
        <f t="shared" si="77"/>
        <v>0.8333333333</v>
      </c>
      <c r="AR46" s="144">
        <f t="shared" si="77"/>
        <v>15.66666667</v>
      </c>
      <c r="AS46" s="144">
        <f t="shared" si="77"/>
        <v>10.83333333</v>
      </c>
      <c r="AT46" s="144">
        <f t="shared" si="77"/>
        <v>1</v>
      </c>
      <c r="AU46" s="144">
        <f t="shared" si="77"/>
        <v>3.666666667</v>
      </c>
      <c r="AV46" s="144">
        <f t="shared" si="77"/>
        <v>0.1666666667</v>
      </c>
      <c r="AW46" s="144">
        <f t="shared" si="77"/>
        <v>24.66666667</v>
      </c>
      <c r="AX46" s="145">
        <f t="shared" si="77"/>
        <v>0.3884297521</v>
      </c>
      <c r="AY46" s="163" t="str">
        <f>Draft!G51</f>
        <v>Dave</v>
      </c>
      <c r="AZ46" s="129">
        <f t="shared" ref="AZ46:BH46" si="78">AZ56</f>
        <v>6</v>
      </c>
      <c r="BA46" s="143">
        <f t="shared" si="78"/>
        <v>0.5</v>
      </c>
      <c r="BB46" s="144">
        <f t="shared" si="78"/>
        <v>17</v>
      </c>
      <c r="BC46" s="144">
        <f t="shared" si="78"/>
        <v>4</v>
      </c>
      <c r="BD46" s="144">
        <f t="shared" si="78"/>
        <v>0.5</v>
      </c>
      <c r="BE46" s="144">
        <f t="shared" si="78"/>
        <v>11</v>
      </c>
      <c r="BF46" s="144">
        <f t="shared" si="78"/>
        <v>1.5</v>
      </c>
      <c r="BG46" s="144">
        <f t="shared" si="78"/>
        <v>25.5</v>
      </c>
      <c r="BH46" s="145">
        <f t="shared" si="78"/>
        <v>0.4</v>
      </c>
      <c r="BI46" s="8"/>
      <c r="BJ46" s="8"/>
      <c r="BK46" s="8"/>
      <c r="BL46" s="8"/>
    </row>
    <row r="47">
      <c r="A47" s="151" t="s">
        <v>5</v>
      </c>
      <c r="B47" s="2" t="str">
        <f t="shared" ref="B47:B53" si="79">ifna(if(I47&lt;&gt;"", "Yes", ""), "")</f>
        <v>Yes</v>
      </c>
      <c r="C47" s="152" t="str">
        <f t="array" ref="C47">ifna(xlookup(A46, 'Week 1'!$A:$A, 'Week 1'!$B:$B), "")</f>
        <v>Loss</v>
      </c>
      <c r="D47" s="152">
        <f t="array" ref="D47">ifna(xlookup(A46, 'Week 1'!$A:$A, 'Week 1'!$D:$D), "")</f>
        <v>17</v>
      </c>
      <c r="E47" s="152">
        <f t="array" ref="E47">ifna(xlookup(A46, 'Week 1'!$A:$A, 'Week 1'!$G:$G), "")</f>
        <v>12</v>
      </c>
      <c r="F47" s="152">
        <f t="array" ref="F47">ifna(xlookup(A46, 'Week 1'!$A:$A, 'Week 1'!$H:$H), "")</f>
        <v>0</v>
      </c>
      <c r="G47" s="152">
        <f t="array" ref="G47">ifna(xlookup(A46, 'Week 1'!$A:$A, 'Week 1'!$E:$E), "")</f>
        <v>4</v>
      </c>
      <c r="H47" s="152">
        <f t="array" ref="H47">ifna(xlookup(A46, 'Week 1'!$A:$A, 'Week 1'!$F:$F), "")</f>
        <v>1</v>
      </c>
      <c r="I47" s="152">
        <f t="array" ref="I47">ifna(xlookup(A46, 'Week 1'!$A:$A, 'Week 1'!$I:$I), "")</f>
        <v>38</v>
      </c>
      <c r="J47" s="153">
        <f t="shared" ref="J47:J53" si="80">iferror(IF(D47&gt;0, (D47/(D47+I47)), ""),"")</f>
        <v>0.3090909091</v>
      </c>
      <c r="K47" s="151" t="s">
        <v>5</v>
      </c>
      <c r="L47" s="2" t="str">
        <f t="shared" ref="L47:L53" si="81">ifna(if(S47&lt;&gt;"", "Yes", ""), "")</f>
        <v>Yes</v>
      </c>
      <c r="M47" s="152" t="str">
        <f t="array" ref="M47">ifna(xlookup(K46, 'Week 1'!$A:$A, 'Week 1'!$B:$B), "")</f>
        <v>Loss</v>
      </c>
      <c r="N47" s="152">
        <f t="array" ref="N47">ifna(xlookup(K46, 'Week 1'!$A:$A, 'Week 1'!$D:$D), "")</f>
        <v>16</v>
      </c>
      <c r="O47" s="152">
        <f t="array" ref="O47">ifna(xlookup(K46, 'Week 1'!$A:$A, 'Week 1'!$G:$G), "")</f>
        <v>14</v>
      </c>
      <c r="P47" s="152">
        <f t="array" ref="P47">ifna(xlookup(K46, 'Week 1'!$A:$A, 'Week 1'!$H:$H), "")</f>
        <v>0</v>
      </c>
      <c r="Q47" s="152">
        <f t="array" ref="Q47">ifna(xlookup(K46, 'Week 1'!$A:$A, 'Week 1'!$E:$E), "")</f>
        <v>2</v>
      </c>
      <c r="R47" s="152">
        <f t="array" ref="R47">ifna(xlookup(K46, 'Week 1'!$A:$A, 'Week 1'!$F:$F), "")</f>
        <v>0</v>
      </c>
      <c r="S47" s="152">
        <f t="array" ref="S47">ifna(xlookup(K46, 'Week 1'!$A:$A, 'Week 1'!$I:$I), "")</f>
        <v>20</v>
      </c>
      <c r="T47" s="153">
        <f t="shared" ref="T47:T53" si="82">iferror(IF(N47&gt;0, (N47/(N47+S47)), ""),"")</f>
        <v>0.4444444444</v>
      </c>
      <c r="U47" s="151" t="s">
        <v>5</v>
      </c>
      <c r="V47" s="2" t="str">
        <f t="shared" ref="V47:V53" si="83">ifna(if(AC47&lt;&gt;"", "Yes", ""), "")</f>
        <v>Yes</v>
      </c>
      <c r="W47" s="152" t="str">
        <f t="array" ref="W47">ifna(xlookup(U46, 'Week 1'!$A:$A, 'Week 1'!$B:$B), "")</f>
        <v>Win</v>
      </c>
      <c r="X47" s="152">
        <f t="array" ref="X47">ifna(xlookup(U46, 'Week 1'!$A:$A, 'Week 1'!$D:$D), "")</f>
        <v>12</v>
      </c>
      <c r="Y47" s="152">
        <f t="array" ref="Y47">ifna(xlookup(U46, 'Week 1'!$A:$A, 'Week 1'!$G:$G), "")</f>
        <v>3</v>
      </c>
      <c r="Z47" s="152">
        <f t="array" ref="Z47">ifna(xlookup(U46, 'Week 1'!$A:$A, 'Week 1'!$H:$H), "")</f>
        <v>0</v>
      </c>
      <c r="AA47" s="152">
        <f t="array" ref="AA47">ifna(xlookup(U46, 'Week 1'!$A:$A, 'Week 1'!$E:$E), "")</f>
        <v>8</v>
      </c>
      <c r="AB47" s="152">
        <f t="array" ref="AB47">ifna(xlookup(U46, 'Week 1'!$A:$A, 'Week 1'!$F:$F), "")</f>
        <v>1</v>
      </c>
      <c r="AC47" s="152">
        <f t="array" ref="AC47">ifna(xlookup(U46, 'Week 1'!$A:$A, 'Week 1'!$I:$I), "")</f>
        <v>27</v>
      </c>
      <c r="AD47" s="153">
        <f t="shared" ref="AD47:AD53" si="84">iferror(IF(X47&gt;0, (X47/(X47+AC47)), ""),"")</f>
        <v>0.3076923077</v>
      </c>
      <c r="AE47" s="151" t="s">
        <v>5</v>
      </c>
      <c r="AF47" s="2" t="str">
        <f t="shared" ref="AF47:AF53" si="85">ifna(if(AM47&lt;&gt;"", "Yes", ""), "")</f>
        <v>Yes</v>
      </c>
      <c r="AG47" s="152" t="str">
        <f t="array" ref="AG47">ifna(xlookup(AE46, 'Week 1'!$A:$A, 'Week 1'!$B:$B), "")</f>
        <v>Win</v>
      </c>
      <c r="AH47" s="152">
        <f t="array" ref="AH47">ifna(xlookup(AE46, 'Week 1'!$A:$A, 'Week 1'!$D:$D), "")</f>
        <v>18</v>
      </c>
      <c r="AI47" s="152">
        <f t="array" ref="AI47">ifna(xlookup(AE46, 'Week 1'!$A:$A, 'Week 1'!$G:$G), "")</f>
        <v>7</v>
      </c>
      <c r="AJ47" s="152">
        <f t="array" ref="AJ47">ifna(xlookup(AE46, 'Week 1'!$A:$A, 'Week 1'!$H:$H), "")</f>
        <v>1</v>
      </c>
      <c r="AK47" s="152">
        <f t="array" ref="AK47">ifna(xlookup(AE46, 'Week 1'!$A:$A, 'Week 1'!$E:$E), "")</f>
        <v>10</v>
      </c>
      <c r="AL47" s="152">
        <f t="array" ref="AL47">ifna(xlookup(AE46, 'Week 1'!$A:$A, 'Week 1'!$F:$F), "")</f>
        <v>0</v>
      </c>
      <c r="AM47" s="152">
        <f t="array" ref="AM47">ifna(xlookup(AE46, 'Week 1'!$A:$A, 'Week 1'!$I:$I), "")</f>
        <v>34</v>
      </c>
      <c r="AN47" s="153">
        <f t="shared" ref="AN47:AN53" si="86">iferror(IF(AH47&gt;0, (AH47/(AH47+AM47)), ""),"")</f>
        <v>0.3461538462</v>
      </c>
      <c r="AO47" s="151" t="s">
        <v>5</v>
      </c>
      <c r="AP47" s="2" t="str">
        <f t="shared" ref="AP47:AP53" si="87">ifna(if(AW47&lt;&gt;"", "Yes", ""), "")</f>
        <v>Yes</v>
      </c>
      <c r="AQ47" s="152" t="str">
        <f t="array" ref="AQ47">ifna(xlookup(AO46, 'Week 1'!$A:$A, 'Week 1'!$B:$B), "")</f>
        <v>Loss</v>
      </c>
      <c r="AR47" s="152">
        <f t="array" ref="AR47">ifna(xlookup(AO46, 'Week 1'!$A:$A, 'Week 1'!$D:$D), "")</f>
        <v>14</v>
      </c>
      <c r="AS47" s="152">
        <f t="array" ref="AS47">ifna(xlookup(AO46, 'Week 1'!$A:$A, 'Week 1'!$G:$G), "")</f>
        <v>11</v>
      </c>
      <c r="AT47" s="152">
        <f t="array" ref="AT47">ifna(xlookup(AO46, 'Week 1'!$A:$A, 'Week 1'!$H:$H), "")</f>
        <v>1</v>
      </c>
      <c r="AU47" s="152">
        <f t="array" ref="AU47">ifna(xlookup(AO46, 'Week 1'!$A:$A, 'Week 1'!$E:$E), "")</f>
        <v>2</v>
      </c>
      <c r="AV47" s="152">
        <f t="array" ref="AV47">ifna(xlookup(AO46, 'Week 1'!$A:$A, 'Week 1'!$F:$F), "")</f>
        <v>0</v>
      </c>
      <c r="AW47" s="152">
        <f t="array" ref="AW47">ifna(xlookup(AO46, 'Week 1'!$A:$A, 'Week 1'!$I:$I), "")</f>
        <v>24</v>
      </c>
      <c r="AX47" s="153">
        <f t="shared" ref="AX47:AX53" si="88">iferror(IF(AR47&gt;0, (AR47/(AR47+AW47)), ""),"")</f>
        <v>0.3684210526</v>
      </c>
      <c r="AY47" s="151" t="s">
        <v>5</v>
      </c>
      <c r="AZ47" s="2" t="str">
        <f t="shared" ref="AZ47:AZ53" si="89">ifna(if(BG47&lt;&gt;"", "Yes", ""), "")</f>
        <v>Yes</v>
      </c>
      <c r="BA47" s="152" t="str">
        <f t="array" ref="BA47">ifna(xlookup(AY46, 'Week 1'!$A:$A, 'Week 1'!$B:$B), "")</f>
        <v>Win</v>
      </c>
      <c r="BB47" s="152">
        <f t="array" ref="BB47">ifna(xlookup(AY46, 'Week 1'!$A:$A, 'Week 1'!$D:$D), "")</f>
        <v>19</v>
      </c>
      <c r="BC47" s="152">
        <f t="array" ref="BC47">ifna(xlookup(AY46, 'Week 1'!$A:$A, 'Week 1'!$G:$G), "")</f>
        <v>7</v>
      </c>
      <c r="BD47" s="152">
        <f t="array" ref="BD47">ifna(xlookup(AY46, 'Week 1'!$A:$A, 'Week 1'!$H:$H), "")</f>
        <v>1</v>
      </c>
      <c r="BE47" s="152">
        <f t="array" ref="BE47">ifna(xlookup(AY46, 'Week 1'!$A:$A, 'Week 1'!$E:$E), "")</f>
        <v>10</v>
      </c>
      <c r="BF47" s="152">
        <f t="array" ref="BF47">ifna(xlookup(AY46, 'Week 1'!$A:$A, 'Week 1'!$F:$F), "")</f>
        <v>1</v>
      </c>
      <c r="BG47" s="152">
        <f t="array" ref="BG47">ifna(xlookup(AY46, 'Week 1'!$A:$A, 'Week 1'!$I:$I), "")</f>
        <v>22</v>
      </c>
      <c r="BH47" s="153">
        <f t="shared" ref="BH47:BH53" si="90">iferror(IF(BB47&gt;0, (BB47/(BB47+BG47)), ""),"")</f>
        <v>0.4634146341</v>
      </c>
      <c r="BI47" s="8"/>
      <c r="BJ47" s="8"/>
      <c r="BK47" s="8"/>
      <c r="BL47" s="8"/>
    </row>
    <row r="48">
      <c r="A48" s="151" t="s">
        <v>7</v>
      </c>
      <c r="B48" s="2" t="str">
        <f t="shared" si="79"/>
        <v>Yes</v>
      </c>
      <c r="C48" s="152" t="str">
        <f t="array" ref="C48">ifna(xlookup(A46, 'Week 2'!$A:$A, 'Week 2'!$B:$B), "")</f>
        <v>Loss</v>
      </c>
      <c r="D48" s="152">
        <f t="array" ref="D48">ifna(xlookup(A46, 'Week 2'!$A:$A, 'Week 2'!$D:$D), "")</f>
        <v>15</v>
      </c>
      <c r="E48" s="152">
        <f t="array" ref="E48">ifna(xlookup(A46, 'Week 2'!$A:$A, 'Week 2'!$G:$G), "")</f>
        <v>11</v>
      </c>
      <c r="F48" s="152">
        <f t="array" ref="F48">ifna(xlookup(A46, 'Week 2'!$A:$A, 'Week 2'!$H:$H), "")</f>
        <v>1</v>
      </c>
      <c r="G48" s="152">
        <f t="array" ref="G48">ifna(xlookup(A46, 'Week 2'!$A:$A, 'Week 2'!$E:$E), "")</f>
        <v>3</v>
      </c>
      <c r="H48" s="152">
        <f t="array" ref="H48">ifna(xlookup(A46, 'Week 2'!$A:$A, 'Week 2'!$F:$F), "")</f>
        <v>0</v>
      </c>
      <c r="I48" s="152">
        <f t="array" ref="I48">ifna(xlookup(A46, 'Week 2'!$A:$A, 'Week 2'!$I:$I), "")</f>
        <v>22</v>
      </c>
      <c r="J48" s="153">
        <f t="shared" si="80"/>
        <v>0.4054054054</v>
      </c>
      <c r="K48" s="151" t="s">
        <v>7</v>
      </c>
      <c r="L48" s="2" t="str">
        <f t="shared" si="81"/>
        <v>Yes</v>
      </c>
      <c r="M48" s="152" t="str">
        <f t="array" ref="M48">ifna(xlookup(K46, 'Week 2'!$A:$A, 'Week 2'!$B:$B), "")</f>
        <v>Loss</v>
      </c>
      <c r="N48" s="152">
        <f t="array" ref="N48">ifna(xlookup(K46, 'Week 2'!$A:$A, 'Week 2'!$D:$D), "")</f>
        <v>9</v>
      </c>
      <c r="O48" s="152">
        <f t="array" ref="O48">ifna(xlookup(K46, 'Week 2'!$A:$A, 'Week 2'!$G:$G), "")</f>
        <v>7</v>
      </c>
      <c r="P48" s="152">
        <f t="array" ref="P48">ifna(xlookup(K46, 'Week 2'!$A:$A, 'Week 2'!$H:$H), "")</f>
        <v>0</v>
      </c>
      <c r="Q48" s="152">
        <f t="array" ref="Q48">ifna(xlookup(K46, 'Week 2'!$A:$A, 'Week 2'!$E:$E), "")</f>
        <v>2</v>
      </c>
      <c r="R48" s="152">
        <f t="array" ref="R48">ifna(xlookup(K46, 'Week 2'!$A:$A, 'Week 2'!$F:$F), "")</f>
        <v>0</v>
      </c>
      <c r="S48" s="152">
        <f t="array" ref="S48">ifna(xlookup(K46, 'Week 2'!$A:$A, 'Week 2'!$I:$I), "")</f>
        <v>22</v>
      </c>
      <c r="T48" s="153">
        <f t="shared" si="82"/>
        <v>0.2903225806</v>
      </c>
      <c r="U48" s="151" t="s">
        <v>7</v>
      </c>
      <c r="V48" s="2" t="str">
        <f t="shared" si="83"/>
        <v>Yes</v>
      </c>
      <c r="W48" s="152" t="str">
        <f t="array" ref="W48">ifna(xlookup(U46, 'Week 2'!$A:$A, 'Week 2'!$B:$B), "")</f>
        <v>Win</v>
      </c>
      <c r="X48" s="152">
        <f t="array" ref="X48">ifna(xlookup(U46, 'Week 2'!$A:$A, 'Week 2'!$D:$D), "")</f>
        <v>17</v>
      </c>
      <c r="Y48" s="152">
        <f t="array" ref="Y48">ifna(xlookup(U46, 'Week 2'!$A:$A, 'Week 2'!$G:$G), "")</f>
        <v>8</v>
      </c>
      <c r="Z48" s="152">
        <f t="array" ref="Z48">ifna(xlookup(U46, 'Week 2'!$A:$A, 'Week 2'!$H:$H), "")</f>
        <v>0</v>
      </c>
      <c r="AA48" s="152">
        <f t="array" ref="AA48">ifna(xlookup(U46, 'Week 2'!$A:$A, 'Week 2'!$E:$E), "")</f>
        <v>9</v>
      </c>
      <c r="AB48" s="152">
        <f t="array" ref="AB48">ifna(xlookup(U46, 'Week 2'!$A:$A, 'Week 2'!$F:$F), "")</f>
        <v>0</v>
      </c>
      <c r="AC48" s="152">
        <f t="array" ref="AC48">ifna(xlookup(U46, 'Week 2'!$A:$A, 'Week 2'!$I:$I), "")</f>
        <v>22</v>
      </c>
      <c r="AD48" s="153">
        <f t="shared" si="84"/>
        <v>0.4358974359</v>
      </c>
      <c r="AE48" s="151" t="s">
        <v>7</v>
      </c>
      <c r="AF48" s="2" t="str">
        <f t="shared" si="85"/>
        <v>Yes</v>
      </c>
      <c r="AG48" s="152" t="str">
        <f t="array" ref="AG48">ifna(xlookup(AE46, 'Week 2'!$A:$A, 'Week 2'!$B:$B), "")</f>
        <v>Loss</v>
      </c>
      <c r="AH48" s="152">
        <f t="array" ref="AH48">ifna(xlookup(AE46, 'Week 2'!$A:$A, 'Week 2'!$D:$D), "")</f>
        <v>15</v>
      </c>
      <c r="AI48" s="152">
        <f t="array" ref="AI48">ifna(xlookup(AE46, 'Week 2'!$A:$A, 'Week 2'!$G:$G), "")</f>
        <v>11</v>
      </c>
      <c r="AJ48" s="152">
        <f t="array" ref="AJ48">ifna(xlookup(AE46, 'Week 2'!$A:$A, 'Week 2'!$H:$H), "")</f>
        <v>0</v>
      </c>
      <c r="AK48" s="152">
        <f t="array" ref="AK48">ifna(xlookup(AE46, 'Week 2'!$A:$A, 'Week 2'!$E:$E), "")</f>
        <v>4</v>
      </c>
      <c r="AL48" s="152">
        <f t="array" ref="AL48">ifna(xlookup(AE46, 'Week 2'!$A:$A, 'Week 2'!$F:$F), "")</f>
        <v>0</v>
      </c>
      <c r="AM48" s="152">
        <f t="array" ref="AM48">ifna(xlookup(AE46, 'Week 2'!$A:$A, 'Week 2'!$I:$I), "")</f>
        <v>24</v>
      </c>
      <c r="AN48" s="153">
        <f t="shared" si="86"/>
        <v>0.3846153846</v>
      </c>
      <c r="AO48" s="151" t="s">
        <v>7</v>
      </c>
      <c r="AP48" s="2" t="str">
        <f t="shared" si="87"/>
        <v/>
      </c>
      <c r="AQ48" s="152" t="str">
        <f t="array" ref="AQ48">ifna(xlookup(AO46, 'Week 2'!$A:$A, 'Week 2'!$B:$B), "")</f>
        <v>Win</v>
      </c>
      <c r="AR48" s="152" t="str">
        <f t="array" ref="AR48">ifna(xlookup(AO46, 'Week 2'!$A:$A, 'Week 2'!$D:$D), "")</f>
        <v/>
      </c>
      <c r="AS48" s="152" t="str">
        <f t="array" ref="AS48">ifna(xlookup(AO46, 'Week 2'!$A:$A, 'Week 2'!$G:$G), "")</f>
        <v/>
      </c>
      <c r="AT48" s="152" t="str">
        <f t="array" ref="AT48">ifna(xlookup(AO46, 'Week 2'!$A:$A, 'Week 2'!$H:$H), "")</f>
        <v/>
      </c>
      <c r="AU48" s="152" t="str">
        <f t="array" ref="AU48">ifna(xlookup(AO46, 'Week 2'!$A:$A, 'Week 2'!$E:$E), "")</f>
        <v/>
      </c>
      <c r="AV48" s="152" t="str">
        <f t="array" ref="AV48">ifna(xlookup(AO46, 'Week 2'!$A:$A, 'Week 2'!$F:$F), "")</f>
        <v/>
      </c>
      <c r="AW48" s="152" t="str">
        <f t="array" ref="AW48">ifna(xlookup(AO46, 'Week 2'!$A:$A, 'Week 2'!$I:$I), "")</f>
        <v/>
      </c>
      <c r="AX48" s="153" t="str">
        <f t="shared" si="88"/>
        <v/>
      </c>
      <c r="AY48" s="151" t="s">
        <v>7</v>
      </c>
      <c r="AZ48" s="2" t="str">
        <f t="shared" si="89"/>
        <v>Yes</v>
      </c>
      <c r="BA48" s="152" t="str">
        <f t="array" ref="BA48">ifna(xlookup(AY46, 'Week 2'!$A:$A, 'Week 2'!$B:$B), "")</f>
        <v>Win</v>
      </c>
      <c r="BB48" s="152">
        <f t="array" ref="BB48">ifna(xlookup(AY46, 'Week 2'!$A:$A, 'Week 2'!$D:$D), "")</f>
        <v>10</v>
      </c>
      <c r="BC48" s="152">
        <f t="array" ref="BC48">ifna(xlookup(AY46, 'Week 2'!$A:$A, 'Week 2'!$G:$G), "")</f>
        <v>3</v>
      </c>
      <c r="BD48" s="152">
        <f t="array" ref="BD48">ifna(xlookup(AY46, 'Week 2'!$A:$A, 'Week 2'!$H:$H), "")</f>
        <v>0</v>
      </c>
      <c r="BE48" s="152">
        <f t="array" ref="BE48">ifna(xlookup(AY46, 'Week 2'!$A:$A, 'Week 2'!$E:$E), "")</f>
        <v>6</v>
      </c>
      <c r="BF48" s="152">
        <f t="array" ref="BF48">ifna(xlookup(AY46, 'Week 2'!$A:$A, 'Week 2'!$F:$F), "")</f>
        <v>1</v>
      </c>
      <c r="BG48" s="152">
        <f t="array" ref="BG48">ifna(xlookup(AY46, 'Week 2'!$A:$A, 'Week 2'!$I:$I), "")</f>
        <v>23</v>
      </c>
      <c r="BH48" s="153">
        <f t="shared" si="90"/>
        <v>0.303030303</v>
      </c>
      <c r="BI48" s="8"/>
      <c r="BJ48" s="8"/>
      <c r="BK48" s="8"/>
      <c r="BL48" s="8"/>
    </row>
    <row r="49">
      <c r="A49" s="151" t="s">
        <v>12</v>
      </c>
      <c r="B49" s="2" t="str">
        <f t="shared" si="79"/>
        <v>Yes</v>
      </c>
      <c r="C49" s="152" t="str">
        <f t="array" ref="C49">ifna(xlookup(A46, 'Week 3'!$A:$A, 'Week 3'!$B:$B), "")</f>
        <v>Loss</v>
      </c>
      <c r="D49" s="152">
        <f t="array" ref="D49">ifna(xlookup(A46, 'Week 3'!$A:$A, 'Week 3'!$D:$D), "")</f>
        <v>20</v>
      </c>
      <c r="E49" s="152">
        <f t="array" ref="E49">ifna(xlookup(A46, 'Week 3'!$A:$A, 'Week 3'!$G:$G), "")</f>
        <v>14</v>
      </c>
      <c r="F49" s="152">
        <f t="array" ref="F49">ifna(xlookup(A46, 'Week 3'!$A:$A, 'Week 3'!$H:$H), "")</f>
        <v>0</v>
      </c>
      <c r="G49" s="152">
        <f t="array" ref="G49">ifna(xlookup(A46, 'Week 3'!$A:$A, 'Week 3'!$E:$E), "")</f>
        <v>6</v>
      </c>
      <c r="H49" s="152">
        <f t="array" ref="H49">ifna(xlookup(A46, 'Week 3'!$A:$A, 'Week 3'!$F:$F), "")</f>
        <v>0</v>
      </c>
      <c r="I49" s="152">
        <f t="array" ref="I49">ifna(xlookup(A46, 'Week 3'!$A:$A, 'Week 3'!$I:$I), "")</f>
        <v>26</v>
      </c>
      <c r="J49" s="153">
        <f t="shared" si="80"/>
        <v>0.4347826087</v>
      </c>
      <c r="K49" s="151" t="s">
        <v>12</v>
      </c>
      <c r="L49" s="2" t="str">
        <f t="shared" si="81"/>
        <v>Yes</v>
      </c>
      <c r="M49" s="152" t="str">
        <f t="array" ref="M49">ifna(xlookup(K46, 'Week 3'!$A:$A, 'Week 3'!$B:$B), "")</f>
        <v>Win</v>
      </c>
      <c r="N49" s="152">
        <f t="array" ref="N49">ifna(xlookup(K46, 'Week 3'!$A:$A, 'Week 3'!$D:$D), "")</f>
        <v>9</v>
      </c>
      <c r="O49" s="152">
        <f t="array" ref="O49">ifna(xlookup(K46, 'Week 3'!$A:$A, 'Week 3'!$G:$G), "")</f>
        <v>8</v>
      </c>
      <c r="P49" s="152">
        <f t="array" ref="P49">ifna(xlookup(K46, 'Week 3'!$A:$A, 'Week 3'!$H:$H), "")</f>
        <v>0</v>
      </c>
      <c r="Q49" s="152">
        <f t="array" ref="Q49">ifna(xlookup(K46, 'Week 3'!$A:$A, 'Week 3'!$E:$E), "")</f>
        <v>0</v>
      </c>
      <c r="R49" s="152">
        <f t="array" ref="R49">ifna(xlookup(K46, 'Week 3'!$A:$A, 'Week 3'!$F:$F), "")</f>
        <v>1</v>
      </c>
      <c r="S49" s="152">
        <f t="array" ref="S49">ifna(xlookup(K46, 'Week 3'!$A:$A, 'Week 3'!$I:$I), "")</f>
        <v>33</v>
      </c>
      <c r="T49" s="153">
        <f t="shared" si="82"/>
        <v>0.2142857143</v>
      </c>
      <c r="U49" s="151" t="s">
        <v>12</v>
      </c>
      <c r="V49" s="2" t="str">
        <f t="shared" si="83"/>
        <v>Yes</v>
      </c>
      <c r="W49" s="152" t="str">
        <f t="array" ref="W49">ifna(xlookup(U46, 'Week 3'!$A:$A, 'Week 3'!$B:$B), "")</f>
        <v>Win</v>
      </c>
      <c r="X49" s="152">
        <f t="array" ref="X49">ifna(xlookup(U46, 'Week 3'!$A:$A, 'Week 3'!$D:$D), "")</f>
        <v>16</v>
      </c>
      <c r="Y49" s="152">
        <f t="array" ref="Y49">ifna(xlookup(U46, 'Week 3'!$A:$A, 'Week 3'!$G:$G), "")</f>
        <v>5</v>
      </c>
      <c r="Z49" s="152">
        <f t="array" ref="Z49">ifna(xlookup(U46, 'Week 3'!$A:$A, 'Week 3'!$H:$H), "")</f>
        <v>0</v>
      </c>
      <c r="AA49" s="152">
        <f t="array" ref="AA49">ifna(xlookup(U46, 'Week 3'!$A:$A, 'Week 3'!$E:$E), "")</f>
        <v>9</v>
      </c>
      <c r="AB49" s="152">
        <f t="array" ref="AB49">ifna(xlookup(U46, 'Week 3'!$A:$A, 'Week 3'!$F:$F), "")</f>
        <v>2</v>
      </c>
      <c r="AC49" s="152">
        <f t="array" ref="AC49">ifna(xlookup(U46, 'Week 3'!$A:$A, 'Week 3'!$I:$I), "")</f>
        <v>24</v>
      </c>
      <c r="AD49" s="153">
        <f t="shared" si="84"/>
        <v>0.4</v>
      </c>
      <c r="AE49" s="151" t="s">
        <v>12</v>
      </c>
      <c r="AF49" s="2" t="str">
        <f t="shared" si="85"/>
        <v>Yes</v>
      </c>
      <c r="AG49" s="152" t="str">
        <f t="array" ref="AG49">ifna(xlookup(AE46, 'Week 3'!$A:$A, 'Week 3'!$B:$B), "")</f>
        <v>Loss</v>
      </c>
      <c r="AH49" s="152">
        <f t="array" ref="AH49">ifna(xlookup(AE46, 'Week 3'!$A:$A, 'Week 3'!$D:$D), "")</f>
        <v>10</v>
      </c>
      <c r="AI49" s="152">
        <f t="array" ref="AI49">ifna(xlookup(AE46, 'Week 3'!$A:$A, 'Week 3'!$G:$G), "")</f>
        <v>8</v>
      </c>
      <c r="AJ49" s="152">
        <f t="array" ref="AJ49">ifna(xlookup(AE46, 'Week 3'!$A:$A, 'Week 3'!$H:$H), "")</f>
        <v>0</v>
      </c>
      <c r="AK49" s="152">
        <f t="array" ref="AK49">ifna(xlookup(AE46, 'Week 3'!$A:$A, 'Week 3'!$E:$E), "")</f>
        <v>2</v>
      </c>
      <c r="AL49" s="152">
        <f t="array" ref="AL49">ifna(xlookup(AE46, 'Week 3'!$A:$A, 'Week 3'!$F:$F), "")</f>
        <v>0</v>
      </c>
      <c r="AM49" s="152">
        <f t="array" ref="AM49">ifna(xlookup(AE46, 'Week 3'!$A:$A, 'Week 3'!$I:$I), "")</f>
        <v>30</v>
      </c>
      <c r="AN49" s="153">
        <f t="shared" si="86"/>
        <v>0.25</v>
      </c>
      <c r="AO49" s="151" t="s">
        <v>12</v>
      </c>
      <c r="AP49" s="2" t="str">
        <f t="shared" si="87"/>
        <v>Yes</v>
      </c>
      <c r="AQ49" s="152" t="str">
        <f t="array" ref="AQ49">ifna(xlookup(AO46, 'Week 3'!$A:$A, 'Week 3'!$B:$B), "")</f>
        <v>Win</v>
      </c>
      <c r="AR49" s="152">
        <f t="array" ref="AR49">ifna(xlookup(AO46, 'Week 3'!$A:$A, 'Week 3'!$D:$D), "")</f>
        <v>15</v>
      </c>
      <c r="AS49" s="152">
        <f t="array" ref="AS49">ifna(xlookup(AO46, 'Week 3'!$A:$A, 'Week 3'!$G:$G), "")</f>
        <v>13</v>
      </c>
      <c r="AT49" s="152">
        <f t="array" ref="AT49">ifna(xlookup(AO46, 'Week 3'!$A:$A, 'Week 3'!$H:$H), "")</f>
        <v>1</v>
      </c>
      <c r="AU49" s="152">
        <f t="array" ref="AU49">ifna(xlookup(AO46, 'Week 3'!$A:$A, 'Week 3'!$E:$E), "")</f>
        <v>1</v>
      </c>
      <c r="AV49" s="152">
        <f t="array" ref="AV49">ifna(xlookup(AO46, 'Week 3'!$A:$A, 'Week 3'!$F:$F), "")</f>
        <v>0</v>
      </c>
      <c r="AW49" s="152">
        <f t="array" ref="AW49">ifna(xlookup(AO46, 'Week 3'!$A:$A, 'Week 3'!$I:$I), "")</f>
        <v>27</v>
      </c>
      <c r="AX49" s="153">
        <f t="shared" si="88"/>
        <v>0.3571428571</v>
      </c>
      <c r="AY49" s="151" t="s">
        <v>12</v>
      </c>
      <c r="AZ49" s="2" t="str">
        <f t="shared" si="89"/>
        <v/>
      </c>
      <c r="BA49" s="152" t="str">
        <f t="array" ref="BA49">ifna(xlookup(AY46, 'Week 3'!$A:$A, 'Week 3'!$B:$B), "")</f>
        <v>Loss</v>
      </c>
      <c r="BB49" s="152" t="str">
        <f t="array" ref="BB49">ifna(xlookup(AY46, 'Week 3'!$A:$A, 'Week 3'!$D:$D), "")</f>
        <v/>
      </c>
      <c r="BC49" s="152" t="str">
        <f t="array" ref="BC49">ifna(xlookup(AY46, 'Week 3'!$A:$A, 'Week 3'!$G:$G), "")</f>
        <v/>
      </c>
      <c r="BD49" s="152" t="str">
        <f t="array" ref="BD49">ifna(xlookup(AY46, 'Week 3'!$A:$A, 'Week 3'!$H:$H), "")</f>
        <v/>
      </c>
      <c r="BE49" s="152" t="str">
        <f t="array" ref="BE49">ifna(xlookup(AY46, 'Week 3'!$A:$A, 'Week 3'!$E:$E), "")</f>
        <v/>
      </c>
      <c r="BF49" s="152" t="str">
        <f t="array" ref="BF49">ifna(xlookup(AY46, 'Week 3'!$A:$A, 'Week 3'!$F:$F), "")</f>
        <v/>
      </c>
      <c r="BG49" s="152" t="str">
        <f t="array" ref="BG49">ifna(xlookup(AY46, 'Week 3'!$A:$A, 'Week 3'!$I:$I), "")</f>
        <v/>
      </c>
      <c r="BH49" s="153" t="str">
        <f t="shared" si="90"/>
        <v/>
      </c>
      <c r="BI49" s="8"/>
      <c r="BJ49" s="8"/>
      <c r="BK49" s="8"/>
      <c r="BL49" s="8"/>
    </row>
    <row r="50">
      <c r="A50" s="151" t="s">
        <v>17</v>
      </c>
      <c r="B50" s="2" t="str">
        <f t="shared" si="79"/>
        <v>Yes</v>
      </c>
      <c r="C50" s="152" t="str">
        <f t="array" ref="C50">ifna(xlookup(A46, 'Week 4'!$A:$A, 'Week 4'!$B:$B), "")</f>
        <v>Win</v>
      </c>
      <c r="D50" s="152">
        <f t="array" ref="D50">ifna(xlookup(A46, 'Week 4'!$A:$A, 'Week 4'!$D:$D), "")</f>
        <v>23</v>
      </c>
      <c r="E50" s="152">
        <f t="array" ref="E50">ifna(xlookup(A46, 'Week 4'!$A:$A, 'Week 4'!$G:$G), "")</f>
        <v>11</v>
      </c>
      <c r="F50" s="152">
        <f t="array" ref="F50">ifna(xlookup(A46, 'Week 4'!$A:$A, 'Week 4'!$H:$H), "")</f>
        <v>3</v>
      </c>
      <c r="G50" s="152">
        <f t="array" ref="G50">ifna(xlookup(A46, 'Week 4'!$A:$A, 'Week 4'!$E:$E), "")</f>
        <v>8</v>
      </c>
      <c r="H50" s="152">
        <f t="array" ref="H50">ifna(xlookup(A46, 'Week 4'!$A:$A, 'Week 4'!$F:$F), "")</f>
        <v>1</v>
      </c>
      <c r="I50" s="152">
        <f t="array" ref="I50">ifna(xlookup(A46, 'Week 4'!$A:$A, 'Week 4'!$I:$I), "")</f>
        <v>19</v>
      </c>
      <c r="J50" s="153">
        <f t="shared" si="80"/>
        <v>0.5476190476</v>
      </c>
      <c r="K50" s="151" t="s">
        <v>17</v>
      </c>
      <c r="L50" s="2" t="str">
        <f t="shared" si="81"/>
        <v>Yes</v>
      </c>
      <c r="M50" s="152" t="str">
        <f t="array" ref="M50">ifna(xlookup(K46, 'Week 4'!$A:$A, 'Week 4'!$B:$B), "")</f>
        <v>Loss</v>
      </c>
      <c r="N50" s="152">
        <f t="array" ref="N50">ifna(xlookup(K46, 'Week 4'!$A:$A, 'Week 4'!$D:$D), "")</f>
        <v>9</v>
      </c>
      <c r="O50" s="152">
        <f t="array" ref="O50">ifna(xlookup(K46, 'Week 4'!$A:$A, 'Week 4'!$G:$G), "")</f>
        <v>7</v>
      </c>
      <c r="P50" s="152">
        <f t="array" ref="P50">ifna(xlookup(K46, 'Week 4'!$A:$A, 'Week 4'!$H:$H), "")</f>
        <v>0</v>
      </c>
      <c r="Q50" s="152">
        <f t="array" ref="Q50">ifna(xlookup(K46, 'Week 4'!$A:$A, 'Week 4'!$E:$E), "")</f>
        <v>2</v>
      </c>
      <c r="R50" s="152">
        <f t="array" ref="R50">ifna(xlookup(K46, 'Week 4'!$A:$A, 'Week 4'!$F:$F), "")</f>
        <v>0</v>
      </c>
      <c r="S50" s="152">
        <f t="array" ref="S50">ifna(xlookup(K46, 'Week 4'!$A:$A, 'Week 4'!$I:$I), "")</f>
        <v>31</v>
      </c>
      <c r="T50" s="153">
        <f t="shared" si="82"/>
        <v>0.225</v>
      </c>
      <c r="U50" s="151" t="s">
        <v>17</v>
      </c>
      <c r="V50" s="2" t="str">
        <f t="shared" si="83"/>
        <v>Yes</v>
      </c>
      <c r="W50" s="152" t="str">
        <f t="array" ref="W50">ifna(xlookup(U46, 'Week 4'!$A:$A, 'Week 4'!$B:$B), "")</f>
        <v>Loss</v>
      </c>
      <c r="X50" s="152">
        <f t="array" ref="X50">ifna(xlookup(U46, 'Week 4'!$A:$A, 'Week 4'!$D:$D), "")</f>
        <v>15</v>
      </c>
      <c r="Y50" s="152">
        <f t="array" ref="Y50">ifna(xlookup(U46, 'Week 4'!$A:$A, 'Week 4'!$G:$G), "")</f>
        <v>3</v>
      </c>
      <c r="Z50" s="152">
        <f t="array" ref="Z50">ifna(xlookup(U46, 'Week 4'!$A:$A, 'Week 4'!$H:$H), "")</f>
        <v>0</v>
      </c>
      <c r="AA50" s="152">
        <f t="array" ref="AA50">ifna(xlookup(U46, 'Week 4'!$A:$A, 'Week 4'!$E:$E), "")</f>
        <v>11</v>
      </c>
      <c r="AB50" s="152">
        <f t="array" ref="AB50">ifna(xlookup(U46, 'Week 4'!$A:$A, 'Week 4'!$F:$F), "")</f>
        <v>1</v>
      </c>
      <c r="AC50" s="152">
        <f t="array" ref="AC50">ifna(xlookup(U46, 'Week 4'!$A:$A, 'Week 4'!$I:$I), "")</f>
        <v>22</v>
      </c>
      <c r="AD50" s="153">
        <f t="shared" si="84"/>
        <v>0.4054054054</v>
      </c>
      <c r="AE50" s="151" t="s">
        <v>17</v>
      </c>
      <c r="AF50" s="2" t="str">
        <f t="shared" si="85"/>
        <v>Yes</v>
      </c>
      <c r="AG50" s="152" t="str">
        <f t="array" ref="AG50">ifna(xlookup(AE46, 'Week 4'!$A:$A, 'Week 4'!$B:$B), "")</f>
        <v>Win</v>
      </c>
      <c r="AH50" s="152">
        <f t="array" ref="AH50">ifna(xlookup(AE46, 'Week 4'!$A:$A, 'Week 4'!$D:$D), "")</f>
        <v>21</v>
      </c>
      <c r="AI50" s="152">
        <f t="array" ref="AI50">ifna(xlookup(AE46, 'Week 4'!$A:$A, 'Week 4'!$G:$G), "")</f>
        <v>13</v>
      </c>
      <c r="AJ50" s="152">
        <f t="array" ref="AJ50">ifna(xlookup(AE46, 'Week 4'!$A:$A, 'Week 4'!$H:$H), "")</f>
        <v>0</v>
      </c>
      <c r="AK50" s="152">
        <f t="array" ref="AK50">ifna(xlookup(AE46, 'Week 4'!$A:$A, 'Week 4'!$E:$E), "")</f>
        <v>8</v>
      </c>
      <c r="AL50" s="152">
        <f t="array" ref="AL50">ifna(xlookup(AE46, 'Week 4'!$A:$A, 'Week 4'!$F:$F), "")</f>
        <v>0</v>
      </c>
      <c r="AM50" s="152">
        <f t="array" ref="AM50">ifna(xlookup(AE46, 'Week 4'!$A:$A, 'Week 4'!$I:$I), "")</f>
        <v>29</v>
      </c>
      <c r="AN50" s="153">
        <f t="shared" si="86"/>
        <v>0.42</v>
      </c>
      <c r="AO50" s="151" t="s">
        <v>17</v>
      </c>
      <c r="AP50" s="2" t="str">
        <f t="shared" si="87"/>
        <v>Yes</v>
      </c>
      <c r="AQ50" s="152" t="str">
        <f t="array" ref="AQ50">ifna(xlookup(AO46, 'Week 4'!$A:$A, 'Week 4'!$B:$B), "")</f>
        <v>Win</v>
      </c>
      <c r="AR50" s="152">
        <f t="array" ref="AR50">ifna(xlookup(AO46, 'Week 4'!$A:$A, 'Week 4'!$D:$D), "")</f>
        <v>12</v>
      </c>
      <c r="AS50" s="152">
        <f t="array" ref="AS50">ifna(xlookup(AO46, 'Week 4'!$A:$A, 'Week 4'!$G:$G), "")</f>
        <v>10</v>
      </c>
      <c r="AT50" s="152">
        <f t="array" ref="AT50">ifna(xlookup(AO46, 'Week 4'!$A:$A, 'Week 4'!$H:$H), "")</f>
        <v>0</v>
      </c>
      <c r="AU50" s="152">
        <f t="array" ref="AU50">ifna(xlookup(AO46, 'Week 4'!$A:$A, 'Week 4'!$E:$E), "")</f>
        <v>2</v>
      </c>
      <c r="AV50" s="152">
        <f t="array" ref="AV50">ifna(xlookup(AO46, 'Week 4'!$A:$A, 'Week 4'!$F:$F), "")</f>
        <v>0</v>
      </c>
      <c r="AW50" s="152">
        <f t="array" ref="AW50">ifna(xlookup(AO46, 'Week 4'!$A:$A, 'Week 4'!$I:$I), "")</f>
        <v>25</v>
      </c>
      <c r="AX50" s="153">
        <f t="shared" si="88"/>
        <v>0.3243243243</v>
      </c>
      <c r="AY50" s="151" t="s">
        <v>17</v>
      </c>
      <c r="AZ50" s="2" t="str">
        <f t="shared" si="89"/>
        <v>Yes</v>
      </c>
      <c r="BA50" s="152" t="str">
        <f t="array" ref="BA50">ifna(xlookup(AY46, 'Week 4'!$A:$A, 'Week 4'!$B:$B), "")</f>
        <v>Loss</v>
      </c>
      <c r="BB50" s="152">
        <f t="array" ref="BB50">ifna(xlookup(AY46, 'Week 4'!$A:$A, 'Week 4'!$D:$D), "")</f>
        <v>24</v>
      </c>
      <c r="BC50" s="152">
        <f t="array" ref="BC50">ifna(xlookup(AY46, 'Week 4'!$A:$A, 'Week 4'!$G:$G), "")</f>
        <v>5</v>
      </c>
      <c r="BD50" s="152">
        <f t="array" ref="BD50">ifna(xlookup(AY46, 'Week 4'!$A:$A, 'Week 4'!$H:$H), "")</f>
        <v>0</v>
      </c>
      <c r="BE50" s="152">
        <f t="array" ref="BE50">ifna(xlookup(AY46, 'Week 4'!$A:$A, 'Week 4'!$E:$E), "")</f>
        <v>15</v>
      </c>
      <c r="BF50" s="152">
        <f t="array" ref="BF50">ifna(xlookup(AY46, 'Week 4'!$A:$A, 'Week 4'!$F:$F), "")</f>
        <v>4</v>
      </c>
      <c r="BG50" s="152">
        <f t="array" ref="BG50">ifna(xlookup(AY46, 'Week 4'!$A:$A, 'Week 4'!$I:$I), "")</f>
        <v>23</v>
      </c>
      <c r="BH50" s="153">
        <f t="shared" si="90"/>
        <v>0.5106382979</v>
      </c>
      <c r="BI50" s="8"/>
      <c r="BJ50" s="8"/>
      <c r="BK50" s="8"/>
      <c r="BL50" s="8"/>
    </row>
    <row r="51">
      <c r="A51" s="151" t="s">
        <v>20</v>
      </c>
      <c r="B51" s="2" t="str">
        <f t="shared" si="79"/>
        <v>Yes</v>
      </c>
      <c r="C51" s="152" t="str">
        <f t="array" ref="C51">ifna(xlookup(A46, 'Week 5'!$A:$A, 'Week 5'!$B:$B), "")</f>
        <v>Loss</v>
      </c>
      <c r="D51" s="152">
        <f t="array" ref="D51">ifna(xlookup(A46, 'Week 5'!$A:$A, 'Week 5'!$D:$D), "")</f>
        <v>16</v>
      </c>
      <c r="E51" s="152">
        <f t="array" ref="E51">ifna(xlookup(A46, 'Week 5'!$A:$A, 'Week 5'!$G:$G), "")</f>
        <v>11</v>
      </c>
      <c r="F51" s="152">
        <f t="array" ref="F51">ifna(xlookup(A46, 'Week 5'!$A:$A, 'Week 5'!$H:$H), "")</f>
        <v>0</v>
      </c>
      <c r="G51" s="152">
        <f t="array" ref="G51">ifna(xlookup(A46, 'Week 5'!$A:$A, 'Week 5'!$E:$E), "")</f>
        <v>4</v>
      </c>
      <c r="H51" s="152">
        <f t="array" ref="H51">ifna(xlookup(A46, 'Week 5'!$A:$A, 'Week 5'!$F:$F), "")</f>
        <v>1</v>
      </c>
      <c r="I51" s="152">
        <f t="array" ref="I51">ifna(xlookup(A46, 'Week 5'!$A:$A, 'Week 5'!$I:$I), "")</f>
        <v>24</v>
      </c>
      <c r="J51" s="153">
        <f t="shared" si="80"/>
        <v>0.4</v>
      </c>
      <c r="K51" s="151" t="s">
        <v>20</v>
      </c>
      <c r="L51" s="2" t="str">
        <f t="shared" si="81"/>
        <v>Yes</v>
      </c>
      <c r="M51" s="152" t="str">
        <f t="array" ref="M51">ifna(xlookup(K46, 'Week 5'!$A:$A, 'Week 5'!$B:$B), "")</f>
        <v>Win</v>
      </c>
      <c r="N51" s="152">
        <f t="array" ref="N51">ifna(xlookup(K46, 'Week 5'!$A:$A, 'Week 5'!$D:$D), "")</f>
        <v>16</v>
      </c>
      <c r="O51" s="152">
        <f t="array" ref="O51">ifna(xlookup(K46, 'Week 5'!$A:$A, 'Week 5'!$G:$G), "")</f>
        <v>13</v>
      </c>
      <c r="P51" s="152">
        <f t="array" ref="P51">ifna(xlookup(K46, 'Week 5'!$A:$A, 'Week 5'!$H:$H), "")</f>
        <v>1</v>
      </c>
      <c r="Q51" s="152">
        <f t="array" ref="Q51">ifna(xlookup(K46, 'Week 5'!$A:$A, 'Week 5'!$E:$E), "")</f>
        <v>2</v>
      </c>
      <c r="R51" s="152">
        <f t="array" ref="R51">ifna(xlookup(K46, 'Week 5'!$A:$A, 'Week 5'!$F:$F), "")</f>
        <v>0</v>
      </c>
      <c r="S51" s="152">
        <f t="array" ref="S51">ifna(xlookup(K46, 'Week 5'!$A:$A, 'Week 5'!$I:$I), "")</f>
        <v>31</v>
      </c>
      <c r="T51" s="153">
        <f t="shared" si="82"/>
        <v>0.3404255319</v>
      </c>
      <c r="U51" s="151" t="s">
        <v>20</v>
      </c>
      <c r="V51" s="2" t="str">
        <f t="shared" si="83"/>
        <v/>
      </c>
      <c r="W51" s="152" t="str">
        <f t="array" ref="W51">ifna(xlookup(U46, 'Week 5'!$A:$A, 'Week 5'!$B:$B), "")</f>
        <v>Loss</v>
      </c>
      <c r="X51" s="152" t="str">
        <f t="array" ref="X51">ifna(xlookup(U46, 'Week 5'!$A:$A, 'Week 5'!$D:$D), "")</f>
        <v/>
      </c>
      <c r="Y51" s="152" t="str">
        <f t="array" ref="Y51">ifna(xlookup(U46, 'Week 5'!$A:$A, 'Week 5'!$G:$G), "")</f>
        <v/>
      </c>
      <c r="Z51" s="152" t="str">
        <f t="array" ref="Z51">ifna(xlookup(U46, 'Week 5'!$A:$A, 'Week 5'!$H:$H), "")</f>
        <v/>
      </c>
      <c r="AA51" s="152" t="str">
        <f t="array" ref="AA51">ifna(xlookup(U46, 'Week 5'!$A:$A, 'Week 5'!$E:$E), "")</f>
        <v/>
      </c>
      <c r="AB51" s="152" t="str">
        <f t="array" ref="AB51">ifna(xlookup(U46, 'Week 5'!$A:$A, 'Week 5'!$F:$F), "")</f>
        <v/>
      </c>
      <c r="AC51" s="152" t="str">
        <f t="array" ref="AC51">ifna(xlookup(U46, 'Week 5'!$A:$A, 'Week 5'!$I:$I), "")</f>
        <v/>
      </c>
      <c r="AD51" s="153" t="str">
        <f t="shared" si="84"/>
        <v/>
      </c>
      <c r="AE51" s="151" t="s">
        <v>20</v>
      </c>
      <c r="AF51" s="2" t="str">
        <f t="shared" si="85"/>
        <v>Yes</v>
      </c>
      <c r="AG51" s="152" t="str">
        <f t="array" ref="AG51">ifna(xlookup(AE46, 'Week 5'!$A:$A, 'Week 5'!$B:$B), "")</f>
        <v>Win</v>
      </c>
      <c r="AH51" s="152">
        <f t="array" ref="AH51">ifna(xlookup(AE46, 'Week 5'!$A:$A, 'Week 5'!$D:$D), "")</f>
        <v>15</v>
      </c>
      <c r="AI51" s="152">
        <f t="array" ref="AI51">ifna(xlookup(AE46, 'Week 5'!$A:$A, 'Week 5'!$G:$G), "")</f>
        <v>9</v>
      </c>
      <c r="AJ51" s="152">
        <f t="array" ref="AJ51">ifna(xlookup(AE46, 'Week 5'!$A:$A, 'Week 5'!$H:$H), "")</f>
        <v>2</v>
      </c>
      <c r="AK51" s="152">
        <f t="array" ref="AK51">ifna(xlookup(AE46, 'Week 5'!$A:$A, 'Week 5'!$E:$E), "")</f>
        <v>3</v>
      </c>
      <c r="AL51" s="152">
        <f t="array" ref="AL51">ifna(xlookup(AE46, 'Week 5'!$A:$A, 'Week 5'!$F:$F), "")</f>
        <v>1</v>
      </c>
      <c r="AM51" s="152">
        <f t="array" ref="AM51">ifna(xlookup(AE46, 'Week 5'!$A:$A, 'Week 5'!$I:$I), "")</f>
        <v>27</v>
      </c>
      <c r="AN51" s="153">
        <f t="shared" si="86"/>
        <v>0.3571428571</v>
      </c>
      <c r="AO51" s="151" t="s">
        <v>20</v>
      </c>
      <c r="AP51" s="2" t="str">
        <f t="shared" si="87"/>
        <v>Yes</v>
      </c>
      <c r="AQ51" s="152" t="str">
        <f t="array" ref="AQ51">ifna(xlookup(AO46, 'Week 5'!$A:$A, 'Week 5'!$B:$B), "")</f>
        <v>Win</v>
      </c>
      <c r="AR51" s="152">
        <f t="array" ref="AR51">ifna(xlookup(AO46, 'Week 5'!$A:$A, 'Week 5'!$D:$D), "")</f>
        <v>20</v>
      </c>
      <c r="AS51" s="152">
        <f t="array" ref="AS51">ifna(xlookup(AO46, 'Week 5'!$A:$A, 'Week 5'!$G:$G), "")</f>
        <v>13</v>
      </c>
      <c r="AT51" s="152">
        <f t="array" ref="AT51">ifna(xlookup(AO46, 'Week 5'!$A:$A, 'Week 5'!$H:$H), "")</f>
        <v>4</v>
      </c>
      <c r="AU51" s="152">
        <f t="array" ref="AU51">ifna(xlookup(AO46, 'Week 5'!$A:$A, 'Week 5'!$E:$E), "")</f>
        <v>3</v>
      </c>
      <c r="AV51" s="152">
        <f t="array" ref="AV51">ifna(xlookup(AO46, 'Week 5'!$A:$A, 'Week 5'!$F:$F), "")</f>
        <v>0</v>
      </c>
      <c r="AW51" s="152">
        <f t="array" ref="AW51">ifna(xlookup(AO46, 'Week 5'!$A:$A, 'Week 5'!$I:$I), "")</f>
        <v>20</v>
      </c>
      <c r="AX51" s="153">
        <f t="shared" si="88"/>
        <v>0.5</v>
      </c>
      <c r="AY51" s="151" t="s">
        <v>20</v>
      </c>
      <c r="AZ51" s="2" t="str">
        <f t="shared" si="89"/>
        <v>Yes</v>
      </c>
      <c r="BA51" s="152" t="str">
        <f t="array" ref="BA51">ifna(xlookup(AY46, 'Week 5'!$A:$A, 'Week 5'!$B:$B), "")</f>
        <v>Loss</v>
      </c>
      <c r="BB51" s="152">
        <f t="array" ref="BB51">ifna(xlookup(AY46, 'Week 5'!$A:$A, 'Week 5'!$D:$D), "")</f>
        <v>19</v>
      </c>
      <c r="BC51" s="152">
        <f t="array" ref="BC51">ifna(xlookup(AY46, 'Week 5'!$A:$A, 'Week 5'!$G:$G), "")</f>
        <v>3</v>
      </c>
      <c r="BD51" s="152">
        <f t="array" ref="BD51">ifna(xlookup(AY46, 'Week 5'!$A:$A, 'Week 5'!$H:$H), "")</f>
        <v>0</v>
      </c>
      <c r="BE51" s="152">
        <f t="array" ref="BE51">ifna(xlookup(AY46, 'Week 5'!$A:$A, 'Week 5'!$E:$E), "")</f>
        <v>15</v>
      </c>
      <c r="BF51" s="152">
        <f t="array" ref="BF51">ifna(xlookup(AY46, 'Week 5'!$A:$A, 'Week 5'!$F:$F), "")</f>
        <v>1</v>
      </c>
      <c r="BG51" s="152">
        <f t="array" ref="BG51">ifna(xlookup(AY46, 'Week 5'!$A:$A, 'Week 5'!$I:$I), "")</f>
        <v>32</v>
      </c>
      <c r="BH51" s="153">
        <f t="shared" si="90"/>
        <v>0.3725490196</v>
      </c>
      <c r="BI51" s="8"/>
      <c r="BJ51" s="8"/>
      <c r="BK51" s="8"/>
      <c r="BL51" s="8"/>
    </row>
    <row r="52">
      <c r="A52" s="151" t="s">
        <v>23</v>
      </c>
      <c r="B52" s="2" t="str">
        <f t="shared" si="79"/>
        <v>Yes</v>
      </c>
      <c r="C52" s="152" t="str">
        <f t="array" ref="C52">ifna(xlookup(A46, 'Week 6'!$A:$A, 'Week 6'!$B:$B), "")</f>
        <v>Win</v>
      </c>
      <c r="D52" s="152">
        <f t="array" ref="D52">ifna(xlookup(A46, 'Week 6'!$A:$A, 'Week 6'!$D:$D), "")</f>
        <v>21</v>
      </c>
      <c r="E52" s="152">
        <f t="array" ref="E52">ifna(xlookup(A46, 'Week 6'!$A:$A, 'Week 6'!$G:$G), "")</f>
        <v>7</v>
      </c>
      <c r="F52" s="152">
        <f t="array" ref="F52">ifna(xlookup(A46, 'Week 6'!$A:$A, 'Week 6'!$H:$H), "")</f>
        <v>1</v>
      </c>
      <c r="G52" s="152">
        <f t="array" ref="G52">ifna(xlookup(A46, 'Week 6'!$A:$A, 'Week 6'!$E:$E), "")</f>
        <v>12</v>
      </c>
      <c r="H52" s="152">
        <f t="array" ref="H52">ifna(xlookup(A46, 'Week 6'!$A:$A, 'Week 6'!$F:$F), "")</f>
        <v>1</v>
      </c>
      <c r="I52" s="152">
        <f t="array" ref="I52">ifna(xlookup(A46, 'Week 6'!$A:$A, 'Week 6'!$I:$I), "")</f>
        <v>25</v>
      </c>
      <c r="J52" s="153">
        <f t="shared" si="80"/>
        <v>0.4565217391</v>
      </c>
      <c r="K52" s="151" t="s">
        <v>23</v>
      </c>
      <c r="L52" s="2" t="str">
        <f t="shared" si="81"/>
        <v/>
      </c>
      <c r="M52" s="152" t="str">
        <f t="array" ref="M52">ifna(xlookup(K46, 'Week 6'!$A:$A, 'Week 6'!$B:$B), "")</f>
        <v>Loss</v>
      </c>
      <c r="N52" s="152" t="str">
        <f t="array" ref="N52">ifna(xlookup(K46, 'Week 6'!$A:$A, 'Week 6'!$D:$D), "")</f>
        <v/>
      </c>
      <c r="O52" s="152" t="str">
        <f t="array" ref="O52">ifna(xlookup(K46, 'Week 6'!$A:$A, 'Week 6'!$G:$G), "")</f>
        <v/>
      </c>
      <c r="P52" s="152" t="str">
        <f t="array" ref="P52">ifna(xlookup(K46, 'Week 6'!$A:$A, 'Week 6'!$H:$H), "")</f>
        <v/>
      </c>
      <c r="Q52" s="152" t="str">
        <f t="array" ref="Q52">ifna(xlookup(K46, 'Week 6'!$A:$A, 'Week 6'!$E:$E), "")</f>
        <v/>
      </c>
      <c r="R52" s="152" t="str">
        <f t="array" ref="R52">ifna(xlookup(K46, 'Week 6'!$A:$A, 'Week 6'!$F:$F), "")</f>
        <v/>
      </c>
      <c r="S52" s="152" t="str">
        <f t="array" ref="S52">ifna(xlookup(K46, 'Week 6'!$A:$A, 'Week 6'!$I:$I), "")</f>
        <v/>
      </c>
      <c r="T52" s="153" t="str">
        <f t="shared" si="82"/>
        <v/>
      </c>
      <c r="U52" s="151" t="s">
        <v>23</v>
      </c>
      <c r="V52" s="2" t="str">
        <f t="shared" si="83"/>
        <v/>
      </c>
      <c r="W52" s="152" t="str">
        <f t="array" ref="W52">ifna(xlookup(U46, 'Week 6'!$A:$A, 'Week 6'!$B:$B), "")</f>
        <v>Loss</v>
      </c>
      <c r="X52" s="152" t="str">
        <f t="array" ref="X52">ifna(xlookup(U46, 'Week 6'!$A:$A, 'Week 6'!$D:$D), "")</f>
        <v/>
      </c>
      <c r="Y52" s="152" t="str">
        <f t="array" ref="Y52">ifna(xlookup(U46, 'Week 6'!$A:$A, 'Week 6'!$G:$G), "")</f>
        <v/>
      </c>
      <c r="Z52" s="152" t="str">
        <f t="array" ref="Z52">ifna(xlookup(U46, 'Week 6'!$A:$A, 'Week 6'!$H:$H), "")</f>
        <v/>
      </c>
      <c r="AA52" s="152" t="str">
        <f t="array" ref="AA52">ifna(xlookup(U46, 'Week 6'!$A:$A, 'Week 6'!$E:$E), "")</f>
        <v/>
      </c>
      <c r="AB52" s="152" t="str">
        <f t="array" ref="AB52">ifna(xlookup(U46, 'Week 6'!$A:$A, 'Week 6'!$F:$F), "")</f>
        <v/>
      </c>
      <c r="AC52" s="152" t="str">
        <f t="array" ref="AC52">ifna(xlookup(U46, 'Week 6'!$A:$A, 'Week 6'!$I:$I), "")</f>
        <v/>
      </c>
      <c r="AD52" s="153" t="str">
        <f t="shared" si="84"/>
        <v/>
      </c>
      <c r="AE52" s="151" t="s">
        <v>23</v>
      </c>
      <c r="AF52" s="2" t="str">
        <f t="shared" si="85"/>
        <v>Yes</v>
      </c>
      <c r="AG52" s="152" t="str">
        <f t="array" ref="AG52">ifna(xlookup(AE46, 'Week 6'!$A:$A, 'Week 6'!$B:$B), "")</f>
        <v>Win</v>
      </c>
      <c r="AH52" s="152">
        <f t="array" ref="AH52">ifna(xlookup(AE46, 'Week 6'!$A:$A, 'Week 6'!$D:$D), "")</f>
        <v>20</v>
      </c>
      <c r="AI52" s="152">
        <f t="array" ref="AI52">ifna(xlookup(AE46, 'Week 6'!$A:$A, 'Week 6'!$G:$G), "")</f>
        <v>17</v>
      </c>
      <c r="AJ52" s="152">
        <f t="array" ref="AJ52">ifna(xlookup(AE46, 'Week 6'!$A:$A, 'Week 6'!$H:$H), "")</f>
        <v>1</v>
      </c>
      <c r="AK52" s="152">
        <f t="array" ref="AK52">ifna(xlookup(AE46, 'Week 6'!$A:$A, 'Week 6'!$E:$E), "")</f>
        <v>2</v>
      </c>
      <c r="AL52" s="152">
        <f t="array" ref="AL52">ifna(xlookup(AE46, 'Week 6'!$A:$A, 'Week 6'!$F:$F), "")</f>
        <v>0</v>
      </c>
      <c r="AM52" s="152">
        <f t="array" ref="AM52">ifna(xlookup(AE46, 'Week 6'!$A:$A, 'Week 6'!$I:$I), "")</f>
        <v>23</v>
      </c>
      <c r="AN52" s="153">
        <f t="shared" si="86"/>
        <v>0.4651162791</v>
      </c>
      <c r="AO52" s="151" t="s">
        <v>23</v>
      </c>
      <c r="AP52" s="2" t="str">
        <f t="shared" si="87"/>
        <v>Yes</v>
      </c>
      <c r="AQ52" s="152" t="str">
        <f t="array" ref="AQ52">ifna(xlookup(AO46, 'Week 6'!$A:$A, 'Week 6'!$B:$B), "")</f>
        <v>Win</v>
      </c>
      <c r="AR52" s="152">
        <f t="array" ref="AR52">ifna(xlookup(AO46, 'Week 6'!$A:$A, 'Week 6'!$D:$D), "")</f>
        <v>16</v>
      </c>
      <c r="AS52" s="152">
        <f t="array" ref="AS52">ifna(xlookup(AO46, 'Week 6'!$A:$A, 'Week 6'!$G:$G), "")</f>
        <v>8</v>
      </c>
      <c r="AT52" s="152">
        <f t="array" ref="AT52">ifna(xlookup(AO46, 'Week 6'!$A:$A, 'Week 6'!$H:$H), "")</f>
        <v>0</v>
      </c>
      <c r="AU52" s="152">
        <f t="array" ref="AU52">ifna(xlookup(AO46, 'Week 6'!$A:$A, 'Week 6'!$E:$E), "")</f>
        <v>7</v>
      </c>
      <c r="AV52" s="152">
        <f t="array" ref="AV52">ifna(xlookup(AO46, 'Week 6'!$A:$A, 'Week 6'!$F:$F), "")</f>
        <v>1</v>
      </c>
      <c r="AW52" s="152">
        <f t="array" ref="AW52">ifna(xlookup(AO46, 'Week 6'!$A:$A, 'Week 6'!$I:$I), "")</f>
        <v>22</v>
      </c>
      <c r="AX52" s="153">
        <f t="shared" si="88"/>
        <v>0.4210526316</v>
      </c>
      <c r="AY52" s="151" t="s">
        <v>23</v>
      </c>
      <c r="AZ52" s="2" t="str">
        <f t="shared" si="89"/>
        <v>Yes</v>
      </c>
      <c r="BA52" s="152" t="str">
        <f t="array" ref="BA52">ifna(xlookup(AY46, 'Week 6'!$A:$A, 'Week 6'!$B:$B), "")</f>
        <v>Win</v>
      </c>
      <c r="BB52" s="152">
        <f t="array" ref="BB52">ifna(xlookup(AY46, 'Week 6'!$A:$A, 'Week 6'!$D:$D), "")</f>
        <v>15</v>
      </c>
      <c r="BC52" s="152">
        <f t="array" ref="BC52">ifna(xlookup(AY46, 'Week 6'!$A:$A, 'Week 6'!$G:$G), "")</f>
        <v>4</v>
      </c>
      <c r="BD52" s="152">
        <f t="array" ref="BD52">ifna(xlookup(AY46, 'Week 6'!$A:$A, 'Week 6'!$H:$H), "")</f>
        <v>1</v>
      </c>
      <c r="BE52" s="152">
        <f t="array" ref="BE52">ifna(xlookup(AY46, 'Week 6'!$A:$A, 'Week 6'!$E:$E), "")</f>
        <v>9</v>
      </c>
      <c r="BF52" s="152">
        <f t="array" ref="BF52">ifna(xlookup(AY46, 'Week 6'!$A:$A, 'Week 6'!$F:$F), "")</f>
        <v>1</v>
      </c>
      <c r="BG52" s="152">
        <f t="array" ref="BG52">ifna(xlookup(AY46, 'Week 6'!$A:$A, 'Week 6'!$I:$I), "")</f>
        <v>25</v>
      </c>
      <c r="BH52" s="153">
        <f t="shared" si="90"/>
        <v>0.375</v>
      </c>
      <c r="BI52" s="8"/>
      <c r="BJ52" s="8"/>
      <c r="BK52" s="8"/>
      <c r="BL52" s="8"/>
    </row>
    <row r="53">
      <c r="A53" s="151" t="s">
        <v>41</v>
      </c>
      <c r="B53" s="2" t="str">
        <f t="shared" si="79"/>
        <v>Yes</v>
      </c>
      <c r="C53" s="152" t="str">
        <f t="array" ref="C53">ifna(xlookup(A46, 'Week 7'!$A:$A, 'Week 7'!$B:$B), "")</f>
        <v>Win</v>
      </c>
      <c r="D53" s="152">
        <f t="array" ref="D53">ifna(xlookup(A46, 'Week 7'!$A:$A, 'Week 7'!$D:$D), "")</f>
        <v>13</v>
      </c>
      <c r="E53" s="152">
        <f t="array" ref="E53">ifna(xlookup(A46, 'Week 7'!$A:$A, 'Week 7'!$G:$G), "")</f>
        <v>9</v>
      </c>
      <c r="F53" s="152">
        <f t="array" ref="F53">ifna(xlookup(A46, 'Week 7'!$A:$A, 'Week 7'!$H:$H), "")</f>
        <v>0</v>
      </c>
      <c r="G53" s="152">
        <f t="array" ref="G53">ifna(xlookup(A46, 'Week 7'!$A:$A, 'Week 7'!$E:$E), "")</f>
        <v>4</v>
      </c>
      <c r="H53" s="152">
        <f t="array" ref="H53">ifna(xlookup(A46, 'Week 7'!$A:$A, 'Week 7'!$F:$F), "")</f>
        <v>0</v>
      </c>
      <c r="I53" s="152">
        <f t="array" ref="I53">ifna(xlookup(A46, 'Week 7'!$A:$A, 'Week 7'!$I:$I), "")</f>
        <v>29</v>
      </c>
      <c r="J53" s="153">
        <f t="shared" si="80"/>
        <v>0.3095238095</v>
      </c>
      <c r="K53" s="151" t="s">
        <v>41</v>
      </c>
      <c r="L53" s="2" t="str">
        <f t="shared" si="81"/>
        <v/>
      </c>
      <c r="M53" s="152" t="str">
        <f t="array" ref="M53">ifna(xlookup(K46, 'Week 7'!$A:$A, 'Week 7'!$B:$B), "")</f>
        <v>Win</v>
      </c>
      <c r="N53" s="152" t="str">
        <f t="array" ref="N53">ifna(xlookup(K46, 'Week 7'!$A:$A, 'Week 7'!$D:$D), "")</f>
        <v/>
      </c>
      <c r="O53" s="152" t="str">
        <f t="array" ref="O53">ifna(xlookup(K46, 'Week 7'!$A:$A, 'Week 7'!$G:$G), "")</f>
        <v/>
      </c>
      <c r="P53" s="152" t="str">
        <f t="array" ref="P53">ifna(xlookup(K46, 'Week 7'!$A:$A, 'Week 7'!$H:$H), "")</f>
        <v/>
      </c>
      <c r="Q53" s="152" t="str">
        <f t="array" ref="Q53">ifna(xlookup(K46, 'Week 7'!$A:$A, 'Week 7'!$E:$E), "")</f>
        <v/>
      </c>
      <c r="R53" s="152" t="str">
        <f t="array" ref="R53">ifna(xlookup(K46, 'Week 7'!$A:$A, 'Week 7'!$F:$F), "")</f>
        <v/>
      </c>
      <c r="S53" s="152" t="str">
        <f t="array" ref="S53">ifna(xlookup(K46, 'Week 7'!$A:$A, 'Week 7'!$I:$I), "")</f>
        <v/>
      </c>
      <c r="T53" s="153" t="str">
        <f t="shared" si="82"/>
        <v/>
      </c>
      <c r="U53" s="151" t="s">
        <v>41</v>
      </c>
      <c r="V53" s="2" t="str">
        <f t="shared" si="83"/>
        <v>Yes</v>
      </c>
      <c r="W53" s="152" t="str">
        <f t="array" ref="W53">ifna(xlookup(U46, 'Week 7'!$A:$A, 'Week 7'!$B:$B), "")</f>
        <v>Loss</v>
      </c>
      <c r="X53" s="152">
        <f t="array" ref="X53">ifna(xlookup(U46, 'Week 7'!$A:$A, 'Week 7'!$D:$D), "")</f>
        <v>13</v>
      </c>
      <c r="Y53" s="152">
        <f t="array" ref="Y53">ifna(xlookup(U46, 'Week 7'!$A:$A, 'Week 7'!$G:$G), "")</f>
        <v>1</v>
      </c>
      <c r="Z53" s="152">
        <f t="array" ref="Z53">ifna(xlookup(U46, 'Week 7'!$A:$A, 'Week 7'!$H:$H), "")</f>
        <v>0</v>
      </c>
      <c r="AA53" s="152">
        <f t="array" ref="AA53">ifna(xlookup(U46, 'Week 7'!$A:$A, 'Week 7'!$E:$E), "")</f>
        <v>11</v>
      </c>
      <c r="AB53" s="152">
        <f t="array" ref="AB53">ifna(xlookup(U46, 'Week 7'!$A:$A, 'Week 7'!$F:$F), "")</f>
        <v>1</v>
      </c>
      <c r="AC53" s="152">
        <f t="array" ref="AC53">ifna(xlookup(U46, 'Week 7'!$A:$A, 'Week 7'!$I:$I), "")</f>
        <v>22</v>
      </c>
      <c r="AD53" s="153">
        <f t="shared" si="84"/>
        <v>0.3714285714</v>
      </c>
      <c r="AE53" s="151" t="s">
        <v>41</v>
      </c>
      <c r="AF53" s="2" t="str">
        <f t="shared" si="85"/>
        <v>Yes</v>
      </c>
      <c r="AG53" s="152" t="str">
        <f t="array" ref="AG53">ifna(xlookup(AE46, 'Week 7'!$A:$A, 'Week 7'!$B:$B), "")</f>
        <v>Loss</v>
      </c>
      <c r="AH53" s="152">
        <f t="array" ref="AH53">ifna(xlookup(AE46, 'Week 7'!$A:$A, 'Week 7'!$D:$D), "")</f>
        <v>18</v>
      </c>
      <c r="AI53" s="152">
        <f t="array" ref="AI53">ifna(xlookup(AE46, 'Week 7'!$A:$A, 'Week 7'!$G:$G), "")</f>
        <v>16</v>
      </c>
      <c r="AJ53" s="152">
        <f t="array" ref="AJ53">ifna(xlookup(AE46, 'Week 7'!$A:$A, 'Week 7'!$H:$H), "")</f>
        <v>2</v>
      </c>
      <c r="AK53" s="152">
        <f t="array" ref="AK53">ifna(xlookup(AE46, 'Week 7'!$A:$A, 'Week 7'!$E:$E), "")</f>
        <v>0</v>
      </c>
      <c r="AL53" s="152">
        <f t="array" ref="AL53">ifna(xlookup(AE46, 'Week 7'!$A:$A, 'Week 7'!$F:$F), "")</f>
        <v>0</v>
      </c>
      <c r="AM53" s="152">
        <f t="array" ref="AM53">ifna(xlookup(AE46, 'Week 7'!$A:$A, 'Week 7'!$I:$I), "")</f>
        <v>30</v>
      </c>
      <c r="AN53" s="153">
        <f t="shared" si="86"/>
        <v>0.375</v>
      </c>
      <c r="AO53" s="151" t="s">
        <v>41</v>
      </c>
      <c r="AP53" s="2" t="str">
        <f t="shared" si="87"/>
        <v>Yes</v>
      </c>
      <c r="AQ53" s="152" t="str">
        <f t="array" ref="AQ53">ifna(xlookup(AO46, 'Week 7'!$A:$A, 'Week 7'!$B:$B), "")</f>
        <v>Win</v>
      </c>
      <c r="AR53" s="152">
        <f t="array" ref="AR53">ifna(xlookup(AO46, 'Week 7'!$A:$A, 'Week 7'!$D:$D), "")</f>
        <v>17</v>
      </c>
      <c r="AS53" s="152">
        <f t="array" ref="AS53">ifna(xlookup(AO46, 'Week 7'!$A:$A, 'Week 7'!$G:$G), "")</f>
        <v>10</v>
      </c>
      <c r="AT53" s="152">
        <f t="array" ref="AT53">ifna(xlookup(AO46, 'Week 7'!$A:$A, 'Week 7'!$H:$H), "")</f>
        <v>0</v>
      </c>
      <c r="AU53" s="152">
        <f t="array" ref="AU53">ifna(xlookup(AO46, 'Week 7'!$A:$A, 'Week 7'!$E:$E), "")</f>
        <v>7</v>
      </c>
      <c r="AV53" s="152">
        <f t="array" ref="AV53">ifna(xlookup(AO46, 'Week 7'!$A:$A, 'Week 7'!$F:$F), "")</f>
        <v>0</v>
      </c>
      <c r="AW53" s="152">
        <f t="array" ref="AW53">ifna(xlookup(AO46, 'Week 7'!$A:$A, 'Week 7'!$I:$I), "")</f>
        <v>30</v>
      </c>
      <c r="AX53" s="153">
        <f t="shared" si="88"/>
        <v>0.3617021277</v>
      </c>
      <c r="AY53" s="151" t="s">
        <v>41</v>
      </c>
      <c r="AZ53" s="2" t="str">
        <f t="shared" si="89"/>
        <v>Yes</v>
      </c>
      <c r="BA53" s="152" t="str">
        <f t="array" ref="BA53">ifna(xlookup(AY46, 'Week 7'!$A:$A, 'Week 7'!$B:$B), "")</f>
        <v>Loss</v>
      </c>
      <c r="BB53" s="152">
        <f t="array" ref="BB53">ifna(xlookup(AY46, 'Week 7'!$A:$A, 'Week 7'!$D:$D), "")</f>
        <v>15</v>
      </c>
      <c r="BC53" s="152">
        <f t="array" ref="BC53">ifna(xlookup(AY46, 'Week 7'!$A:$A, 'Week 7'!$G:$G), "")</f>
        <v>2</v>
      </c>
      <c r="BD53" s="152">
        <f t="array" ref="BD53">ifna(xlookup(AY46, 'Week 7'!$A:$A, 'Week 7'!$H:$H), "")</f>
        <v>1</v>
      </c>
      <c r="BE53" s="152">
        <f t="array" ref="BE53">ifna(xlookup(AY46, 'Week 7'!$A:$A, 'Week 7'!$E:$E), "")</f>
        <v>11</v>
      </c>
      <c r="BF53" s="152">
        <f t="array" ref="BF53">ifna(xlookup(AY46, 'Week 7'!$A:$A, 'Week 7'!$F:$F), "")</f>
        <v>1</v>
      </c>
      <c r="BG53" s="152">
        <f t="array" ref="BG53">ifna(xlookup(AY46, 'Week 7'!$A:$A, 'Week 7'!$I:$I), "")</f>
        <v>28</v>
      </c>
      <c r="BH53" s="153">
        <f t="shared" si="90"/>
        <v>0.3488372093</v>
      </c>
      <c r="BI53" s="8"/>
      <c r="BJ53" s="8"/>
      <c r="BK53" s="8"/>
      <c r="BL53" s="8"/>
    </row>
    <row r="54">
      <c r="A54" s="151" t="s">
        <v>181</v>
      </c>
      <c r="B54" s="2"/>
      <c r="C54" s="2"/>
      <c r="D54" s="2"/>
      <c r="E54" s="2"/>
      <c r="F54" s="2"/>
      <c r="G54" s="2"/>
      <c r="H54" s="2"/>
      <c r="I54" s="2"/>
      <c r="J54" s="153"/>
      <c r="K54" s="151" t="s">
        <v>181</v>
      </c>
      <c r="L54" s="2"/>
      <c r="M54" s="2"/>
      <c r="N54" s="2"/>
      <c r="O54" s="2"/>
      <c r="P54" s="2"/>
      <c r="Q54" s="2"/>
      <c r="R54" s="2"/>
      <c r="S54" s="2"/>
      <c r="T54" s="153"/>
      <c r="U54" s="151" t="s">
        <v>181</v>
      </c>
      <c r="V54" s="2"/>
      <c r="W54" s="2"/>
      <c r="X54" s="2"/>
      <c r="Y54" s="2"/>
      <c r="Z54" s="2"/>
      <c r="AA54" s="2"/>
      <c r="AB54" s="2"/>
      <c r="AC54" s="2"/>
      <c r="AD54" s="153"/>
      <c r="AE54" s="151" t="s">
        <v>181</v>
      </c>
      <c r="AF54" s="2"/>
      <c r="AG54" s="2"/>
      <c r="AH54" s="2"/>
      <c r="AI54" s="2"/>
      <c r="AJ54" s="2"/>
      <c r="AK54" s="2"/>
      <c r="AL54" s="2"/>
      <c r="AM54" s="2"/>
      <c r="AN54" s="153"/>
      <c r="AO54" s="151" t="s">
        <v>181</v>
      </c>
      <c r="AP54" s="2"/>
      <c r="AQ54" s="2"/>
      <c r="AR54" s="2"/>
      <c r="AS54" s="2"/>
      <c r="AT54" s="2"/>
      <c r="AU54" s="2"/>
      <c r="AV54" s="2"/>
      <c r="AW54" s="2"/>
      <c r="AX54" s="153"/>
      <c r="AY54" s="151" t="s">
        <v>181</v>
      </c>
      <c r="AZ54" s="2"/>
      <c r="BA54" s="2"/>
      <c r="BB54" s="2"/>
      <c r="BC54" s="2"/>
      <c r="BD54" s="2"/>
      <c r="BE54" s="2"/>
      <c r="BF54" s="2"/>
      <c r="BG54" s="2"/>
      <c r="BH54" s="153"/>
      <c r="BI54" s="8"/>
      <c r="BJ54" s="8"/>
      <c r="BK54" s="8"/>
      <c r="BL54" s="8"/>
    </row>
    <row r="55">
      <c r="A55" s="151" t="s">
        <v>182</v>
      </c>
      <c r="B55" s="2"/>
      <c r="C55" s="2"/>
      <c r="D55" s="2"/>
      <c r="E55" s="2"/>
      <c r="F55" s="2"/>
      <c r="G55" s="2"/>
      <c r="H55" s="2"/>
      <c r="I55" s="2"/>
      <c r="J55" s="153"/>
      <c r="K55" s="151" t="s">
        <v>182</v>
      </c>
      <c r="L55" s="2"/>
      <c r="M55" s="2"/>
      <c r="N55" s="2"/>
      <c r="O55" s="2"/>
      <c r="P55" s="2"/>
      <c r="Q55" s="2"/>
      <c r="R55" s="2"/>
      <c r="S55" s="2"/>
      <c r="T55" s="153"/>
      <c r="U55" s="151" t="s">
        <v>182</v>
      </c>
      <c r="V55" s="2"/>
      <c r="W55" s="2"/>
      <c r="X55" s="2"/>
      <c r="Y55" s="2"/>
      <c r="Z55" s="2"/>
      <c r="AA55" s="2"/>
      <c r="AB55" s="2"/>
      <c r="AC55" s="2"/>
      <c r="AD55" s="153"/>
      <c r="AE55" s="151" t="s">
        <v>182</v>
      </c>
      <c r="AF55" s="2"/>
      <c r="AG55" s="2"/>
      <c r="AH55" s="2"/>
      <c r="AI55" s="2"/>
      <c r="AJ55" s="2"/>
      <c r="AK55" s="2"/>
      <c r="AL55" s="2"/>
      <c r="AM55" s="2"/>
      <c r="AN55" s="153"/>
      <c r="AO55" s="151" t="s">
        <v>182</v>
      </c>
      <c r="AP55" s="2"/>
      <c r="AQ55" s="2"/>
      <c r="AR55" s="2"/>
      <c r="AS55" s="2"/>
      <c r="AT55" s="2"/>
      <c r="AU55" s="2"/>
      <c r="AV55" s="2"/>
      <c r="AW55" s="2"/>
      <c r="AX55" s="153"/>
      <c r="AY55" s="151" t="s">
        <v>182</v>
      </c>
      <c r="AZ55" s="2"/>
      <c r="BA55" s="2"/>
      <c r="BB55" s="2"/>
      <c r="BC55" s="2"/>
      <c r="BD55" s="2"/>
      <c r="BE55" s="2"/>
      <c r="BF55" s="2"/>
      <c r="BG55" s="2"/>
      <c r="BH55" s="153"/>
      <c r="BI55" s="8"/>
      <c r="BJ55" s="8"/>
      <c r="BK55" s="8"/>
      <c r="BL55" s="8"/>
    </row>
    <row r="56">
      <c r="A56" s="5" t="s">
        <v>183</v>
      </c>
      <c r="B56" s="154">
        <f>countif(B47:B55, "Yes")</f>
        <v>7</v>
      </c>
      <c r="C56" s="155">
        <f>IFERROR( COUNTIFS(B47:B53,"Yes", C47:C53,"Win") / COUNTIF(B47:B53,"Yes"), "")</f>
        <v>0.4285714286</v>
      </c>
      <c r="D56" s="156">
        <f>if(B56&gt;0, average(D47:D55), "")</f>
        <v>17.85714286</v>
      </c>
      <c r="E56" s="156">
        <f>if(B56&gt;0, average(E47:E55), "")</f>
        <v>10.71428571</v>
      </c>
      <c r="F56" s="156">
        <f>if(B56&gt;0, average(F47:F55), "")</f>
        <v>0.7142857143</v>
      </c>
      <c r="G56" s="156">
        <f>if(B56&gt;0, average(G47:G55), "")</f>
        <v>5.857142857</v>
      </c>
      <c r="H56" s="156">
        <f>if(B56&gt;0, average(H47:H55), "")</f>
        <v>0.5714285714</v>
      </c>
      <c r="I56" s="156">
        <f>if(B56&gt;0, average(I47:I55), "")</f>
        <v>26.14285714</v>
      </c>
      <c r="J56" s="157">
        <f>if(B56&gt;0, D56/(I56+D56), "")</f>
        <v>0.4058441558</v>
      </c>
      <c r="K56" s="5" t="s">
        <v>183</v>
      </c>
      <c r="L56" s="154">
        <f>countif(L47:L55, "Yes")</f>
        <v>5</v>
      </c>
      <c r="M56" s="155">
        <f>IFERROR( COUNTIFS(L47:L53,"Yes", M47:M53,"Win") / COUNTIF(L47:L53,"Yes"), "")</f>
        <v>0.4</v>
      </c>
      <c r="N56" s="156">
        <f>if(L56&gt;0, average(N47:N55), "")</f>
        <v>11.8</v>
      </c>
      <c r="O56" s="156">
        <f>if(L56&gt;0, average(O47:O55), "")</f>
        <v>9.8</v>
      </c>
      <c r="P56" s="156">
        <f>if(L56&gt;0, average(P47:P55), "")</f>
        <v>0.2</v>
      </c>
      <c r="Q56" s="156">
        <f>if(L56&gt;0, average(Q47:Q55), "")</f>
        <v>1.6</v>
      </c>
      <c r="R56" s="156">
        <f>if(L56&gt;0, average(R47:R55), "")</f>
        <v>0.2</v>
      </c>
      <c r="S56" s="156">
        <f>if(L56&gt;0, average(S47:S55), "")</f>
        <v>27.4</v>
      </c>
      <c r="T56" s="157">
        <f>if(L56&gt;0, N56/(S56+N56), "")</f>
        <v>0.3010204082</v>
      </c>
      <c r="U56" s="5" t="s">
        <v>183</v>
      </c>
      <c r="V56" s="154">
        <f>countif(V47:V55, "Yes")</f>
        <v>5</v>
      </c>
      <c r="W56" s="155">
        <f>IFERROR( COUNTIFS(V47:V53,"Yes", W47:W53,"Win") / COUNTIF(V47:V53,"Yes"), "")</f>
        <v>0.6</v>
      </c>
      <c r="X56" s="156">
        <f>if(V56&gt;0, average(X47:X55), "")</f>
        <v>14.6</v>
      </c>
      <c r="Y56" s="156">
        <f>if(V56&gt;0, average(Y47:Y55), "")</f>
        <v>4</v>
      </c>
      <c r="Z56" s="156">
        <f>if(V56&gt;0, average(Z47:Z55), "")</f>
        <v>0</v>
      </c>
      <c r="AA56" s="156">
        <f>if(V56&gt;0, average(AA47:AA55), "")</f>
        <v>9.6</v>
      </c>
      <c r="AB56" s="156">
        <f>if(V56&gt;0, average(AB47:AB55), "")</f>
        <v>1</v>
      </c>
      <c r="AC56" s="156">
        <f>if(V56&gt;0, average(AC47:AC55), "")</f>
        <v>23.4</v>
      </c>
      <c r="AD56" s="157">
        <f>if(V56&gt;0, X56/(AC56+X56), "")</f>
        <v>0.3842105263</v>
      </c>
      <c r="AE56" s="5" t="s">
        <v>183</v>
      </c>
      <c r="AF56" s="154">
        <f>countif(AF47:AF55, "Yes")</f>
        <v>7</v>
      </c>
      <c r="AG56" s="155">
        <f>IFERROR( COUNTIFS(AF47:AF53,"Yes", AG47:AG53,"Win") / COUNTIF(AF47:AF53,"Yes"), "")</f>
        <v>0.5714285714</v>
      </c>
      <c r="AH56" s="156">
        <f>if(AF56&gt;0, average(AH47:AH55), "")</f>
        <v>16.71428571</v>
      </c>
      <c r="AI56" s="156">
        <f>if(AF56&gt;0, average(AI47:AI55), "")</f>
        <v>11.57142857</v>
      </c>
      <c r="AJ56" s="156">
        <f>if(AF56&gt;0, average(AJ47:AJ55), "")</f>
        <v>0.8571428571</v>
      </c>
      <c r="AK56" s="156">
        <f>if(AF56&gt;0, average(AK47:AK55), "")</f>
        <v>4.142857143</v>
      </c>
      <c r="AL56" s="156">
        <f>if(AF56&gt;0, average(AL47:AL55), "")</f>
        <v>0.1428571429</v>
      </c>
      <c r="AM56" s="156">
        <f>if(AF56&gt;0, average(AM47:AM55), "")</f>
        <v>28.14285714</v>
      </c>
      <c r="AN56" s="157">
        <f>if(AF56&gt;0, AH56/(AM56+AH56), "")</f>
        <v>0.372611465</v>
      </c>
      <c r="AO56" s="5" t="s">
        <v>183</v>
      </c>
      <c r="AP56" s="154">
        <f>countif(AP47:AP55, "Yes")</f>
        <v>6</v>
      </c>
      <c r="AQ56" s="155">
        <f>IFERROR( COUNTIFS(AP47:AP53,"Yes", AQ47:AQ53,"Win") / COUNTIF(AP47:AP53,"Yes"), "")</f>
        <v>0.8333333333</v>
      </c>
      <c r="AR56" s="156">
        <f>if(AP56&gt;0, average(AR47:AR55), "")</f>
        <v>15.66666667</v>
      </c>
      <c r="AS56" s="156">
        <f>if(AP56&gt;0, average(AS47:AS55), "")</f>
        <v>10.83333333</v>
      </c>
      <c r="AT56" s="156">
        <f>if(AP56&gt;0, average(AT47:AT55), "")</f>
        <v>1</v>
      </c>
      <c r="AU56" s="156">
        <f>if(AP56&gt;0, average(AU47:AU55), "")</f>
        <v>3.666666667</v>
      </c>
      <c r="AV56" s="156">
        <f>if(AP56&gt;0, average(AV47:AV55), "")</f>
        <v>0.1666666667</v>
      </c>
      <c r="AW56" s="156">
        <f>if(AP56&gt;0, average(AW47:AW55), "")</f>
        <v>24.66666667</v>
      </c>
      <c r="AX56" s="157">
        <f>if(AP56&gt;0, AR56/(AW56+AR56), "")</f>
        <v>0.3884297521</v>
      </c>
      <c r="AY56" s="5" t="s">
        <v>183</v>
      </c>
      <c r="AZ56" s="154">
        <f>countif(AZ47:AZ55, "Yes")</f>
        <v>6</v>
      </c>
      <c r="BA56" s="155">
        <f>IFERROR( COUNTIFS(AZ47:AZ53,"Yes", BA47:BA53,"Win") / COUNTIF(AZ47:AZ53,"Yes"), "")</f>
        <v>0.5</v>
      </c>
      <c r="BB56" s="156">
        <f>if(AZ56&gt;0, average(BB47:BB55), "")</f>
        <v>17</v>
      </c>
      <c r="BC56" s="156">
        <f>if(AZ56&gt;0, average(BC47:BC55), "")</f>
        <v>4</v>
      </c>
      <c r="BD56" s="156">
        <f>if(AZ56&gt;0, average(BD47:BD55), "")</f>
        <v>0.5</v>
      </c>
      <c r="BE56" s="156">
        <f>if(AZ56&gt;0, average(BE47:BE55), "")</f>
        <v>11</v>
      </c>
      <c r="BF56" s="156">
        <f>if(AZ56&gt;0, average(BF47:BF55), "")</f>
        <v>1.5</v>
      </c>
      <c r="BG56" s="156">
        <f>if(AZ56&gt;0, average(BG47:BG55), "")</f>
        <v>25.5</v>
      </c>
      <c r="BH56" s="157">
        <f>if(AZ56&gt;0, BB56/(BG56+BB56), "")</f>
        <v>0.4</v>
      </c>
      <c r="BI56" s="8"/>
      <c r="BJ56" s="8"/>
      <c r="BK56" s="8"/>
      <c r="BL56" s="8"/>
    </row>
    <row r="57">
      <c r="A57" s="158" t="str">
        <f>Draft!B52</f>
        <v>Somil</v>
      </c>
      <c r="B57" s="129">
        <f t="shared" ref="B57:J57" si="91">B67</f>
        <v>4</v>
      </c>
      <c r="C57" s="143">
        <f t="shared" si="91"/>
        <v>0.25</v>
      </c>
      <c r="D57" s="144">
        <f t="shared" si="91"/>
        <v>15.25</v>
      </c>
      <c r="E57" s="144">
        <f t="shared" si="91"/>
        <v>8.5</v>
      </c>
      <c r="F57" s="144">
        <f t="shared" si="91"/>
        <v>0.75</v>
      </c>
      <c r="G57" s="144">
        <f t="shared" si="91"/>
        <v>6</v>
      </c>
      <c r="H57" s="144">
        <f t="shared" si="91"/>
        <v>0</v>
      </c>
      <c r="I57" s="144">
        <f t="shared" si="91"/>
        <v>27.5</v>
      </c>
      <c r="J57" s="145">
        <f t="shared" si="91"/>
        <v>0.3567251462</v>
      </c>
      <c r="K57" s="159" t="str">
        <f>Draft!C52</f>
        <v>Matvey</v>
      </c>
      <c r="L57" s="129">
        <f t="shared" ref="L57:T57" si="92">L67</f>
        <v>5</v>
      </c>
      <c r="M57" s="143">
        <f t="shared" si="92"/>
        <v>0.4</v>
      </c>
      <c r="N57" s="144">
        <f t="shared" si="92"/>
        <v>15.6</v>
      </c>
      <c r="O57" s="144">
        <f t="shared" si="92"/>
        <v>7.8</v>
      </c>
      <c r="P57" s="144">
        <f t="shared" si="92"/>
        <v>0.8</v>
      </c>
      <c r="Q57" s="144">
        <f t="shared" si="92"/>
        <v>6.4</v>
      </c>
      <c r="R57" s="144">
        <f t="shared" si="92"/>
        <v>0.6</v>
      </c>
      <c r="S57" s="144">
        <f t="shared" si="92"/>
        <v>25.6</v>
      </c>
      <c r="T57" s="145">
        <f t="shared" si="92"/>
        <v>0.3786407767</v>
      </c>
      <c r="U57" s="160" t="str">
        <f>Draft!D52</f>
        <v>Gavin</v>
      </c>
      <c r="V57" s="129">
        <f t="shared" ref="V57:AD57" si="93">V67</f>
        <v>3</v>
      </c>
      <c r="W57" s="143">
        <f t="shared" si="93"/>
        <v>0.6666666667</v>
      </c>
      <c r="X57" s="144">
        <f t="shared" si="93"/>
        <v>13</v>
      </c>
      <c r="Y57" s="144">
        <f t="shared" si="93"/>
        <v>7.666666667</v>
      </c>
      <c r="Z57" s="144">
        <f t="shared" si="93"/>
        <v>0.3333333333</v>
      </c>
      <c r="AA57" s="144">
        <f t="shared" si="93"/>
        <v>4.666666667</v>
      </c>
      <c r="AB57" s="144">
        <f t="shared" si="93"/>
        <v>0.3333333333</v>
      </c>
      <c r="AC57" s="144">
        <f t="shared" si="93"/>
        <v>25.66666667</v>
      </c>
      <c r="AD57" s="145">
        <f t="shared" si="93"/>
        <v>0.3362068966</v>
      </c>
      <c r="AE57" s="161" t="str">
        <f>Draft!E52</f>
        <v>Soho</v>
      </c>
      <c r="AF57" s="129">
        <f t="shared" ref="AF57:AN57" si="94">AF67</f>
        <v>4</v>
      </c>
      <c r="AG57" s="143">
        <f t="shared" si="94"/>
        <v>0.5</v>
      </c>
      <c r="AH57" s="144">
        <f t="shared" si="94"/>
        <v>14.5</v>
      </c>
      <c r="AI57" s="144">
        <f t="shared" si="94"/>
        <v>11.5</v>
      </c>
      <c r="AJ57" s="144">
        <f t="shared" si="94"/>
        <v>0.5</v>
      </c>
      <c r="AK57" s="144">
        <f t="shared" si="94"/>
        <v>2.5</v>
      </c>
      <c r="AL57" s="144">
        <f t="shared" si="94"/>
        <v>0</v>
      </c>
      <c r="AM57" s="144">
        <f t="shared" si="94"/>
        <v>31.25</v>
      </c>
      <c r="AN57" s="145">
        <f t="shared" si="94"/>
        <v>0.3169398907</v>
      </c>
      <c r="AO57" s="162" t="str">
        <f>Draft!F52</f>
        <v>TC</v>
      </c>
      <c r="AP57" s="129">
        <f t="shared" ref="AP57:AX57" si="95">AP67</f>
        <v>7</v>
      </c>
      <c r="AQ57" s="143">
        <f t="shared" si="95"/>
        <v>0.8571428571</v>
      </c>
      <c r="AR57" s="144">
        <f t="shared" si="95"/>
        <v>16.71428571</v>
      </c>
      <c r="AS57" s="144">
        <f t="shared" si="95"/>
        <v>9.714285714</v>
      </c>
      <c r="AT57" s="144">
        <f t="shared" si="95"/>
        <v>0.7142857143</v>
      </c>
      <c r="AU57" s="144">
        <f t="shared" si="95"/>
        <v>6</v>
      </c>
      <c r="AV57" s="144">
        <f t="shared" si="95"/>
        <v>0.2857142857</v>
      </c>
      <c r="AW57" s="144">
        <f t="shared" si="95"/>
        <v>24</v>
      </c>
      <c r="AX57" s="145">
        <f t="shared" si="95"/>
        <v>0.4105263158</v>
      </c>
      <c r="AY57" s="163" t="str">
        <f>Draft!G52</f>
        <v>Lulu</v>
      </c>
      <c r="AZ57" s="129">
        <f t="shared" ref="AZ57:BH57" si="96">AZ67</f>
        <v>4</v>
      </c>
      <c r="BA57" s="143">
        <f t="shared" si="96"/>
        <v>0.5</v>
      </c>
      <c r="BB57" s="144">
        <f t="shared" si="96"/>
        <v>9.25</v>
      </c>
      <c r="BC57" s="144">
        <f t="shared" si="96"/>
        <v>4.25</v>
      </c>
      <c r="BD57" s="144">
        <f t="shared" si="96"/>
        <v>0</v>
      </c>
      <c r="BE57" s="144">
        <f t="shared" si="96"/>
        <v>4.75</v>
      </c>
      <c r="BF57" s="144">
        <f t="shared" si="96"/>
        <v>0.25</v>
      </c>
      <c r="BG57" s="144">
        <f t="shared" si="96"/>
        <v>25.75</v>
      </c>
      <c r="BH57" s="145">
        <f t="shared" si="96"/>
        <v>0.2642857143</v>
      </c>
      <c r="BI57" s="8"/>
      <c r="BJ57" s="8"/>
      <c r="BK57" s="8"/>
      <c r="BL57" s="8"/>
    </row>
    <row r="58">
      <c r="A58" s="151" t="s">
        <v>5</v>
      </c>
      <c r="B58" s="2" t="str">
        <f t="shared" ref="B58:B64" si="97">ifna(if(I58&lt;&gt;"", "Yes", ""), "")</f>
        <v>Yes</v>
      </c>
      <c r="C58" s="152" t="str">
        <f t="array" ref="C58">ifna(xlookup(A57, 'Week 1'!$A:$A, 'Week 1'!$B:$B), "")</f>
        <v>Loss</v>
      </c>
      <c r="D58" s="152">
        <f t="array" ref="D58">ifna(xlookup(A57, 'Week 1'!$A:$A, 'Week 1'!$D:$D), "")</f>
        <v>15</v>
      </c>
      <c r="E58" s="152">
        <f t="array" ref="E58">ifna(xlookup(A57, 'Week 1'!$A:$A, 'Week 1'!$G:$G), "")</f>
        <v>11</v>
      </c>
      <c r="F58" s="152">
        <f t="array" ref="F58">ifna(xlookup(A57, 'Week 1'!$A:$A, 'Week 1'!$H:$H), "")</f>
        <v>0</v>
      </c>
      <c r="G58" s="152">
        <f t="array" ref="G58">ifna(xlookup(A57, 'Week 1'!$A:$A, 'Week 1'!$E:$E), "")</f>
        <v>4</v>
      </c>
      <c r="H58" s="152">
        <f t="array" ref="H58">ifna(xlookup(A57, 'Week 1'!$A:$A, 'Week 1'!$F:$F), "")</f>
        <v>0</v>
      </c>
      <c r="I58" s="152">
        <f t="array" ref="I58">ifna(xlookup(A57, 'Week 1'!$A:$A, 'Week 1'!$I:$I), "")</f>
        <v>41</v>
      </c>
      <c r="J58" s="153">
        <f t="shared" ref="J58:J64" si="98">iferror(IF(D58&gt;0, (D58/(D58+I58)), ""),"")</f>
        <v>0.2678571429</v>
      </c>
      <c r="K58" s="151" t="s">
        <v>5</v>
      </c>
      <c r="L58" s="2" t="str">
        <f t="shared" ref="L58:L64" si="99">ifna(if(S58&lt;&gt;"", "Yes", ""), "")</f>
        <v/>
      </c>
      <c r="M58" s="152" t="str">
        <f t="array" ref="M58">ifna(xlookup(K57, 'Week 1'!$A:$A, 'Week 1'!$B:$B), "")</f>
        <v>Loss</v>
      </c>
      <c r="N58" s="152" t="str">
        <f t="array" ref="N58">ifna(xlookup(K57, 'Week 1'!$A:$A, 'Week 1'!$D:$D), "")</f>
        <v/>
      </c>
      <c r="O58" s="152" t="str">
        <f t="array" ref="O58">ifna(xlookup(K57, 'Week 1'!$A:$A, 'Week 1'!$G:$G), "")</f>
        <v/>
      </c>
      <c r="P58" s="152" t="str">
        <f t="array" ref="P58">ifna(xlookup(K57, 'Week 1'!$A:$A, 'Week 1'!$H:$H), "")</f>
        <v/>
      </c>
      <c r="Q58" s="152" t="str">
        <f t="array" ref="Q58">ifna(xlookup(K57, 'Week 1'!$A:$A, 'Week 1'!$E:$E), "")</f>
        <v/>
      </c>
      <c r="R58" s="152" t="str">
        <f t="array" ref="R58">ifna(xlookup(K57, 'Week 1'!$A:$A, 'Week 1'!$F:$F), "")</f>
        <v/>
      </c>
      <c r="S58" s="152" t="str">
        <f t="array" ref="S58">ifna(xlookup(K57, 'Week 1'!$A:$A, 'Week 1'!$I:$I), "")</f>
        <v/>
      </c>
      <c r="T58" s="153" t="str">
        <f t="shared" ref="T58:T64" si="100">iferror(IF(N58&gt;0, (N58/(N58+S58)), ""),"")</f>
        <v/>
      </c>
      <c r="U58" s="151" t="s">
        <v>5</v>
      </c>
      <c r="V58" s="2" t="str">
        <f t="shared" ref="V58:V64" si="101">ifna(if(AC58&lt;&gt;"", "Yes", ""), "")</f>
        <v>Yes</v>
      </c>
      <c r="W58" s="152" t="str">
        <f t="array" ref="W58">ifna(xlookup(U57, 'Week 1'!$A:$A, 'Week 1'!$B:$B), "")</f>
        <v>Win</v>
      </c>
      <c r="X58" s="152">
        <f t="array" ref="X58">ifna(xlookup(U57, 'Week 1'!$A:$A, 'Week 1'!$D:$D), "")</f>
        <v>14</v>
      </c>
      <c r="Y58" s="152">
        <f t="array" ref="Y58">ifna(xlookup(U57, 'Week 1'!$A:$A, 'Week 1'!$G:$G), "")</f>
        <v>9</v>
      </c>
      <c r="Z58" s="152">
        <f t="array" ref="Z58">ifna(xlookup(U57, 'Week 1'!$A:$A, 'Week 1'!$H:$H), "")</f>
        <v>0</v>
      </c>
      <c r="AA58" s="152">
        <f t="array" ref="AA58">ifna(xlookup(U57, 'Week 1'!$A:$A, 'Week 1'!$E:$E), "")</f>
        <v>5</v>
      </c>
      <c r="AB58" s="152">
        <f t="array" ref="AB58">ifna(xlookup(U57, 'Week 1'!$A:$A, 'Week 1'!$F:$F), "")</f>
        <v>0</v>
      </c>
      <c r="AC58" s="152">
        <f t="array" ref="AC58">ifna(xlookup(U57, 'Week 1'!$A:$A, 'Week 1'!$I:$I), "")</f>
        <v>27</v>
      </c>
      <c r="AD58" s="153">
        <f t="shared" ref="AD58:AD64" si="102">iferror(IF(X58&gt;0, (X58/(X58+AC58)), ""),"")</f>
        <v>0.3414634146</v>
      </c>
      <c r="AE58" s="151" t="s">
        <v>5</v>
      </c>
      <c r="AF58" s="2" t="str">
        <f t="shared" ref="AF58:AF64" si="103">ifna(if(AM58&lt;&gt;"", "Yes", ""), "")</f>
        <v>Yes</v>
      </c>
      <c r="AG58" s="152" t="str">
        <f t="array" ref="AG58">ifna(xlookup(AE57, 'Week 1'!$A:$A, 'Week 1'!$B:$B), "")</f>
        <v>Win</v>
      </c>
      <c r="AH58" s="152">
        <f t="array" ref="AH58">ifna(xlookup(AE57, 'Week 1'!$A:$A, 'Week 1'!$D:$D), "")</f>
        <v>14</v>
      </c>
      <c r="AI58" s="152">
        <f t="array" ref="AI58">ifna(xlookup(AE57, 'Week 1'!$A:$A, 'Week 1'!$G:$G), "")</f>
        <v>10</v>
      </c>
      <c r="AJ58" s="152">
        <f t="array" ref="AJ58">ifna(xlookup(AE57, 'Week 1'!$A:$A, 'Week 1'!$H:$H), "")</f>
        <v>1</v>
      </c>
      <c r="AK58" s="152">
        <f t="array" ref="AK58">ifna(xlookup(AE57, 'Week 1'!$A:$A, 'Week 1'!$E:$E), "")</f>
        <v>3</v>
      </c>
      <c r="AL58" s="152">
        <f t="array" ref="AL58">ifna(xlookup(AE57, 'Week 1'!$A:$A, 'Week 1'!$F:$F), "")</f>
        <v>0</v>
      </c>
      <c r="AM58" s="152">
        <f t="array" ref="AM58">ifna(xlookup(AE57, 'Week 1'!$A:$A, 'Week 1'!$I:$I), "")</f>
        <v>38</v>
      </c>
      <c r="AN58" s="153">
        <f t="shared" ref="AN58:AN64" si="104">iferror(IF(AH58&gt;0, (AH58/(AH58+AM58)), ""),"")</f>
        <v>0.2692307692</v>
      </c>
      <c r="AO58" s="151" t="s">
        <v>5</v>
      </c>
      <c r="AP58" s="2" t="str">
        <f t="shared" ref="AP58:AP64" si="105">ifna(if(AW58&lt;&gt;"", "Yes", ""), "")</f>
        <v>Yes</v>
      </c>
      <c r="AQ58" s="152" t="str">
        <f t="array" ref="AQ58">ifna(xlookup(AO57, 'Week 1'!$A:$A, 'Week 1'!$B:$B), "")</f>
        <v>Loss</v>
      </c>
      <c r="AR58" s="152">
        <f t="array" ref="AR58">ifna(xlookup(AO57, 'Week 1'!$A:$A, 'Week 1'!$D:$D), "")</f>
        <v>19</v>
      </c>
      <c r="AS58" s="152">
        <f t="array" ref="AS58">ifna(xlookup(AO57, 'Week 1'!$A:$A, 'Week 1'!$G:$G), "")</f>
        <v>9</v>
      </c>
      <c r="AT58" s="152">
        <f t="array" ref="AT58">ifna(xlookup(AO57, 'Week 1'!$A:$A, 'Week 1'!$H:$H), "")</f>
        <v>0</v>
      </c>
      <c r="AU58" s="152">
        <f t="array" ref="AU58">ifna(xlookup(AO57, 'Week 1'!$A:$A, 'Week 1'!$E:$E), "")</f>
        <v>9</v>
      </c>
      <c r="AV58" s="152">
        <f t="array" ref="AV58">ifna(xlookup(AO57, 'Week 1'!$A:$A, 'Week 1'!$F:$F), "")</f>
        <v>1</v>
      </c>
      <c r="AW58" s="152">
        <f t="array" ref="AW58">ifna(xlookup(AO57, 'Week 1'!$A:$A, 'Week 1'!$I:$I), "")</f>
        <v>22</v>
      </c>
      <c r="AX58" s="153">
        <f t="shared" ref="AX58:AX64" si="106">iferror(IF(AR58&gt;0, (AR58/(AR58+AW58)), ""),"")</f>
        <v>0.4634146341</v>
      </c>
      <c r="AY58" s="151" t="s">
        <v>5</v>
      </c>
      <c r="AZ58" s="2" t="str">
        <f t="shared" ref="AZ58:AZ64" si="107">ifna(if(BG58&lt;&gt;"", "Yes", ""), "")</f>
        <v>Yes</v>
      </c>
      <c r="BA58" s="152" t="str">
        <f t="array" ref="BA58">ifna(xlookup(AY57, 'Week 1'!$A:$A, 'Week 1'!$B:$B), "")</f>
        <v>Win</v>
      </c>
      <c r="BB58" s="152">
        <f t="array" ref="BB58">ifna(xlookup(AY57, 'Week 1'!$A:$A, 'Week 1'!$D:$D), "")</f>
        <v>11</v>
      </c>
      <c r="BC58" s="152">
        <f t="array" ref="BC58">ifna(xlookup(AY57, 'Week 1'!$A:$A, 'Week 1'!$G:$G), "")</f>
        <v>9</v>
      </c>
      <c r="BD58" s="152">
        <f t="array" ref="BD58">ifna(xlookup(AY57, 'Week 1'!$A:$A, 'Week 1'!$H:$H), "")</f>
        <v>0</v>
      </c>
      <c r="BE58" s="152">
        <f t="array" ref="BE58">ifna(xlookup(AY57, 'Week 1'!$A:$A, 'Week 1'!$E:$E), "")</f>
        <v>2</v>
      </c>
      <c r="BF58" s="152">
        <f t="array" ref="BF58">ifna(xlookup(AY57, 'Week 1'!$A:$A, 'Week 1'!$F:$F), "")</f>
        <v>0</v>
      </c>
      <c r="BG58" s="152">
        <f t="array" ref="BG58">ifna(xlookup(AY57, 'Week 1'!$A:$A, 'Week 1'!$I:$I), "")</f>
        <v>24</v>
      </c>
      <c r="BH58" s="153">
        <f t="shared" ref="BH58:BH64" si="108">iferror(IF(BB58&gt;0, (BB58/(BB58+BG58)), ""),"")</f>
        <v>0.3142857143</v>
      </c>
      <c r="BI58" s="8"/>
      <c r="BJ58" s="8"/>
      <c r="BK58" s="8"/>
      <c r="BL58" s="8"/>
    </row>
    <row r="59">
      <c r="A59" s="151" t="s">
        <v>7</v>
      </c>
      <c r="B59" s="2" t="str">
        <f t="shared" si="97"/>
        <v>Yes</v>
      </c>
      <c r="C59" s="152" t="str">
        <f t="array" ref="C59">ifna(xlookup(A57, 'Week 2'!$A:$A, 'Week 2'!$B:$B), "")</f>
        <v>Loss</v>
      </c>
      <c r="D59" s="152">
        <f t="array" ref="D59">ifna(xlookup(A57, 'Week 2'!$A:$A, 'Week 2'!$D:$D), "")</f>
        <v>8</v>
      </c>
      <c r="E59" s="152">
        <f t="array" ref="E59">ifna(xlookup(A57, 'Week 2'!$A:$A, 'Week 2'!$G:$G), "")</f>
        <v>4</v>
      </c>
      <c r="F59" s="152">
        <f t="array" ref="F59">ifna(xlookup(A57, 'Week 2'!$A:$A, 'Week 2'!$H:$H), "")</f>
        <v>0</v>
      </c>
      <c r="G59" s="152">
        <f t="array" ref="G59">ifna(xlookup(A57, 'Week 2'!$A:$A, 'Week 2'!$E:$E), "")</f>
        <v>4</v>
      </c>
      <c r="H59" s="152">
        <f t="array" ref="H59">ifna(xlookup(A57, 'Week 2'!$A:$A, 'Week 2'!$F:$F), "")</f>
        <v>0</v>
      </c>
      <c r="I59" s="152">
        <f t="array" ref="I59">ifna(xlookup(A57, 'Week 2'!$A:$A, 'Week 2'!$I:$I), "")</f>
        <v>24</v>
      </c>
      <c r="J59" s="153">
        <f t="shared" si="98"/>
        <v>0.25</v>
      </c>
      <c r="K59" s="151" t="s">
        <v>7</v>
      </c>
      <c r="L59" s="2" t="str">
        <f t="shared" si="99"/>
        <v>Yes</v>
      </c>
      <c r="M59" s="152" t="str">
        <f t="array" ref="M59">ifna(xlookup(K57, 'Week 2'!$A:$A, 'Week 2'!$B:$B), "")</f>
        <v>Loss</v>
      </c>
      <c r="N59" s="152">
        <f t="array" ref="N59">ifna(xlookup(K57, 'Week 2'!$A:$A, 'Week 2'!$D:$D), "")</f>
        <v>11</v>
      </c>
      <c r="O59" s="152">
        <f t="array" ref="O59">ifna(xlookup(K57, 'Week 2'!$A:$A, 'Week 2'!$G:$G), "")</f>
        <v>4</v>
      </c>
      <c r="P59" s="152">
        <f t="array" ref="P59">ifna(xlookup(K57, 'Week 2'!$A:$A, 'Week 2'!$H:$H), "")</f>
        <v>0</v>
      </c>
      <c r="Q59" s="152">
        <f t="array" ref="Q59">ifna(xlookup(K57, 'Week 2'!$A:$A, 'Week 2'!$E:$E), "")</f>
        <v>5</v>
      </c>
      <c r="R59" s="152">
        <f t="array" ref="R59">ifna(xlookup(K57, 'Week 2'!$A:$A, 'Week 2'!$F:$F), "")</f>
        <v>2</v>
      </c>
      <c r="S59" s="152">
        <f t="array" ref="S59">ifna(xlookup(K57, 'Week 2'!$A:$A, 'Week 2'!$I:$I), "")</f>
        <v>23</v>
      </c>
      <c r="T59" s="153">
        <f t="shared" si="100"/>
        <v>0.3235294118</v>
      </c>
      <c r="U59" s="151" t="s">
        <v>7</v>
      </c>
      <c r="V59" s="2" t="str">
        <f t="shared" si="101"/>
        <v>Yes</v>
      </c>
      <c r="W59" s="152" t="str">
        <f t="array" ref="W59">ifna(xlookup(U57, 'Week 2'!$A:$A, 'Week 2'!$B:$B), "")</f>
        <v>Win</v>
      </c>
      <c r="X59" s="152">
        <f t="array" ref="X59">ifna(xlookup(U57, 'Week 2'!$A:$A, 'Week 2'!$D:$D), "")</f>
        <v>10</v>
      </c>
      <c r="Y59" s="152">
        <f t="array" ref="Y59">ifna(xlookup(U57, 'Week 2'!$A:$A, 'Week 2'!$G:$G), "")</f>
        <v>9</v>
      </c>
      <c r="Z59" s="152">
        <f t="array" ref="Z59">ifna(xlookup(U57, 'Week 2'!$A:$A, 'Week 2'!$H:$H), "")</f>
        <v>1</v>
      </c>
      <c r="AA59" s="152">
        <f t="array" ref="AA59">ifna(xlookup(U57, 'Week 2'!$A:$A, 'Week 2'!$E:$E), "")</f>
        <v>0</v>
      </c>
      <c r="AB59" s="152">
        <f t="array" ref="AB59">ifna(xlookup(U57, 'Week 2'!$A:$A, 'Week 2'!$F:$F), "")</f>
        <v>0</v>
      </c>
      <c r="AC59" s="152">
        <f t="array" ref="AC59">ifna(xlookup(U57, 'Week 2'!$A:$A, 'Week 2'!$I:$I), "")</f>
        <v>24</v>
      </c>
      <c r="AD59" s="153">
        <f t="shared" si="102"/>
        <v>0.2941176471</v>
      </c>
      <c r="AE59" s="151" t="s">
        <v>7</v>
      </c>
      <c r="AF59" s="2" t="str">
        <f t="shared" si="103"/>
        <v/>
      </c>
      <c r="AG59" s="152" t="str">
        <f t="array" ref="AG59">ifna(xlookup(AE57, 'Week 2'!$A:$A, 'Week 2'!$B:$B), "")</f>
        <v>Loss</v>
      </c>
      <c r="AH59" s="152" t="str">
        <f t="array" ref="AH59">ifna(xlookup(AE57, 'Week 2'!$A:$A, 'Week 2'!$D:$D), "")</f>
        <v/>
      </c>
      <c r="AI59" s="152" t="str">
        <f t="array" ref="AI59">ifna(xlookup(AE57, 'Week 2'!$A:$A, 'Week 2'!$G:$G), "")</f>
        <v/>
      </c>
      <c r="AJ59" s="152" t="str">
        <f t="array" ref="AJ59">ifna(xlookup(AE57, 'Week 2'!$A:$A, 'Week 2'!$H:$H), "")</f>
        <v/>
      </c>
      <c r="AK59" s="152" t="str">
        <f t="array" ref="AK59">ifna(xlookup(AE57, 'Week 2'!$A:$A, 'Week 2'!$E:$E), "")</f>
        <v/>
      </c>
      <c r="AL59" s="152" t="str">
        <f t="array" ref="AL59">ifna(xlookup(AE57, 'Week 2'!$A:$A, 'Week 2'!$F:$F), "")</f>
        <v/>
      </c>
      <c r="AM59" s="152" t="str">
        <f t="array" ref="AM59">ifna(xlookup(AE57, 'Week 2'!$A:$A, 'Week 2'!$I:$I), "")</f>
        <v/>
      </c>
      <c r="AN59" s="153" t="str">
        <f t="shared" si="104"/>
        <v/>
      </c>
      <c r="AO59" s="151" t="s">
        <v>7</v>
      </c>
      <c r="AP59" s="2" t="str">
        <f t="shared" si="105"/>
        <v>Yes</v>
      </c>
      <c r="AQ59" s="152" t="str">
        <f t="array" ref="AQ59">ifna(xlookup(AO57, 'Week 2'!$A:$A, 'Week 2'!$B:$B), "")</f>
        <v>Win</v>
      </c>
      <c r="AR59" s="152">
        <f t="array" ref="AR59">ifna(xlookup(AO57, 'Week 2'!$A:$A, 'Week 2'!$D:$D), "")</f>
        <v>14</v>
      </c>
      <c r="AS59" s="152">
        <f t="array" ref="AS59">ifna(xlookup(AO57, 'Week 2'!$A:$A, 'Week 2'!$G:$G), "")</f>
        <v>9</v>
      </c>
      <c r="AT59" s="152">
        <f t="array" ref="AT59">ifna(xlookup(AO57, 'Week 2'!$A:$A, 'Week 2'!$H:$H), "")</f>
        <v>0</v>
      </c>
      <c r="AU59" s="152">
        <f t="array" ref="AU59">ifna(xlookup(AO57, 'Week 2'!$A:$A, 'Week 2'!$E:$E), "")</f>
        <v>5</v>
      </c>
      <c r="AV59" s="152">
        <f t="array" ref="AV59">ifna(xlookup(AO57, 'Week 2'!$A:$A, 'Week 2'!$F:$F), "")</f>
        <v>0</v>
      </c>
      <c r="AW59" s="152">
        <f t="array" ref="AW59">ifna(xlookup(AO57, 'Week 2'!$A:$A, 'Week 2'!$I:$I), "")</f>
        <v>22</v>
      </c>
      <c r="AX59" s="153">
        <f t="shared" si="106"/>
        <v>0.3888888889</v>
      </c>
      <c r="AY59" s="151" t="s">
        <v>7</v>
      </c>
      <c r="AZ59" s="2" t="str">
        <f t="shared" si="107"/>
        <v>Yes</v>
      </c>
      <c r="BA59" s="152" t="str">
        <f t="array" ref="BA59">ifna(xlookup(AY57, 'Week 2'!$A:$A, 'Week 2'!$B:$B), "")</f>
        <v>Win</v>
      </c>
      <c r="BB59" s="152">
        <f t="array" ref="BB59">ifna(xlookup(AY57, 'Week 2'!$A:$A, 'Week 2'!$D:$D), "")</f>
        <v>11</v>
      </c>
      <c r="BC59" s="152">
        <f t="array" ref="BC59">ifna(xlookup(AY57, 'Week 2'!$A:$A, 'Week 2'!$G:$G), "")</f>
        <v>5</v>
      </c>
      <c r="BD59" s="152">
        <f t="array" ref="BD59">ifna(xlookup(AY57, 'Week 2'!$A:$A, 'Week 2'!$H:$H), "")</f>
        <v>0</v>
      </c>
      <c r="BE59" s="152">
        <f t="array" ref="BE59">ifna(xlookup(AY57, 'Week 2'!$A:$A, 'Week 2'!$E:$E), "")</f>
        <v>5</v>
      </c>
      <c r="BF59" s="152">
        <f t="array" ref="BF59">ifna(xlookup(AY57, 'Week 2'!$A:$A, 'Week 2'!$F:$F), "")</f>
        <v>1</v>
      </c>
      <c r="BG59" s="152">
        <f t="array" ref="BG59">ifna(xlookup(AY57, 'Week 2'!$A:$A, 'Week 2'!$I:$I), "")</f>
        <v>24</v>
      </c>
      <c r="BH59" s="153">
        <f t="shared" si="108"/>
        <v>0.3142857143</v>
      </c>
      <c r="BI59" s="8"/>
      <c r="BJ59" s="8"/>
      <c r="BK59" s="8"/>
      <c r="BL59" s="8"/>
    </row>
    <row r="60">
      <c r="A60" s="151" t="s">
        <v>12</v>
      </c>
      <c r="B60" s="2" t="str">
        <f t="shared" si="97"/>
        <v/>
      </c>
      <c r="C60" s="152" t="str">
        <f t="array" ref="C60">ifna(xlookup(A57, 'Week 3'!$A:$A, 'Week 3'!$B:$B), "")</f>
        <v>Loss</v>
      </c>
      <c r="D60" s="152" t="str">
        <f t="array" ref="D60">ifna(xlookup(A57, 'Week 3'!$A:$A, 'Week 3'!$D:$D), "")</f>
        <v/>
      </c>
      <c r="E60" s="152" t="str">
        <f t="array" ref="E60">ifna(xlookup(A57, 'Week 3'!$A:$A, 'Week 3'!$G:$G), "")</f>
        <v/>
      </c>
      <c r="F60" s="152" t="str">
        <f t="array" ref="F60">ifna(xlookup(A57, 'Week 3'!$A:$A, 'Week 3'!$H:$H), "")</f>
        <v/>
      </c>
      <c r="G60" s="152" t="str">
        <f t="array" ref="G60">ifna(xlookup(A57, 'Week 3'!$A:$A, 'Week 3'!$E:$E), "")</f>
        <v/>
      </c>
      <c r="H60" s="152" t="str">
        <f t="array" ref="H60">ifna(xlookup(A57, 'Week 3'!$A:$A, 'Week 3'!$F:$F), "")</f>
        <v/>
      </c>
      <c r="I60" s="152" t="str">
        <f t="array" ref="I60">ifna(xlookup(A57, 'Week 3'!$A:$A, 'Week 3'!$I:$I), "")</f>
        <v/>
      </c>
      <c r="J60" s="153" t="str">
        <f t="shared" si="98"/>
        <v/>
      </c>
      <c r="K60" s="151" t="s">
        <v>12</v>
      </c>
      <c r="L60" s="2" t="str">
        <f t="shared" si="99"/>
        <v/>
      </c>
      <c r="M60" s="152" t="str">
        <f t="array" ref="M60">ifna(xlookup(K57, 'Week 3'!$A:$A, 'Week 3'!$B:$B), "")</f>
        <v>Win</v>
      </c>
      <c r="N60" s="152" t="str">
        <f t="array" ref="N60">ifna(xlookup(K57, 'Week 3'!$A:$A, 'Week 3'!$D:$D), "")</f>
        <v/>
      </c>
      <c r="O60" s="152" t="str">
        <f t="array" ref="O60">ifna(xlookup(K57, 'Week 3'!$A:$A, 'Week 3'!$G:$G), "")</f>
        <v/>
      </c>
      <c r="P60" s="152" t="str">
        <f t="array" ref="P60">ifna(xlookup(K57, 'Week 3'!$A:$A, 'Week 3'!$H:$H), "")</f>
        <v/>
      </c>
      <c r="Q60" s="152" t="str">
        <f t="array" ref="Q60">ifna(xlookup(K57, 'Week 3'!$A:$A, 'Week 3'!$E:$E), "")</f>
        <v/>
      </c>
      <c r="R60" s="152" t="str">
        <f t="array" ref="R60">ifna(xlookup(K57, 'Week 3'!$A:$A, 'Week 3'!$F:$F), "")</f>
        <v/>
      </c>
      <c r="S60" s="152" t="str">
        <f t="array" ref="S60">ifna(xlookup(K57, 'Week 3'!$A:$A, 'Week 3'!$I:$I), "")</f>
        <v/>
      </c>
      <c r="T60" s="153" t="str">
        <f t="shared" si="100"/>
        <v/>
      </c>
      <c r="U60" s="151" t="s">
        <v>12</v>
      </c>
      <c r="V60" s="2" t="str">
        <f t="shared" si="101"/>
        <v/>
      </c>
      <c r="W60" s="152" t="str">
        <f t="array" ref="W60">ifna(xlookup(U57, 'Week 3'!$A:$A, 'Week 3'!$B:$B), "")</f>
        <v>Win</v>
      </c>
      <c r="X60" s="152" t="str">
        <f t="array" ref="X60">ifna(xlookup(U57, 'Week 3'!$A:$A, 'Week 3'!$D:$D), "")</f>
        <v/>
      </c>
      <c r="Y60" s="152" t="str">
        <f t="array" ref="Y60">ifna(xlookup(U57, 'Week 3'!$A:$A, 'Week 3'!$G:$G), "")</f>
        <v/>
      </c>
      <c r="Z60" s="152" t="str">
        <f t="array" ref="Z60">ifna(xlookup(U57, 'Week 3'!$A:$A, 'Week 3'!$H:$H), "")</f>
        <v/>
      </c>
      <c r="AA60" s="152" t="str">
        <f t="array" ref="AA60">ifna(xlookup(U57, 'Week 3'!$A:$A, 'Week 3'!$E:$E), "")</f>
        <v/>
      </c>
      <c r="AB60" s="152" t="str">
        <f t="array" ref="AB60">ifna(xlookup(U57, 'Week 3'!$A:$A, 'Week 3'!$F:$F), "")</f>
        <v/>
      </c>
      <c r="AC60" s="152" t="str">
        <f t="array" ref="AC60">ifna(xlookup(U57, 'Week 3'!$A:$A, 'Week 3'!$I:$I), "")</f>
        <v/>
      </c>
      <c r="AD60" s="153" t="str">
        <f t="shared" si="102"/>
        <v/>
      </c>
      <c r="AE60" s="151" t="s">
        <v>12</v>
      </c>
      <c r="AF60" s="2" t="str">
        <f t="shared" si="103"/>
        <v>Yes</v>
      </c>
      <c r="AG60" s="152" t="str">
        <f t="array" ref="AG60">ifna(xlookup(AE57, 'Week 3'!$A:$A, 'Week 3'!$B:$B), "")</f>
        <v>Loss</v>
      </c>
      <c r="AH60" s="152">
        <f t="array" ref="AH60">ifna(xlookup(AE57, 'Week 3'!$A:$A, 'Week 3'!$D:$D), "")</f>
        <v>13</v>
      </c>
      <c r="AI60" s="152">
        <f t="array" ref="AI60">ifna(xlookup(AE57, 'Week 3'!$A:$A, 'Week 3'!$G:$G), "")</f>
        <v>11</v>
      </c>
      <c r="AJ60" s="152">
        <f t="array" ref="AJ60">ifna(xlookup(AE57, 'Week 3'!$A:$A, 'Week 3'!$H:$H), "")</f>
        <v>0</v>
      </c>
      <c r="AK60" s="152">
        <f t="array" ref="AK60">ifna(xlookup(AE57, 'Week 3'!$A:$A, 'Week 3'!$E:$E), "")</f>
        <v>2</v>
      </c>
      <c r="AL60" s="152">
        <f t="array" ref="AL60">ifna(xlookup(AE57, 'Week 3'!$A:$A, 'Week 3'!$F:$F), "")</f>
        <v>0</v>
      </c>
      <c r="AM60" s="152">
        <f t="array" ref="AM60">ifna(xlookup(AE57, 'Week 3'!$A:$A, 'Week 3'!$I:$I), "")</f>
        <v>32</v>
      </c>
      <c r="AN60" s="153">
        <f t="shared" si="104"/>
        <v>0.2888888889</v>
      </c>
      <c r="AO60" s="151" t="s">
        <v>12</v>
      </c>
      <c r="AP60" s="2" t="str">
        <f t="shared" si="105"/>
        <v>Yes</v>
      </c>
      <c r="AQ60" s="152" t="str">
        <f t="array" ref="AQ60">ifna(xlookup(AO57, 'Week 3'!$A:$A, 'Week 3'!$B:$B), "")</f>
        <v>Win</v>
      </c>
      <c r="AR60" s="152">
        <f t="array" ref="AR60">ifna(xlookup(AO57, 'Week 3'!$A:$A, 'Week 3'!$D:$D), "")</f>
        <v>20</v>
      </c>
      <c r="AS60" s="152">
        <f t="array" ref="AS60">ifna(xlookup(AO57, 'Week 3'!$A:$A, 'Week 3'!$G:$G), "")</f>
        <v>13</v>
      </c>
      <c r="AT60" s="152">
        <f t="array" ref="AT60">ifna(xlookup(AO57, 'Week 3'!$A:$A, 'Week 3'!$H:$H), "")</f>
        <v>2</v>
      </c>
      <c r="AU60" s="152">
        <f t="array" ref="AU60">ifna(xlookup(AO57, 'Week 3'!$A:$A, 'Week 3'!$E:$E), "")</f>
        <v>5</v>
      </c>
      <c r="AV60" s="152">
        <f t="array" ref="AV60">ifna(xlookup(AO57, 'Week 3'!$A:$A, 'Week 3'!$F:$F), "")</f>
        <v>0</v>
      </c>
      <c r="AW60" s="152">
        <f t="array" ref="AW60">ifna(xlookup(AO57, 'Week 3'!$A:$A, 'Week 3'!$I:$I), "")</f>
        <v>26</v>
      </c>
      <c r="AX60" s="153">
        <f t="shared" si="106"/>
        <v>0.4347826087</v>
      </c>
      <c r="AY60" s="151" t="s">
        <v>12</v>
      </c>
      <c r="AZ60" s="2" t="str">
        <f t="shared" si="107"/>
        <v>Yes</v>
      </c>
      <c r="BA60" s="152" t="str">
        <f t="array" ref="BA60">ifna(xlookup(AY57, 'Week 3'!$A:$A, 'Week 3'!$B:$B), "")</f>
        <v>Loss</v>
      </c>
      <c r="BB60" s="152">
        <f t="array" ref="BB60">ifna(xlookup(AY57, 'Week 3'!$A:$A, 'Week 3'!$D:$D), "")</f>
        <v>7</v>
      </c>
      <c r="BC60" s="152">
        <f t="array" ref="BC60">ifna(xlookup(AY57, 'Week 3'!$A:$A, 'Week 3'!$G:$G), "")</f>
        <v>1</v>
      </c>
      <c r="BD60" s="152">
        <f t="array" ref="BD60">ifna(xlookup(AY57, 'Week 3'!$A:$A, 'Week 3'!$H:$H), "")</f>
        <v>0</v>
      </c>
      <c r="BE60" s="152">
        <f t="array" ref="BE60">ifna(xlookup(AY57, 'Week 3'!$A:$A, 'Week 3'!$E:$E), "")</f>
        <v>6</v>
      </c>
      <c r="BF60" s="152">
        <f t="array" ref="BF60">ifna(xlookup(AY57, 'Week 3'!$A:$A, 'Week 3'!$F:$F), "")</f>
        <v>0</v>
      </c>
      <c r="BG60" s="152">
        <f t="array" ref="BG60">ifna(xlookup(AY57, 'Week 3'!$A:$A, 'Week 3'!$I:$I), "")</f>
        <v>28</v>
      </c>
      <c r="BH60" s="153">
        <f t="shared" si="108"/>
        <v>0.2</v>
      </c>
      <c r="BI60" s="8"/>
      <c r="BJ60" s="8"/>
      <c r="BK60" s="8"/>
      <c r="BL60" s="8"/>
    </row>
    <row r="61">
      <c r="A61" s="151" t="s">
        <v>17</v>
      </c>
      <c r="B61" s="2" t="str">
        <f t="shared" si="97"/>
        <v/>
      </c>
      <c r="C61" s="152" t="str">
        <f t="array" ref="C61">ifna(xlookup(A57, 'Week 4'!$A:$A, 'Week 4'!$B:$B), "")</f>
        <v>Win</v>
      </c>
      <c r="D61" s="152" t="str">
        <f t="array" ref="D61">ifna(xlookup(A57, 'Week 4'!$A:$A, 'Week 4'!$D:$D), "")</f>
        <v/>
      </c>
      <c r="E61" s="152" t="str">
        <f t="array" ref="E61">ifna(xlookup(A57, 'Week 4'!$A:$A, 'Week 4'!$G:$G), "")</f>
        <v/>
      </c>
      <c r="F61" s="152" t="str">
        <f t="array" ref="F61">ifna(xlookup(A57, 'Week 4'!$A:$A, 'Week 4'!$H:$H), "")</f>
        <v/>
      </c>
      <c r="G61" s="152" t="str">
        <f t="array" ref="G61">ifna(xlookup(A57, 'Week 4'!$A:$A, 'Week 4'!$E:$E), "")</f>
        <v/>
      </c>
      <c r="H61" s="152" t="str">
        <f t="array" ref="H61">ifna(xlookup(A57, 'Week 4'!$A:$A, 'Week 4'!$F:$F), "")</f>
        <v/>
      </c>
      <c r="I61" s="152" t="str">
        <f t="array" ref="I61">ifna(xlookup(A57, 'Week 4'!$A:$A, 'Week 4'!$I:$I), "")</f>
        <v/>
      </c>
      <c r="J61" s="153" t="str">
        <f t="shared" si="98"/>
        <v/>
      </c>
      <c r="K61" s="151" t="s">
        <v>17</v>
      </c>
      <c r="L61" s="2" t="str">
        <f t="shared" si="99"/>
        <v>Yes</v>
      </c>
      <c r="M61" s="152" t="str">
        <f t="array" ref="M61">ifna(xlookup(K57, 'Week 4'!$A:$A, 'Week 4'!$B:$B), "")</f>
        <v>Loss</v>
      </c>
      <c r="N61" s="152">
        <f t="array" ref="N61">ifna(xlookup(K57, 'Week 4'!$A:$A, 'Week 4'!$D:$D), "")</f>
        <v>19</v>
      </c>
      <c r="O61" s="152">
        <f t="array" ref="O61">ifna(xlookup(K57, 'Week 4'!$A:$A, 'Week 4'!$G:$G), "")</f>
        <v>10</v>
      </c>
      <c r="P61" s="152">
        <f t="array" ref="P61">ifna(xlookup(K57, 'Week 4'!$A:$A, 'Week 4'!$H:$H), "")</f>
        <v>0</v>
      </c>
      <c r="Q61" s="152">
        <f t="array" ref="Q61">ifna(xlookup(K57, 'Week 4'!$A:$A, 'Week 4'!$E:$E), "")</f>
        <v>8</v>
      </c>
      <c r="R61" s="152">
        <f t="array" ref="R61">ifna(xlookup(K57, 'Week 4'!$A:$A, 'Week 4'!$F:$F), "")</f>
        <v>1</v>
      </c>
      <c r="S61" s="152">
        <f t="array" ref="S61">ifna(xlookup(K57, 'Week 4'!$A:$A, 'Week 4'!$I:$I), "")</f>
        <v>30</v>
      </c>
      <c r="T61" s="153">
        <f t="shared" si="100"/>
        <v>0.387755102</v>
      </c>
      <c r="U61" s="151" t="s">
        <v>17</v>
      </c>
      <c r="V61" s="2" t="str">
        <f t="shared" si="101"/>
        <v/>
      </c>
      <c r="W61" s="152" t="str">
        <f t="array" ref="W61">ifna(xlookup(U57, 'Week 4'!$A:$A, 'Week 4'!$B:$B), "")</f>
        <v>Loss</v>
      </c>
      <c r="X61" s="152" t="str">
        <f t="array" ref="X61">ifna(xlookup(U57, 'Week 4'!$A:$A, 'Week 4'!$D:$D), "")</f>
        <v/>
      </c>
      <c r="Y61" s="152" t="str">
        <f t="array" ref="Y61">ifna(xlookup(U57, 'Week 4'!$A:$A, 'Week 4'!$G:$G), "")</f>
        <v/>
      </c>
      <c r="Z61" s="152" t="str">
        <f t="array" ref="Z61">ifna(xlookup(U57, 'Week 4'!$A:$A, 'Week 4'!$H:$H), "")</f>
        <v/>
      </c>
      <c r="AA61" s="152" t="str">
        <f t="array" ref="AA61">ifna(xlookup(U57, 'Week 4'!$A:$A, 'Week 4'!$E:$E), "")</f>
        <v/>
      </c>
      <c r="AB61" s="152" t="str">
        <f t="array" ref="AB61">ifna(xlookup(U57, 'Week 4'!$A:$A, 'Week 4'!$F:$F), "")</f>
        <v/>
      </c>
      <c r="AC61" s="152" t="str">
        <f t="array" ref="AC61">ifna(xlookup(U57, 'Week 4'!$A:$A, 'Week 4'!$I:$I), "")</f>
        <v/>
      </c>
      <c r="AD61" s="153" t="str">
        <f t="shared" si="102"/>
        <v/>
      </c>
      <c r="AE61" s="151" t="s">
        <v>17</v>
      </c>
      <c r="AF61" s="2" t="str">
        <f t="shared" si="103"/>
        <v/>
      </c>
      <c r="AG61" s="152" t="str">
        <f t="array" ref="AG61">ifna(xlookup(AE57, 'Week 4'!$A:$A, 'Week 4'!$B:$B), "")</f>
        <v>Win</v>
      </c>
      <c r="AH61" s="152" t="str">
        <f t="array" ref="AH61">ifna(xlookup(AE57, 'Week 4'!$A:$A, 'Week 4'!$D:$D), "")</f>
        <v/>
      </c>
      <c r="AI61" s="152" t="str">
        <f t="array" ref="AI61">ifna(xlookup(AE57, 'Week 4'!$A:$A, 'Week 4'!$G:$G), "")</f>
        <v/>
      </c>
      <c r="AJ61" s="152" t="str">
        <f t="array" ref="AJ61">ifna(xlookup(AE57, 'Week 4'!$A:$A, 'Week 4'!$H:$H), "")</f>
        <v/>
      </c>
      <c r="AK61" s="152" t="str">
        <f t="array" ref="AK61">ifna(xlookup(AE57, 'Week 4'!$A:$A, 'Week 4'!$E:$E), "")</f>
        <v/>
      </c>
      <c r="AL61" s="152" t="str">
        <f t="array" ref="AL61">ifna(xlookup(AE57, 'Week 4'!$A:$A, 'Week 4'!$F:$F), "")</f>
        <v/>
      </c>
      <c r="AM61" s="152" t="str">
        <f t="array" ref="AM61">ifna(xlookup(AE57, 'Week 4'!$A:$A, 'Week 4'!$I:$I), "")</f>
        <v/>
      </c>
      <c r="AN61" s="153" t="str">
        <f t="shared" si="104"/>
        <v/>
      </c>
      <c r="AO61" s="151" t="s">
        <v>17</v>
      </c>
      <c r="AP61" s="2" t="str">
        <f t="shared" si="105"/>
        <v>Yes</v>
      </c>
      <c r="AQ61" s="152" t="str">
        <f t="array" ref="AQ61">ifna(xlookup(AO57, 'Week 4'!$A:$A, 'Week 4'!$B:$B), "")</f>
        <v>Win</v>
      </c>
      <c r="AR61" s="152">
        <f t="array" ref="AR61">ifna(xlookup(AO57, 'Week 4'!$A:$A, 'Week 4'!$D:$D), "")</f>
        <v>13</v>
      </c>
      <c r="AS61" s="152">
        <f t="array" ref="AS61">ifna(xlookup(AO57, 'Week 4'!$A:$A, 'Week 4'!$G:$G), "")</f>
        <v>6</v>
      </c>
      <c r="AT61" s="152">
        <f t="array" ref="AT61">ifna(xlookup(AO57, 'Week 4'!$A:$A, 'Week 4'!$H:$H), "")</f>
        <v>0</v>
      </c>
      <c r="AU61" s="152">
        <f t="array" ref="AU61">ifna(xlookup(AO57, 'Week 4'!$A:$A, 'Week 4'!$E:$E), "")</f>
        <v>7</v>
      </c>
      <c r="AV61" s="152">
        <f t="array" ref="AV61">ifna(xlookup(AO57, 'Week 4'!$A:$A, 'Week 4'!$F:$F), "")</f>
        <v>0</v>
      </c>
      <c r="AW61" s="152">
        <f t="array" ref="AW61">ifna(xlookup(AO57, 'Week 4'!$A:$A, 'Week 4'!$I:$I), "")</f>
        <v>26</v>
      </c>
      <c r="AX61" s="153">
        <f t="shared" si="106"/>
        <v>0.3333333333</v>
      </c>
      <c r="AY61" s="151" t="s">
        <v>17</v>
      </c>
      <c r="AZ61" s="2" t="str">
        <f t="shared" si="107"/>
        <v>Yes</v>
      </c>
      <c r="BA61" s="152" t="str">
        <f t="array" ref="BA61">ifna(xlookup(AY57, 'Week 4'!$A:$A, 'Week 4'!$B:$B), "")</f>
        <v>Loss</v>
      </c>
      <c r="BB61" s="152">
        <f t="array" ref="BB61">ifna(xlookup(AY57, 'Week 4'!$A:$A, 'Week 4'!$D:$D), "")</f>
        <v>8</v>
      </c>
      <c r="BC61" s="152">
        <f t="array" ref="BC61">ifna(xlookup(AY57, 'Week 4'!$A:$A, 'Week 4'!$G:$G), "")</f>
        <v>2</v>
      </c>
      <c r="BD61" s="152">
        <f t="array" ref="BD61">ifna(xlookup(AY57, 'Week 4'!$A:$A, 'Week 4'!$H:$H), "")</f>
        <v>0</v>
      </c>
      <c r="BE61" s="152">
        <f t="array" ref="BE61">ifna(xlookup(AY57, 'Week 4'!$A:$A, 'Week 4'!$E:$E), "")</f>
        <v>6</v>
      </c>
      <c r="BF61" s="152">
        <f t="array" ref="BF61">ifna(xlookup(AY57, 'Week 4'!$A:$A, 'Week 4'!$F:$F), "")</f>
        <v>0</v>
      </c>
      <c r="BG61" s="152">
        <f t="array" ref="BG61">ifna(xlookup(AY57, 'Week 4'!$A:$A, 'Week 4'!$I:$I), "")</f>
        <v>27</v>
      </c>
      <c r="BH61" s="153">
        <f t="shared" si="108"/>
        <v>0.2285714286</v>
      </c>
      <c r="BI61" s="8"/>
      <c r="BJ61" s="8"/>
      <c r="BK61" s="8"/>
      <c r="BL61" s="8"/>
    </row>
    <row r="62">
      <c r="A62" s="151" t="s">
        <v>20</v>
      </c>
      <c r="B62" s="2" t="str">
        <f t="shared" si="97"/>
        <v>Yes</v>
      </c>
      <c r="C62" s="152" t="str">
        <f t="array" ref="C62">ifna(xlookup(A57, 'Week 5'!$A:$A, 'Week 5'!$B:$B), "")</f>
        <v>Loss</v>
      </c>
      <c r="D62" s="152">
        <f t="array" ref="D62">ifna(xlookup(A57, 'Week 5'!$A:$A, 'Week 5'!$D:$D), "")</f>
        <v>23</v>
      </c>
      <c r="E62" s="152">
        <f t="array" ref="E62">ifna(xlookup(A57, 'Week 5'!$A:$A, 'Week 5'!$G:$G), "")</f>
        <v>14</v>
      </c>
      <c r="F62" s="152">
        <f t="array" ref="F62">ifna(xlookup(A57, 'Week 5'!$A:$A, 'Week 5'!$H:$H), "")</f>
        <v>3</v>
      </c>
      <c r="G62" s="152">
        <f t="array" ref="G62">ifna(xlookup(A57, 'Week 5'!$A:$A, 'Week 5'!$E:$E), "")</f>
        <v>6</v>
      </c>
      <c r="H62" s="152">
        <f t="array" ref="H62">ifna(xlookup(A57, 'Week 5'!$A:$A, 'Week 5'!$F:$F), "")</f>
        <v>0</v>
      </c>
      <c r="I62" s="152">
        <f t="array" ref="I62">ifna(xlookup(A57, 'Week 5'!$A:$A, 'Week 5'!$I:$I), "")</f>
        <v>21</v>
      </c>
      <c r="J62" s="153">
        <f t="shared" si="98"/>
        <v>0.5227272727</v>
      </c>
      <c r="K62" s="151" t="s">
        <v>20</v>
      </c>
      <c r="L62" s="2" t="str">
        <f t="shared" si="99"/>
        <v>Yes</v>
      </c>
      <c r="M62" s="152" t="str">
        <f t="array" ref="M62">ifna(xlookup(K57, 'Week 5'!$A:$A, 'Week 5'!$B:$B), "")</f>
        <v>Win</v>
      </c>
      <c r="N62" s="152">
        <f t="array" ref="N62">ifna(xlookup(K57, 'Week 5'!$A:$A, 'Week 5'!$D:$D), "")</f>
        <v>20</v>
      </c>
      <c r="O62" s="152">
        <f t="array" ref="O62">ifna(xlookup(K57, 'Week 5'!$A:$A, 'Week 5'!$G:$G), "")</f>
        <v>12</v>
      </c>
      <c r="P62" s="152">
        <f t="array" ref="P62">ifna(xlookup(K57, 'Week 5'!$A:$A, 'Week 5'!$H:$H), "")</f>
        <v>3</v>
      </c>
      <c r="Q62" s="152">
        <f t="array" ref="Q62">ifna(xlookup(K57, 'Week 5'!$A:$A, 'Week 5'!$E:$E), "")</f>
        <v>5</v>
      </c>
      <c r="R62" s="152">
        <f t="array" ref="R62">ifna(xlookup(K57, 'Week 5'!$A:$A, 'Week 5'!$F:$F), "")</f>
        <v>0</v>
      </c>
      <c r="S62" s="152">
        <f t="array" ref="S62">ifna(xlookup(K57, 'Week 5'!$A:$A, 'Week 5'!$I:$I), "")</f>
        <v>28</v>
      </c>
      <c r="T62" s="153">
        <f t="shared" si="100"/>
        <v>0.4166666667</v>
      </c>
      <c r="U62" s="151" t="s">
        <v>20</v>
      </c>
      <c r="V62" s="2" t="str">
        <f t="shared" si="101"/>
        <v>Yes</v>
      </c>
      <c r="W62" s="152" t="str">
        <f t="array" ref="W62">ifna(xlookup(U57, 'Week 5'!$A:$A, 'Week 5'!$B:$B), "")</f>
        <v>Loss</v>
      </c>
      <c r="X62" s="152">
        <f t="array" ref="X62">ifna(xlookup(U57, 'Week 5'!$A:$A, 'Week 5'!$D:$D), "")</f>
        <v>15</v>
      </c>
      <c r="Y62" s="152">
        <f t="array" ref="Y62">ifna(xlookup(U57, 'Week 5'!$A:$A, 'Week 5'!$G:$G), "")</f>
        <v>5</v>
      </c>
      <c r="Z62" s="152">
        <f t="array" ref="Z62">ifna(xlookup(U57, 'Week 5'!$A:$A, 'Week 5'!$H:$H), "")</f>
        <v>0</v>
      </c>
      <c r="AA62" s="152">
        <f t="array" ref="AA62">ifna(xlookup(U57, 'Week 5'!$A:$A, 'Week 5'!$E:$E), "")</f>
        <v>9</v>
      </c>
      <c r="AB62" s="152">
        <f t="array" ref="AB62">ifna(xlookup(U57, 'Week 5'!$A:$A, 'Week 5'!$F:$F), "")</f>
        <v>1</v>
      </c>
      <c r="AC62" s="152">
        <f t="array" ref="AC62">ifna(xlookup(U57, 'Week 5'!$A:$A, 'Week 5'!$I:$I), "")</f>
        <v>26</v>
      </c>
      <c r="AD62" s="153">
        <f t="shared" si="102"/>
        <v>0.3658536585</v>
      </c>
      <c r="AE62" s="151" t="s">
        <v>20</v>
      </c>
      <c r="AF62" s="2" t="str">
        <f t="shared" si="103"/>
        <v>Yes</v>
      </c>
      <c r="AG62" s="152" t="str">
        <f t="array" ref="AG62">ifna(xlookup(AE57, 'Week 5'!$A:$A, 'Week 5'!$B:$B), "")</f>
        <v>Win</v>
      </c>
      <c r="AH62" s="152">
        <f t="array" ref="AH62">ifna(xlookup(AE57, 'Week 5'!$A:$A, 'Week 5'!$D:$D), "")</f>
        <v>15</v>
      </c>
      <c r="AI62" s="152">
        <f t="array" ref="AI62">ifna(xlookup(AE57, 'Week 5'!$A:$A, 'Week 5'!$G:$G), "")</f>
        <v>13</v>
      </c>
      <c r="AJ62" s="152">
        <f t="array" ref="AJ62">ifna(xlookup(AE57, 'Week 5'!$A:$A, 'Week 5'!$H:$H), "")</f>
        <v>0</v>
      </c>
      <c r="AK62" s="152">
        <f t="array" ref="AK62">ifna(xlookup(AE57, 'Week 5'!$A:$A, 'Week 5'!$E:$E), "")</f>
        <v>2</v>
      </c>
      <c r="AL62" s="152">
        <f t="array" ref="AL62">ifna(xlookup(AE57, 'Week 5'!$A:$A, 'Week 5'!$F:$F), "")</f>
        <v>0</v>
      </c>
      <c r="AM62" s="152">
        <f t="array" ref="AM62">ifna(xlookup(AE57, 'Week 5'!$A:$A, 'Week 5'!$I:$I), "")</f>
        <v>29</v>
      </c>
      <c r="AN62" s="153">
        <f t="shared" si="104"/>
        <v>0.3409090909</v>
      </c>
      <c r="AO62" s="151" t="s">
        <v>20</v>
      </c>
      <c r="AP62" s="2" t="str">
        <f t="shared" si="105"/>
        <v>Yes</v>
      </c>
      <c r="AQ62" s="152" t="str">
        <f t="array" ref="AQ62">ifna(xlookup(AO57, 'Week 5'!$A:$A, 'Week 5'!$B:$B), "")</f>
        <v>Win</v>
      </c>
      <c r="AR62" s="152">
        <f t="array" ref="AR62">ifna(xlookup(AO57, 'Week 5'!$A:$A, 'Week 5'!$D:$D), "")</f>
        <v>14</v>
      </c>
      <c r="AS62" s="152">
        <f t="array" ref="AS62">ifna(xlookup(AO57, 'Week 5'!$A:$A, 'Week 5'!$G:$G), "")</f>
        <v>4</v>
      </c>
      <c r="AT62" s="152">
        <f t="array" ref="AT62">ifna(xlookup(AO57, 'Week 5'!$A:$A, 'Week 5'!$H:$H), "")</f>
        <v>1</v>
      </c>
      <c r="AU62" s="152">
        <f t="array" ref="AU62">ifna(xlookup(AO57, 'Week 5'!$A:$A, 'Week 5'!$E:$E), "")</f>
        <v>9</v>
      </c>
      <c r="AV62" s="152">
        <f t="array" ref="AV62">ifna(xlookup(AO57, 'Week 5'!$A:$A, 'Week 5'!$F:$F), "")</f>
        <v>0</v>
      </c>
      <c r="AW62" s="152">
        <f t="array" ref="AW62">ifna(xlookup(AO57, 'Week 5'!$A:$A, 'Week 5'!$I:$I), "")</f>
        <v>24</v>
      </c>
      <c r="AX62" s="153">
        <f t="shared" si="106"/>
        <v>0.3684210526</v>
      </c>
      <c r="AY62" s="151" t="s">
        <v>20</v>
      </c>
      <c r="AZ62" s="2" t="str">
        <f t="shared" si="107"/>
        <v/>
      </c>
      <c r="BA62" s="152" t="str">
        <f t="array" ref="BA62">ifna(xlookup(AY57, 'Week 5'!$A:$A, 'Week 5'!$B:$B), "")</f>
        <v>Loss</v>
      </c>
      <c r="BB62" s="152" t="str">
        <f t="array" ref="BB62">ifna(xlookup(AY57, 'Week 5'!$A:$A, 'Week 5'!$D:$D), "")</f>
        <v/>
      </c>
      <c r="BC62" s="152" t="str">
        <f t="array" ref="BC62">ifna(xlookup(AY57, 'Week 5'!$A:$A, 'Week 5'!$G:$G), "")</f>
        <v/>
      </c>
      <c r="BD62" s="152" t="str">
        <f t="array" ref="BD62">ifna(xlookup(AY57, 'Week 5'!$A:$A, 'Week 5'!$H:$H), "")</f>
        <v/>
      </c>
      <c r="BE62" s="152" t="str">
        <f t="array" ref="BE62">ifna(xlookup(AY57, 'Week 5'!$A:$A, 'Week 5'!$E:$E), "")</f>
        <v/>
      </c>
      <c r="BF62" s="152" t="str">
        <f t="array" ref="BF62">ifna(xlookup(AY57, 'Week 5'!$A:$A, 'Week 5'!$F:$F), "")</f>
        <v/>
      </c>
      <c r="BG62" s="152" t="str">
        <f t="array" ref="BG62">ifna(xlookup(AY57, 'Week 5'!$A:$A, 'Week 5'!$I:$I), "")</f>
        <v/>
      </c>
      <c r="BH62" s="153" t="str">
        <f t="shared" si="108"/>
        <v/>
      </c>
      <c r="BI62" s="8"/>
      <c r="BJ62" s="8"/>
      <c r="BK62" s="8"/>
      <c r="BL62" s="8"/>
    </row>
    <row r="63">
      <c r="A63" s="151" t="s">
        <v>23</v>
      </c>
      <c r="B63" s="2" t="str">
        <f t="shared" si="97"/>
        <v>Yes</v>
      </c>
      <c r="C63" s="152" t="str">
        <f t="array" ref="C63">ifna(xlookup(A57, 'Week 6'!$A:$A, 'Week 6'!$B:$B), "")</f>
        <v>Win</v>
      </c>
      <c r="D63" s="152">
        <f t="array" ref="D63">ifna(xlookup(A57, 'Week 6'!$A:$A, 'Week 6'!$D:$D), "")</f>
        <v>15</v>
      </c>
      <c r="E63" s="152">
        <f t="array" ref="E63">ifna(xlookup(A57, 'Week 6'!$A:$A, 'Week 6'!$G:$G), "")</f>
        <v>5</v>
      </c>
      <c r="F63" s="152">
        <f t="array" ref="F63">ifna(xlookup(A57, 'Week 6'!$A:$A, 'Week 6'!$H:$H), "")</f>
        <v>0</v>
      </c>
      <c r="G63" s="152">
        <f t="array" ref="G63">ifna(xlookup(A57, 'Week 6'!$A:$A, 'Week 6'!$E:$E), "")</f>
        <v>10</v>
      </c>
      <c r="H63" s="152">
        <f t="array" ref="H63">ifna(xlookup(A57, 'Week 6'!$A:$A, 'Week 6'!$F:$F), "")</f>
        <v>0</v>
      </c>
      <c r="I63" s="152">
        <f t="array" ref="I63">ifna(xlookup(A57, 'Week 6'!$A:$A, 'Week 6'!$I:$I), "")</f>
        <v>24</v>
      </c>
      <c r="J63" s="153">
        <f t="shared" si="98"/>
        <v>0.3846153846</v>
      </c>
      <c r="K63" s="151" t="s">
        <v>23</v>
      </c>
      <c r="L63" s="2" t="str">
        <f t="shared" si="99"/>
        <v>Yes</v>
      </c>
      <c r="M63" s="152" t="str">
        <f t="array" ref="M63">ifna(xlookup(K57, 'Week 6'!$A:$A, 'Week 6'!$B:$B), "")</f>
        <v>Loss</v>
      </c>
      <c r="N63" s="152">
        <f t="array" ref="N63">ifna(xlookup(K57, 'Week 6'!$A:$A, 'Week 6'!$D:$D), "")</f>
        <v>17</v>
      </c>
      <c r="O63" s="152">
        <f t="array" ref="O63">ifna(xlookup(K57, 'Week 6'!$A:$A, 'Week 6'!$G:$G), "")</f>
        <v>9</v>
      </c>
      <c r="P63" s="152">
        <f t="array" ref="P63">ifna(xlookup(K57, 'Week 6'!$A:$A, 'Week 6'!$H:$H), "")</f>
        <v>0</v>
      </c>
      <c r="Q63" s="152">
        <f t="array" ref="Q63">ifna(xlookup(K57, 'Week 6'!$A:$A, 'Week 6'!$E:$E), "")</f>
        <v>8</v>
      </c>
      <c r="R63" s="152">
        <f t="array" ref="R63">ifna(xlookup(K57, 'Week 6'!$A:$A, 'Week 6'!$F:$F), "")</f>
        <v>0</v>
      </c>
      <c r="S63" s="152">
        <f t="array" ref="S63">ifna(xlookup(K57, 'Week 6'!$A:$A, 'Week 6'!$I:$I), "")</f>
        <v>25</v>
      </c>
      <c r="T63" s="153">
        <f t="shared" si="100"/>
        <v>0.4047619048</v>
      </c>
      <c r="U63" s="151" t="s">
        <v>23</v>
      </c>
      <c r="V63" s="2" t="str">
        <f t="shared" si="101"/>
        <v/>
      </c>
      <c r="W63" s="152" t="str">
        <f t="array" ref="W63">ifna(xlookup(U57, 'Week 6'!$A:$A, 'Week 6'!$B:$B), "")</f>
        <v>Loss</v>
      </c>
      <c r="X63" s="152" t="str">
        <f t="array" ref="X63">ifna(xlookup(U57, 'Week 6'!$A:$A, 'Week 6'!$D:$D), "")</f>
        <v/>
      </c>
      <c r="Y63" s="152" t="str">
        <f t="array" ref="Y63">ifna(xlookup(U57, 'Week 6'!$A:$A, 'Week 6'!$G:$G), "")</f>
        <v/>
      </c>
      <c r="Z63" s="152" t="str">
        <f t="array" ref="Z63">ifna(xlookup(U57, 'Week 6'!$A:$A, 'Week 6'!$H:$H), "")</f>
        <v/>
      </c>
      <c r="AA63" s="152" t="str">
        <f t="array" ref="AA63">ifna(xlookup(U57, 'Week 6'!$A:$A, 'Week 6'!$E:$E), "")</f>
        <v/>
      </c>
      <c r="AB63" s="152" t="str">
        <f t="array" ref="AB63">ifna(xlookup(U57, 'Week 6'!$A:$A, 'Week 6'!$F:$F), "")</f>
        <v/>
      </c>
      <c r="AC63" s="152" t="str">
        <f t="array" ref="AC63">ifna(xlookup(U57, 'Week 6'!$A:$A, 'Week 6'!$I:$I), "")</f>
        <v/>
      </c>
      <c r="AD63" s="153" t="str">
        <f t="shared" si="102"/>
        <v/>
      </c>
      <c r="AE63" s="151" t="s">
        <v>23</v>
      </c>
      <c r="AF63" s="2" t="str">
        <f t="shared" si="103"/>
        <v>Yes</v>
      </c>
      <c r="AG63" s="152" t="str">
        <f t="array" ref="AG63">ifna(xlookup(AE57, 'Week 6'!$A:$A, 'Week 6'!$B:$B), "")</f>
        <v>Loss</v>
      </c>
      <c r="AH63" s="152">
        <f t="array" ref="AH63">ifna(xlookup(AE57, 'Week 6'!$A:$A, 'Week 6'!$D:$D), "")</f>
        <v>16</v>
      </c>
      <c r="AI63" s="152">
        <f t="array" ref="AI63">ifna(xlookup(AE57, 'Week 6'!$A:$A, 'Week 6'!$G:$G), "")</f>
        <v>12</v>
      </c>
      <c r="AJ63" s="152">
        <f t="array" ref="AJ63">ifna(xlookup(AE57, 'Week 6'!$A:$A, 'Week 6'!$H:$H), "")</f>
        <v>1</v>
      </c>
      <c r="AK63" s="152">
        <f t="array" ref="AK63">ifna(xlookup(AE57, 'Week 6'!$A:$A, 'Week 6'!$E:$E), "")</f>
        <v>3</v>
      </c>
      <c r="AL63" s="152">
        <f t="array" ref="AL63">ifna(xlookup(AE57, 'Week 6'!$A:$A, 'Week 6'!$F:$F), "")</f>
        <v>0</v>
      </c>
      <c r="AM63" s="152">
        <f t="array" ref="AM63">ifna(xlookup(AE57, 'Week 6'!$A:$A, 'Week 6'!$I:$I), "")</f>
        <v>26</v>
      </c>
      <c r="AN63" s="153">
        <f t="shared" si="104"/>
        <v>0.380952381</v>
      </c>
      <c r="AO63" s="151" t="s">
        <v>23</v>
      </c>
      <c r="AP63" s="2" t="str">
        <f t="shared" si="105"/>
        <v>Yes</v>
      </c>
      <c r="AQ63" s="152" t="str">
        <f t="array" ref="AQ63">ifna(xlookup(AO57, 'Week 6'!$A:$A, 'Week 6'!$B:$B), "")</f>
        <v>Win</v>
      </c>
      <c r="AR63" s="152">
        <f t="array" ref="AR63">ifna(xlookup(AO57, 'Week 6'!$A:$A, 'Week 6'!$D:$D), "")</f>
        <v>19</v>
      </c>
      <c r="AS63" s="152">
        <f t="array" ref="AS63">ifna(xlookup(AO57, 'Week 6'!$A:$A, 'Week 6'!$G:$G), "")</f>
        <v>12</v>
      </c>
      <c r="AT63" s="152">
        <f t="array" ref="AT63">ifna(xlookup(AO57, 'Week 6'!$A:$A, 'Week 6'!$H:$H), "")</f>
        <v>1</v>
      </c>
      <c r="AU63" s="152">
        <f t="array" ref="AU63">ifna(xlookup(AO57, 'Week 6'!$A:$A, 'Week 6'!$E:$E), "")</f>
        <v>5</v>
      </c>
      <c r="AV63" s="152">
        <f t="array" ref="AV63">ifna(xlookup(AO57, 'Week 6'!$A:$A, 'Week 6'!$F:$F), "")</f>
        <v>1</v>
      </c>
      <c r="AW63" s="152">
        <f t="array" ref="AW63">ifna(xlookup(AO57, 'Week 6'!$A:$A, 'Week 6'!$I:$I), "")</f>
        <v>21</v>
      </c>
      <c r="AX63" s="153">
        <f t="shared" si="106"/>
        <v>0.475</v>
      </c>
      <c r="AY63" s="151" t="s">
        <v>23</v>
      </c>
      <c r="AZ63" s="2" t="str">
        <f t="shared" si="107"/>
        <v/>
      </c>
      <c r="BA63" s="152" t="str">
        <f t="array" ref="BA63">ifna(xlookup(AY57, 'Week 6'!$A:$A, 'Week 6'!$B:$B), "")</f>
        <v>Win</v>
      </c>
      <c r="BB63" s="152" t="str">
        <f t="array" ref="BB63">ifna(xlookup(AY57, 'Week 6'!$A:$A, 'Week 6'!$D:$D), "")</f>
        <v/>
      </c>
      <c r="BC63" s="152" t="str">
        <f t="array" ref="BC63">ifna(xlookup(AY57, 'Week 6'!$A:$A, 'Week 6'!$G:$G), "")</f>
        <v/>
      </c>
      <c r="BD63" s="152" t="str">
        <f t="array" ref="BD63">ifna(xlookup(AY57, 'Week 6'!$A:$A, 'Week 6'!$H:$H), "")</f>
        <v/>
      </c>
      <c r="BE63" s="152" t="str">
        <f t="array" ref="BE63">ifna(xlookup(AY57, 'Week 6'!$A:$A, 'Week 6'!$E:$E), "")</f>
        <v/>
      </c>
      <c r="BF63" s="152" t="str">
        <f t="array" ref="BF63">ifna(xlookup(AY57, 'Week 6'!$A:$A, 'Week 6'!$F:$F), "")</f>
        <v/>
      </c>
      <c r="BG63" s="152" t="str">
        <f t="array" ref="BG63">ifna(xlookup(AY57, 'Week 6'!$A:$A, 'Week 6'!$I:$I), "")</f>
        <v/>
      </c>
      <c r="BH63" s="153" t="str">
        <f t="shared" si="108"/>
        <v/>
      </c>
      <c r="BI63" s="8"/>
      <c r="BJ63" s="8"/>
      <c r="BK63" s="8"/>
      <c r="BL63" s="8"/>
    </row>
    <row r="64">
      <c r="A64" s="151" t="s">
        <v>41</v>
      </c>
      <c r="B64" s="2" t="str">
        <f t="shared" si="97"/>
        <v/>
      </c>
      <c r="C64" s="152" t="str">
        <f t="array" ref="C64">ifna(xlookup(A57, 'Week 7'!$A:$A, 'Week 7'!$B:$B), "")</f>
        <v>Win</v>
      </c>
      <c r="D64" s="152" t="str">
        <f t="array" ref="D64">ifna(xlookup(A57, 'Week 7'!$A:$A, 'Week 7'!$D:$D), "")</f>
        <v/>
      </c>
      <c r="E64" s="152" t="str">
        <f t="array" ref="E64">ifna(xlookup(A57, 'Week 7'!$A:$A, 'Week 7'!$G:$G), "")</f>
        <v/>
      </c>
      <c r="F64" s="152" t="str">
        <f t="array" ref="F64">ifna(xlookup(A57, 'Week 7'!$A:$A, 'Week 7'!$H:$H), "")</f>
        <v/>
      </c>
      <c r="G64" s="152" t="str">
        <f t="array" ref="G64">ifna(xlookup(A57, 'Week 7'!$A:$A, 'Week 7'!$E:$E), "")</f>
        <v/>
      </c>
      <c r="H64" s="152" t="str">
        <f t="array" ref="H64">ifna(xlookup(A57, 'Week 7'!$A:$A, 'Week 7'!$F:$F), "")</f>
        <v/>
      </c>
      <c r="I64" s="152" t="str">
        <f t="array" ref="I64">ifna(xlookup(A57, 'Week 7'!$A:$A, 'Week 7'!$I:$I), "")</f>
        <v/>
      </c>
      <c r="J64" s="153" t="str">
        <f t="shared" si="98"/>
        <v/>
      </c>
      <c r="K64" s="151" t="s">
        <v>41</v>
      </c>
      <c r="L64" s="2" t="str">
        <f t="shared" si="99"/>
        <v>Yes</v>
      </c>
      <c r="M64" s="152" t="str">
        <f t="array" ref="M64">ifna(xlookup(K57, 'Week 7'!$A:$A, 'Week 7'!$B:$B), "")</f>
        <v>Win</v>
      </c>
      <c r="N64" s="152">
        <f t="array" ref="N64">ifna(xlookup(K57, 'Week 7'!$A:$A, 'Week 7'!$D:$D), "")</f>
        <v>11</v>
      </c>
      <c r="O64" s="152">
        <f t="array" ref="O64">ifna(xlookup(K57, 'Week 7'!$A:$A, 'Week 7'!$G:$G), "")</f>
        <v>4</v>
      </c>
      <c r="P64" s="152">
        <f t="array" ref="P64">ifna(xlookup(K57, 'Week 7'!$A:$A, 'Week 7'!$H:$H), "")</f>
        <v>1</v>
      </c>
      <c r="Q64" s="152">
        <f t="array" ref="Q64">ifna(xlookup(K57, 'Week 7'!$A:$A, 'Week 7'!$E:$E), "")</f>
        <v>6</v>
      </c>
      <c r="R64" s="152">
        <f t="array" ref="R64">ifna(xlookup(K57, 'Week 7'!$A:$A, 'Week 7'!$F:$F), "")</f>
        <v>0</v>
      </c>
      <c r="S64" s="152">
        <f t="array" ref="S64">ifna(xlookup(K57, 'Week 7'!$A:$A, 'Week 7'!$I:$I), "")</f>
        <v>22</v>
      </c>
      <c r="T64" s="153">
        <f t="shared" si="100"/>
        <v>0.3333333333</v>
      </c>
      <c r="U64" s="151" t="s">
        <v>41</v>
      </c>
      <c r="V64" s="2" t="str">
        <f t="shared" si="101"/>
        <v/>
      </c>
      <c r="W64" s="152" t="str">
        <f t="array" ref="W64">ifna(xlookup(U57, 'Week 7'!$A:$A, 'Week 7'!$B:$B), "")</f>
        <v>Loss</v>
      </c>
      <c r="X64" s="152" t="str">
        <f t="array" ref="X64">ifna(xlookup(U57, 'Week 7'!$A:$A, 'Week 7'!$D:$D), "")</f>
        <v/>
      </c>
      <c r="Y64" s="152" t="str">
        <f t="array" ref="Y64">ifna(xlookup(U57, 'Week 7'!$A:$A, 'Week 7'!$G:$G), "")</f>
        <v/>
      </c>
      <c r="Z64" s="152" t="str">
        <f t="array" ref="Z64">ifna(xlookup(U57, 'Week 7'!$A:$A, 'Week 7'!$H:$H), "")</f>
        <v/>
      </c>
      <c r="AA64" s="152" t="str">
        <f t="array" ref="AA64">ifna(xlookup(U57, 'Week 7'!$A:$A, 'Week 7'!$E:$E), "")</f>
        <v/>
      </c>
      <c r="AB64" s="152" t="str">
        <f t="array" ref="AB64">ifna(xlookup(U57, 'Week 7'!$A:$A, 'Week 7'!$F:$F), "")</f>
        <v/>
      </c>
      <c r="AC64" s="152" t="str">
        <f t="array" ref="AC64">ifna(xlookup(U57, 'Week 7'!$A:$A, 'Week 7'!$I:$I), "")</f>
        <v/>
      </c>
      <c r="AD64" s="153" t="str">
        <f t="shared" si="102"/>
        <v/>
      </c>
      <c r="AE64" s="151" t="s">
        <v>41</v>
      </c>
      <c r="AF64" s="2" t="str">
        <f t="shared" si="103"/>
        <v/>
      </c>
      <c r="AG64" s="152" t="str">
        <f t="array" ref="AG64">ifna(xlookup(AE57, 'Week 7'!$A:$A, 'Week 7'!$B:$B), "")</f>
        <v>Loss</v>
      </c>
      <c r="AH64" s="152" t="str">
        <f t="array" ref="AH64">ifna(xlookup(AE57, 'Week 7'!$A:$A, 'Week 7'!$D:$D), "")</f>
        <v/>
      </c>
      <c r="AI64" s="152" t="str">
        <f t="array" ref="AI64">ifna(xlookup(AE57, 'Week 7'!$A:$A, 'Week 7'!$G:$G), "")</f>
        <v/>
      </c>
      <c r="AJ64" s="152" t="str">
        <f t="array" ref="AJ64">ifna(xlookup(AE57, 'Week 7'!$A:$A, 'Week 7'!$H:$H), "")</f>
        <v/>
      </c>
      <c r="AK64" s="152" t="str">
        <f t="array" ref="AK64">ifna(xlookup(AE57, 'Week 7'!$A:$A, 'Week 7'!$E:$E), "")</f>
        <v/>
      </c>
      <c r="AL64" s="152" t="str">
        <f t="array" ref="AL64">ifna(xlookup(AE57, 'Week 7'!$A:$A, 'Week 7'!$F:$F), "")</f>
        <v/>
      </c>
      <c r="AM64" s="152" t="str">
        <f t="array" ref="AM64">ifna(xlookup(AE57, 'Week 7'!$A:$A, 'Week 7'!$I:$I), "")</f>
        <v/>
      </c>
      <c r="AN64" s="153" t="str">
        <f t="shared" si="104"/>
        <v/>
      </c>
      <c r="AO64" s="151" t="s">
        <v>41</v>
      </c>
      <c r="AP64" s="2" t="str">
        <f t="shared" si="105"/>
        <v>Yes</v>
      </c>
      <c r="AQ64" s="152" t="str">
        <f t="array" ref="AQ64">ifna(xlookup(AO57, 'Week 7'!$A:$A, 'Week 7'!$B:$B), "")</f>
        <v>Win</v>
      </c>
      <c r="AR64" s="152">
        <f t="array" ref="AR64">ifna(xlookup(AO57, 'Week 7'!$A:$A, 'Week 7'!$D:$D), "")</f>
        <v>18</v>
      </c>
      <c r="AS64" s="152">
        <f t="array" ref="AS64">ifna(xlookup(AO57, 'Week 7'!$A:$A, 'Week 7'!$G:$G), "")</f>
        <v>15</v>
      </c>
      <c r="AT64" s="152">
        <f t="array" ref="AT64">ifna(xlookup(AO57, 'Week 7'!$A:$A, 'Week 7'!$H:$H), "")</f>
        <v>1</v>
      </c>
      <c r="AU64" s="152">
        <f t="array" ref="AU64">ifna(xlookup(AO57, 'Week 7'!$A:$A, 'Week 7'!$E:$E), "")</f>
        <v>2</v>
      </c>
      <c r="AV64" s="152">
        <f t="array" ref="AV64">ifna(xlookup(AO57, 'Week 7'!$A:$A, 'Week 7'!$F:$F), "")</f>
        <v>0</v>
      </c>
      <c r="AW64" s="152">
        <f t="array" ref="AW64">ifna(xlookup(AO57, 'Week 7'!$A:$A, 'Week 7'!$I:$I), "")</f>
        <v>27</v>
      </c>
      <c r="AX64" s="153">
        <f t="shared" si="106"/>
        <v>0.4</v>
      </c>
      <c r="AY64" s="151" t="s">
        <v>41</v>
      </c>
      <c r="AZ64" s="2" t="str">
        <f t="shared" si="107"/>
        <v/>
      </c>
      <c r="BA64" s="152" t="str">
        <f t="array" ref="BA64">ifna(xlookup(AY57, 'Week 7'!$A:$A, 'Week 7'!$B:$B), "")</f>
        <v>Loss</v>
      </c>
      <c r="BB64" s="152" t="str">
        <f t="array" ref="BB64">ifna(xlookup(AY57, 'Week 7'!$A:$A, 'Week 7'!$D:$D), "")</f>
        <v/>
      </c>
      <c r="BC64" s="152" t="str">
        <f t="array" ref="BC64">ifna(xlookup(AY57, 'Week 7'!$A:$A, 'Week 7'!$G:$G), "")</f>
        <v/>
      </c>
      <c r="BD64" s="152" t="str">
        <f t="array" ref="BD64">ifna(xlookup(AY57, 'Week 7'!$A:$A, 'Week 7'!$H:$H), "")</f>
        <v/>
      </c>
      <c r="BE64" s="152" t="str">
        <f t="array" ref="BE64">ifna(xlookup(AY57, 'Week 7'!$A:$A, 'Week 7'!$E:$E), "")</f>
        <v/>
      </c>
      <c r="BF64" s="152" t="str">
        <f t="array" ref="BF64">ifna(xlookup(AY57, 'Week 7'!$A:$A, 'Week 7'!$F:$F), "")</f>
        <v/>
      </c>
      <c r="BG64" s="152" t="str">
        <f t="array" ref="BG64">ifna(xlookup(AY57, 'Week 7'!$A:$A, 'Week 7'!$I:$I), "")</f>
        <v/>
      </c>
      <c r="BH64" s="153" t="str">
        <f t="shared" si="108"/>
        <v/>
      </c>
      <c r="BI64" s="8"/>
      <c r="BJ64" s="8"/>
      <c r="BK64" s="8"/>
      <c r="BL64" s="8"/>
    </row>
    <row r="65">
      <c r="A65" s="151" t="s">
        <v>181</v>
      </c>
      <c r="B65" s="2"/>
      <c r="C65" s="2"/>
      <c r="D65" s="2"/>
      <c r="E65" s="2"/>
      <c r="F65" s="2"/>
      <c r="G65" s="2"/>
      <c r="H65" s="2"/>
      <c r="I65" s="2"/>
      <c r="J65" s="153"/>
      <c r="K65" s="151" t="s">
        <v>181</v>
      </c>
      <c r="L65" s="2"/>
      <c r="M65" s="2"/>
      <c r="N65" s="2"/>
      <c r="O65" s="2"/>
      <c r="P65" s="2"/>
      <c r="Q65" s="2"/>
      <c r="R65" s="2"/>
      <c r="S65" s="2"/>
      <c r="T65" s="153"/>
      <c r="U65" s="151" t="s">
        <v>181</v>
      </c>
      <c r="V65" s="2"/>
      <c r="W65" s="2"/>
      <c r="X65" s="2"/>
      <c r="Y65" s="2"/>
      <c r="Z65" s="2"/>
      <c r="AA65" s="2"/>
      <c r="AB65" s="2"/>
      <c r="AC65" s="2"/>
      <c r="AD65" s="153"/>
      <c r="AE65" s="151" t="s">
        <v>181</v>
      </c>
      <c r="AF65" s="2"/>
      <c r="AG65" s="2"/>
      <c r="AH65" s="2"/>
      <c r="AI65" s="2"/>
      <c r="AJ65" s="2"/>
      <c r="AK65" s="2"/>
      <c r="AL65" s="2"/>
      <c r="AM65" s="2"/>
      <c r="AN65" s="153"/>
      <c r="AO65" s="151" t="s">
        <v>181</v>
      </c>
      <c r="AP65" s="2"/>
      <c r="AQ65" s="2"/>
      <c r="AR65" s="2"/>
      <c r="AS65" s="2"/>
      <c r="AT65" s="2"/>
      <c r="AU65" s="2"/>
      <c r="AV65" s="2"/>
      <c r="AW65" s="2"/>
      <c r="AX65" s="153"/>
      <c r="AY65" s="151" t="s">
        <v>181</v>
      </c>
      <c r="AZ65" s="2"/>
      <c r="BA65" s="2"/>
      <c r="BB65" s="2"/>
      <c r="BC65" s="2"/>
      <c r="BD65" s="2"/>
      <c r="BE65" s="2"/>
      <c r="BF65" s="2"/>
      <c r="BG65" s="2"/>
      <c r="BH65" s="153"/>
      <c r="BI65" s="8"/>
      <c r="BJ65" s="8"/>
      <c r="BK65" s="8"/>
      <c r="BL65" s="8"/>
    </row>
    <row r="66">
      <c r="A66" s="151" t="s">
        <v>182</v>
      </c>
      <c r="B66" s="2"/>
      <c r="C66" s="2"/>
      <c r="D66" s="2"/>
      <c r="E66" s="2"/>
      <c r="F66" s="2"/>
      <c r="G66" s="2"/>
      <c r="H66" s="2"/>
      <c r="I66" s="2"/>
      <c r="J66" s="153"/>
      <c r="K66" s="151" t="s">
        <v>182</v>
      </c>
      <c r="L66" s="2"/>
      <c r="M66" s="2"/>
      <c r="N66" s="2"/>
      <c r="O66" s="2"/>
      <c r="P66" s="2"/>
      <c r="Q66" s="2"/>
      <c r="R66" s="2"/>
      <c r="S66" s="2"/>
      <c r="T66" s="153"/>
      <c r="U66" s="151" t="s">
        <v>182</v>
      </c>
      <c r="V66" s="2"/>
      <c r="W66" s="2"/>
      <c r="X66" s="2"/>
      <c r="Y66" s="2"/>
      <c r="Z66" s="2"/>
      <c r="AA66" s="2"/>
      <c r="AB66" s="2"/>
      <c r="AC66" s="2"/>
      <c r="AD66" s="153"/>
      <c r="AE66" s="151" t="s">
        <v>182</v>
      </c>
      <c r="AF66" s="2"/>
      <c r="AG66" s="2"/>
      <c r="AH66" s="2"/>
      <c r="AI66" s="2"/>
      <c r="AJ66" s="2"/>
      <c r="AK66" s="2"/>
      <c r="AL66" s="2"/>
      <c r="AM66" s="2"/>
      <c r="AN66" s="153"/>
      <c r="AO66" s="151" t="s">
        <v>182</v>
      </c>
      <c r="AP66" s="2"/>
      <c r="AQ66" s="2"/>
      <c r="AR66" s="2"/>
      <c r="AS66" s="2"/>
      <c r="AT66" s="2"/>
      <c r="AU66" s="2"/>
      <c r="AV66" s="2"/>
      <c r="AW66" s="2"/>
      <c r="AX66" s="153"/>
      <c r="AY66" s="151" t="s">
        <v>182</v>
      </c>
      <c r="AZ66" s="2"/>
      <c r="BA66" s="2"/>
      <c r="BB66" s="2"/>
      <c r="BC66" s="2"/>
      <c r="BD66" s="2"/>
      <c r="BE66" s="2"/>
      <c r="BF66" s="2"/>
      <c r="BG66" s="2"/>
      <c r="BH66" s="153"/>
      <c r="BI66" s="8"/>
      <c r="BJ66" s="8"/>
      <c r="BK66" s="8"/>
      <c r="BL66" s="8"/>
    </row>
    <row r="67">
      <c r="A67" s="5" t="s">
        <v>183</v>
      </c>
      <c r="B67" s="154">
        <f>countif(B58:B66, "Yes")</f>
        <v>4</v>
      </c>
      <c r="C67" s="155">
        <f>IFERROR( COUNTIFS(B58:B64,"Yes", C58:C64,"Win") / COUNTIF(B58:B64,"Yes"), "")</f>
        <v>0.25</v>
      </c>
      <c r="D67" s="156">
        <f>if(B67&gt;0, average(D58:D66), "")</f>
        <v>15.25</v>
      </c>
      <c r="E67" s="156">
        <f>if(B67&gt;0, average(E58:E66), "")</f>
        <v>8.5</v>
      </c>
      <c r="F67" s="156">
        <f>if(B67&gt;0, average(F58:F66), "")</f>
        <v>0.75</v>
      </c>
      <c r="G67" s="156">
        <f>if(B67&gt;0, average(G58:G66), "")</f>
        <v>6</v>
      </c>
      <c r="H67" s="156">
        <f>if(B67&gt;0, average(H58:H66), "")</f>
        <v>0</v>
      </c>
      <c r="I67" s="156">
        <f>if(B67&gt;0, average(I58:I66), "")</f>
        <v>27.5</v>
      </c>
      <c r="J67" s="157">
        <f>if(B67&gt;0, D67/(I67+D67), "")</f>
        <v>0.3567251462</v>
      </c>
      <c r="K67" s="5" t="s">
        <v>183</v>
      </c>
      <c r="L67" s="154">
        <f>countif(L58:L66, "Yes")</f>
        <v>5</v>
      </c>
      <c r="M67" s="155">
        <f>IFERROR( COUNTIFS(L58:L64,"Yes", M58:M64,"Win") / COUNTIF(L58:L64,"Yes"), "")</f>
        <v>0.4</v>
      </c>
      <c r="N67" s="156">
        <f>if(L67&gt;0, average(N58:N66), "")</f>
        <v>15.6</v>
      </c>
      <c r="O67" s="156">
        <f>if(L67&gt;0, average(O58:O66), "")</f>
        <v>7.8</v>
      </c>
      <c r="P67" s="156">
        <f>if(L67&gt;0, average(P58:P66), "")</f>
        <v>0.8</v>
      </c>
      <c r="Q67" s="156">
        <f>if(L67&gt;0, average(Q58:Q66), "")</f>
        <v>6.4</v>
      </c>
      <c r="R67" s="156">
        <f>if(L67&gt;0, average(R58:R66), "")</f>
        <v>0.6</v>
      </c>
      <c r="S67" s="156">
        <f>if(L67&gt;0, average(S58:S66), "")</f>
        <v>25.6</v>
      </c>
      <c r="T67" s="157">
        <f>if(L67&gt;0, N67/(S67+N67), "")</f>
        <v>0.3786407767</v>
      </c>
      <c r="U67" s="5" t="s">
        <v>183</v>
      </c>
      <c r="V67" s="154">
        <f>countif(V58:V66, "Yes")</f>
        <v>3</v>
      </c>
      <c r="W67" s="155">
        <f>IFERROR( COUNTIFS(V58:V64,"Yes", W58:W64,"Win") / COUNTIF(V58:V64,"Yes"), "")</f>
        <v>0.6666666667</v>
      </c>
      <c r="X67" s="156">
        <f>if(V67&gt;0, average(X58:X66), "")</f>
        <v>13</v>
      </c>
      <c r="Y67" s="156">
        <f>if(V67&gt;0, average(Y58:Y66), "")</f>
        <v>7.666666667</v>
      </c>
      <c r="Z67" s="156">
        <f>if(V67&gt;0, average(Z58:Z66), "")</f>
        <v>0.3333333333</v>
      </c>
      <c r="AA67" s="156">
        <f>if(V67&gt;0, average(AA58:AA66), "")</f>
        <v>4.666666667</v>
      </c>
      <c r="AB67" s="156">
        <f>if(V67&gt;0, average(AB58:AB66), "")</f>
        <v>0.3333333333</v>
      </c>
      <c r="AC67" s="156">
        <f>if(V67&gt;0, average(AC58:AC66), "")</f>
        <v>25.66666667</v>
      </c>
      <c r="AD67" s="157">
        <f>if(V67&gt;0, X67/(AC67+X67), "")</f>
        <v>0.3362068966</v>
      </c>
      <c r="AE67" s="5" t="s">
        <v>183</v>
      </c>
      <c r="AF67" s="154">
        <f>countif(AF58:AF66, "Yes")</f>
        <v>4</v>
      </c>
      <c r="AG67" s="155">
        <f>IFERROR( COUNTIFS(AF58:AF64,"Yes", AG58:AG64,"Win") / COUNTIF(AF58:AF64,"Yes"), "")</f>
        <v>0.5</v>
      </c>
      <c r="AH67" s="156">
        <f>if(AF67&gt;0, average(AH58:AH66), "")</f>
        <v>14.5</v>
      </c>
      <c r="AI67" s="156">
        <f>if(AF67&gt;0, average(AI58:AI66), "")</f>
        <v>11.5</v>
      </c>
      <c r="AJ67" s="156">
        <f>if(AF67&gt;0, average(AJ58:AJ66), "")</f>
        <v>0.5</v>
      </c>
      <c r="AK67" s="156">
        <f>if(AF67&gt;0, average(AK58:AK66), "")</f>
        <v>2.5</v>
      </c>
      <c r="AL67" s="156">
        <f>if(AF67&gt;0, average(AL58:AL66), "")</f>
        <v>0</v>
      </c>
      <c r="AM67" s="156">
        <f>if(AF67&gt;0, average(AM58:AM66), "")</f>
        <v>31.25</v>
      </c>
      <c r="AN67" s="157">
        <f>if(AF67&gt;0, AH67/(AM67+AH67), "")</f>
        <v>0.3169398907</v>
      </c>
      <c r="AO67" s="5" t="s">
        <v>183</v>
      </c>
      <c r="AP67" s="154">
        <f>countif(AP58:AP66, "Yes")</f>
        <v>7</v>
      </c>
      <c r="AQ67" s="155">
        <f>IFERROR( COUNTIFS(AP58:AP64,"Yes", AQ58:AQ64,"Win") / COUNTIF(AP58:AP64,"Yes"), "")</f>
        <v>0.8571428571</v>
      </c>
      <c r="AR67" s="156">
        <f>if(AP67&gt;0, average(AR58:AR66), "")</f>
        <v>16.71428571</v>
      </c>
      <c r="AS67" s="156">
        <f>if(AP67&gt;0, average(AS58:AS66), "")</f>
        <v>9.714285714</v>
      </c>
      <c r="AT67" s="156">
        <f>if(AP67&gt;0, average(AT58:AT66), "")</f>
        <v>0.7142857143</v>
      </c>
      <c r="AU67" s="156">
        <f>if(AP67&gt;0, average(AU58:AU66), "")</f>
        <v>6</v>
      </c>
      <c r="AV67" s="156">
        <f>if(AP67&gt;0, average(AV58:AV66), "")</f>
        <v>0.2857142857</v>
      </c>
      <c r="AW67" s="156">
        <f>if(AP67&gt;0, average(AW58:AW66), "")</f>
        <v>24</v>
      </c>
      <c r="AX67" s="157">
        <f>if(AP67&gt;0, AR67/(AW67+AR67), "")</f>
        <v>0.4105263158</v>
      </c>
      <c r="AY67" s="5" t="s">
        <v>183</v>
      </c>
      <c r="AZ67" s="154">
        <f>countif(AZ58:AZ66, "Yes")</f>
        <v>4</v>
      </c>
      <c r="BA67" s="155">
        <f>IFERROR( COUNTIFS(AZ58:AZ64,"Yes", BA58:BA64,"Win") / COUNTIF(AZ58:AZ64,"Yes"), "")</f>
        <v>0.5</v>
      </c>
      <c r="BB67" s="156">
        <f>if(AZ67&gt;0, average(BB58:BB66), "")</f>
        <v>9.25</v>
      </c>
      <c r="BC67" s="156">
        <f>if(AZ67&gt;0, average(BC58:BC66), "")</f>
        <v>4.25</v>
      </c>
      <c r="BD67" s="156">
        <f>if(AZ67&gt;0, average(BD58:BD66), "")</f>
        <v>0</v>
      </c>
      <c r="BE67" s="156">
        <f>if(AZ67&gt;0, average(BE58:BE66), "")</f>
        <v>4.75</v>
      </c>
      <c r="BF67" s="156">
        <f>if(AZ67&gt;0, average(BF58:BF66), "")</f>
        <v>0.25</v>
      </c>
      <c r="BG67" s="156">
        <f>if(AZ67&gt;0, average(BG58:BG66), "")</f>
        <v>25.75</v>
      </c>
      <c r="BH67" s="157">
        <f>if(AZ67&gt;0, BB67/(BG67+BB67), "")</f>
        <v>0.2642857143</v>
      </c>
      <c r="BI67" s="8"/>
      <c r="BJ67" s="8"/>
      <c r="BK67" s="8"/>
      <c r="BL67" s="8"/>
    </row>
    <row r="68">
      <c r="A68" s="158" t="str">
        <f>Draft!B53</f>
        <v>Vishal</v>
      </c>
      <c r="B68" s="129">
        <f t="shared" ref="B68:J68" si="109">B78</f>
        <v>5</v>
      </c>
      <c r="C68" s="143">
        <f t="shared" si="109"/>
        <v>0.6</v>
      </c>
      <c r="D68" s="144">
        <f t="shared" si="109"/>
        <v>17.6</v>
      </c>
      <c r="E68" s="144">
        <f t="shared" si="109"/>
        <v>7.2</v>
      </c>
      <c r="F68" s="144">
        <f t="shared" si="109"/>
        <v>2.4</v>
      </c>
      <c r="G68" s="144">
        <f t="shared" si="109"/>
        <v>6.6</v>
      </c>
      <c r="H68" s="144">
        <f t="shared" si="109"/>
        <v>1.4</v>
      </c>
      <c r="I68" s="144">
        <f t="shared" si="109"/>
        <v>23</v>
      </c>
      <c r="J68" s="145">
        <f t="shared" si="109"/>
        <v>0.4334975369</v>
      </c>
      <c r="K68" s="159" t="str">
        <f>Draft!C53</f>
        <v>James</v>
      </c>
      <c r="L68" s="129">
        <f t="shared" ref="L68:T68" si="110">L78</f>
        <v>1</v>
      </c>
      <c r="M68" s="143">
        <f t="shared" si="110"/>
        <v>0</v>
      </c>
      <c r="N68" s="144">
        <f t="shared" si="110"/>
        <v>11</v>
      </c>
      <c r="O68" s="144">
        <f t="shared" si="110"/>
        <v>6</v>
      </c>
      <c r="P68" s="144">
        <f t="shared" si="110"/>
        <v>0</v>
      </c>
      <c r="Q68" s="144">
        <f t="shared" si="110"/>
        <v>4</v>
      </c>
      <c r="R68" s="144">
        <f t="shared" si="110"/>
        <v>1</v>
      </c>
      <c r="S68" s="144">
        <f t="shared" si="110"/>
        <v>21</v>
      </c>
      <c r="T68" s="145">
        <f t="shared" si="110"/>
        <v>0.34375</v>
      </c>
      <c r="U68" s="160" t="str">
        <f>Draft!D53</f>
        <v>DPJ</v>
      </c>
      <c r="V68" s="129">
        <f t="shared" ref="V68:AD68" si="111">V78</f>
        <v>0</v>
      </c>
      <c r="W68" s="143" t="str">
        <f t="shared" si="111"/>
        <v/>
      </c>
      <c r="X68" s="144" t="str">
        <f t="shared" si="111"/>
        <v/>
      </c>
      <c r="Y68" s="144" t="str">
        <f t="shared" si="111"/>
        <v/>
      </c>
      <c r="Z68" s="144" t="str">
        <f t="shared" si="111"/>
        <v/>
      </c>
      <c r="AA68" s="144" t="str">
        <f t="shared" si="111"/>
        <v/>
      </c>
      <c r="AB68" s="144" t="str">
        <f t="shared" si="111"/>
        <v/>
      </c>
      <c r="AC68" s="144" t="str">
        <f t="shared" si="111"/>
        <v/>
      </c>
      <c r="AD68" s="145" t="str">
        <f t="shared" si="111"/>
        <v/>
      </c>
      <c r="AE68" s="161" t="str">
        <f>Draft!E53</f>
        <v>Haldar</v>
      </c>
      <c r="AF68" s="129">
        <f t="shared" ref="AF68:AN68" si="112">AF78</f>
        <v>1</v>
      </c>
      <c r="AG68" s="143">
        <f t="shared" si="112"/>
        <v>0</v>
      </c>
      <c r="AH68" s="144">
        <f t="shared" si="112"/>
        <v>19</v>
      </c>
      <c r="AI68" s="144">
        <f t="shared" si="112"/>
        <v>7</v>
      </c>
      <c r="AJ68" s="144">
        <f t="shared" si="112"/>
        <v>2</v>
      </c>
      <c r="AK68" s="144">
        <f t="shared" si="112"/>
        <v>9</v>
      </c>
      <c r="AL68" s="144">
        <f t="shared" si="112"/>
        <v>1</v>
      </c>
      <c r="AM68" s="144">
        <f t="shared" si="112"/>
        <v>29</v>
      </c>
      <c r="AN68" s="145">
        <f t="shared" si="112"/>
        <v>0.3958333333</v>
      </c>
      <c r="AO68" s="162" t="str">
        <f>Draft!F53</f>
        <v>Kyi</v>
      </c>
      <c r="AP68" s="129">
        <f t="shared" ref="AP68:AX68" si="113">AP78</f>
        <v>2</v>
      </c>
      <c r="AQ68" s="143">
        <f t="shared" si="113"/>
        <v>1</v>
      </c>
      <c r="AR68" s="144">
        <f t="shared" si="113"/>
        <v>15</v>
      </c>
      <c r="AS68" s="144">
        <f t="shared" si="113"/>
        <v>7</v>
      </c>
      <c r="AT68" s="144">
        <f t="shared" si="113"/>
        <v>1.5</v>
      </c>
      <c r="AU68" s="144">
        <f t="shared" si="113"/>
        <v>6</v>
      </c>
      <c r="AV68" s="144">
        <f t="shared" si="113"/>
        <v>0.5</v>
      </c>
      <c r="AW68" s="144">
        <f t="shared" si="113"/>
        <v>25</v>
      </c>
      <c r="AX68" s="145">
        <f t="shared" si="113"/>
        <v>0.375</v>
      </c>
      <c r="AY68" s="163" t="str">
        <f>Draft!G53</f>
        <v>Will Blankenship</v>
      </c>
      <c r="AZ68" s="129">
        <f t="shared" ref="AZ68:BH68" si="114">AZ78</f>
        <v>0</v>
      </c>
      <c r="BA68" s="143" t="str">
        <f t="shared" si="114"/>
        <v/>
      </c>
      <c r="BB68" s="144" t="str">
        <f t="shared" si="114"/>
        <v/>
      </c>
      <c r="BC68" s="144" t="str">
        <f t="shared" si="114"/>
        <v/>
      </c>
      <c r="BD68" s="144" t="str">
        <f t="shared" si="114"/>
        <v/>
      </c>
      <c r="BE68" s="144" t="str">
        <f t="shared" si="114"/>
        <v/>
      </c>
      <c r="BF68" s="144" t="str">
        <f t="shared" si="114"/>
        <v/>
      </c>
      <c r="BG68" s="144" t="str">
        <f t="shared" si="114"/>
        <v/>
      </c>
      <c r="BH68" s="145" t="str">
        <f t="shared" si="114"/>
        <v/>
      </c>
      <c r="BI68" s="8"/>
      <c r="BJ68" s="8"/>
      <c r="BK68" s="8"/>
      <c r="BL68" s="8"/>
    </row>
    <row r="69">
      <c r="A69" s="151" t="s">
        <v>5</v>
      </c>
      <c r="B69" s="2" t="str">
        <f t="shared" ref="B69:B75" si="115">ifna(if(I69&lt;&gt;"", "Yes", ""), "")</f>
        <v/>
      </c>
      <c r="C69" s="152" t="str">
        <f t="array" ref="C69">ifna(xlookup(A68, 'Week 1'!$A:$A, 'Week 1'!$B:$B), "")</f>
        <v>Loss</v>
      </c>
      <c r="D69" s="152" t="str">
        <f t="array" ref="D69">ifna(xlookup(A68, 'Week 1'!$A:$A, 'Week 1'!$D:$D), "")</f>
        <v/>
      </c>
      <c r="E69" s="152" t="str">
        <f t="array" ref="E69">ifna(xlookup(A68, 'Week 1'!$A:$A, 'Week 1'!$G:$G), "")</f>
        <v/>
      </c>
      <c r="F69" s="152" t="str">
        <f t="array" ref="F69">ifna(xlookup(A68, 'Week 1'!$A:$A, 'Week 1'!$H:$H), "")</f>
        <v/>
      </c>
      <c r="G69" s="152" t="str">
        <f t="array" ref="G69">ifna(xlookup(A68, 'Week 1'!$A:$A, 'Week 1'!$E:$E), "")</f>
        <v/>
      </c>
      <c r="H69" s="152" t="str">
        <f t="array" ref="H69">ifna(xlookup(A68, 'Week 1'!$A:$A, 'Week 1'!$F:$F), "")</f>
        <v/>
      </c>
      <c r="I69" s="152" t="str">
        <f t="array" ref="I69">ifna(xlookup(A68, 'Week 1'!$A:$A, 'Week 1'!$I:$I), "")</f>
        <v/>
      </c>
      <c r="J69" s="153" t="str">
        <f t="shared" ref="J69:J75" si="116">iferror(IF(D69&gt;0, (D69/(D69+I69)), ""),"")</f>
        <v/>
      </c>
      <c r="K69" s="151" t="s">
        <v>5</v>
      </c>
      <c r="L69" s="2" t="str">
        <f t="shared" ref="L69:L75" si="117">ifna(if(S69&lt;&gt;"", "Yes", ""), "")</f>
        <v>Yes</v>
      </c>
      <c r="M69" s="152" t="str">
        <f t="array" ref="M69">ifna(xlookup(K68, 'Week 1'!$A:$A, 'Week 1'!$B:$B), "")</f>
        <v>Loss</v>
      </c>
      <c r="N69" s="152">
        <f t="array" ref="N69">ifna(xlookup(K68, 'Week 1'!$A:$A, 'Week 1'!$D:$D), "")</f>
        <v>11</v>
      </c>
      <c r="O69" s="152">
        <f t="array" ref="O69">ifna(xlookup(K68, 'Week 1'!$A:$A, 'Week 1'!$G:$G), "")</f>
        <v>6</v>
      </c>
      <c r="P69" s="152">
        <f t="array" ref="P69">ifna(xlookup(K68, 'Week 1'!$A:$A, 'Week 1'!$H:$H), "")</f>
        <v>0</v>
      </c>
      <c r="Q69" s="152">
        <f t="array" ref="Q69">ifna(xlookup(K68, 'Week 1'!$A:$A, 'Week 1'!$E:$E), "")</f>
        <v>4</v>
      </c>
      <c r="R69" s="152">
        <f t="array" ref="R69">ifna(xlookup(K68, 'Week 1'!$A:$A, 'Week 1'!$F:$F), "")</f>
        <v>1</v>
      </c>
      <c r="S69" s="152">
        <f t="array" ref="S69">ifna(xlookup(K68, 'Week 1'!$A:$A, 'Week 1'!$I:$I), "")</f>
        <v>21</v>
      </c>
      <c r="T69" s="153">
        <f t="shared" ref="T69:T75" si="118">iferror(IF(N69&gt;0, (N69/(N69+S69)), ""),"")</f>
        <v>0.34375</v>
      </c>
      <c r="U69" s="151" t="s">
        <v>5</v>
      </c>
      <c r="V69" s="2" t="str">
        <f t="shared" ref="V69:V75" si="119">ifna(if(AC69&lt;&gt;"", "Yes", ""), "")</f>
        <v/>
      </c>
      <c r="W69" s="152" t="str">
        <f t="array" ref="W69">ifna(xlookup(U68, 'Week 1'!$A:$A, 'Week 1'!$B:$B), "")</f>
        <v/>
      </c>
      <c r="X69" s="152" t="str">
        <f t="array" ref="X69">ifna(xlookup(U68, 'Week 1'!$A:$A, 'Week 1'!$D:$D), "")</f>
        <v/>
      </c>
      <c r="Y69" s="152" t="str">
        <f t="array" ref="Y69">ifna(xlookup(U68, 'Week 1'!$A:$A, 'Week 1'!$G:$G), "")</f>
        <v/>
      </c>
      <c r="Z69" s="152" t="str">
        <f t="array" ref="Z69">ifna(xlookup(U68, 'Week 1'!$A:$A, 'Week 1'!$H:$H), "")</f>
        <v/>
      </c>
      <c r="AA69" s="152" t="str">
        <f t="array" ref="AA69">ifna(xlookup(U68, 'Week 1'!$A:$A, 'Week 1'!$E:$E), "")</f>
        <v/>
      </c>
      <c r="AB69" s="152" t="str">
        <f t="array" ref="AB69">ifna(xlookup(U68, 'Week 1'!$A:$A, 'Week 1'!$F:$F), "")</f>
        <v/>
      </c>
      <c r="AC69" s="152" t="str">
        <f t="array" ref="AC69">ifna(xlookup(U68, 'Week 1'!$A:$A, 'Week 1'!$I:$I), "")</f>
        <v/>
      </c>
      <c r="AD69" s="153" t="str">
        <f t="shared" ref="AD69:AD75" si="120">iferror(IF(X69&gt;0, (X69/(X69+AC69)), ""),"")</f>
        <v/>
      </c>
      <c r="AE69" s="151" t="s">
        <v>5</v>
      </c>
      <c r="AF69" s="2" t="str">
        <f t="shared" ref="AF69:AF75" si="121">ifna(if(AM69&lt;&gt;"", "Yes", ""), "")</f>
        <v/>
      </c>
      <c r="AG69" s="152" t="str">
        <f t="array" ref="AG69">ifna(xlookup(AE68, 'Week 1'!$A:$A, 'Week 1'!$B:$B), "")</f>
        <v>Win</v>
      </c>
      <c r="AH69" s="152" t="str">
        <f t="array" ref="AH69">ifna(xlookup(AE68, 'Week 1'!$A:$A, 'Week 1'!$D:$D), "")</f>
        <v/>
      </c>
      <c r="AI69" s="152" t="str">
        <f t="array" ref="AI69">ifna(xlookup(AE68, 'Week 1'!$A:$A, 'Week 1'!$G:$G), "")</f>
        <v/>
      </c>
      <c r="AJ69" s="152" t="str">
        <f t="array" ref="AJ69">ifna(xlookup(AE68, 'Week 1'!$A:$A, 'Week 1'!$H:$H), "")</f>
        <v/>
      </c>
      <c r="AK69" s="152" t="str">
        <f t="array" ref="AK69">ifna(xlookup(AE68, 'Week 1'!$A:$A, 'Week 1'!$E:$E), "")</f>
        <v/>
      </c>
      <c r="AL69" s="152" t="str">
        <f t="array" ref="AL69">ifna(xlookup(AE68, 'Week 1'!$A:$A, 'Week 1'!$F:$F), "")</f>
        <v/>
      </c>
      <c r="AM69" s="152" t="str">
        <f t="array" ref="AM69">ifna(xlookup(AE68, 'Week 1'!$A:$A, 'Week 1'!$I:$I), "")</f>
        <v/>
      </c>
      <c r="AN69" s="153" t="str">
        <f t="shared" ref="AN69:AN75" si="122">iferror(IF(AH69&gt;0, (AH69/(AH69+AM69)), ""),"")</f>
        <v/>
      </c>
      <c r="AO69" s="151" t="s">
        <v>5</v>
      </c>
      <c r="AP69" s="2" t="str">
        <f t="shared" ref="AP69:AP75" si="123">ifna(if(AW69&lt;&gt;"", "Yes", ""), "")</f>
        <v/>
      </c>
      <c r="AQ69" s="152" t="str">
        <f t="array" ref="AQ69">ifna(xlookup(AO68, 'Week 1'!$A:$A, 'Week 1'!$B:$B), "")</f>
        <v>Loss</v>
      </c>
      <c r="AR69" s="152" t="str">
        <f t="array" ref="AR69">ifna(xlookup(AO68, 'Week 1'!$A:$A, 'Week 1'!$D:$D), "")</f>
        <v/>
      </c>
      <c r="AS69" s="152" t="str">
        <f t="array" ref="AS69">ifna(xlookup(AO68, 'Week 1'!$A:$A, 'Week 1'!$G:$G), "")</f>
        <v/>
      </c>
      <c r="AT69" s="152" t="str">
        <f t="array" ref="AT69">ifna(xlookup(AO68, 'Week 1'!$A:$A, 'Week 1'!$H:$H), "")</f>
        <v/>
      </c>
      <c r="AU69" s="152" t="str">
        <f t="array" ref="AU69">ifna(xlookup(AO68, 'Week 1'!$A:$A, 'Week 1'!$E:$E), "")</f>
        <v/>
      </c>
      <c r="AV69" s="152" t="str">
        <f t="array" ref="AV69">ifna(xlookup(AO68, 'Week 1'!$A:$A, 'Week 1'!$F:$F), "")</f>
        <v/>
      </c>
      <c r="AW69" s="152" t="str">
        <f t="array" ref="AW69">ifna(xlookup(AO68, 'Week 1'!$A:$A, 'Week 1'!$I:$I), "")</f>
        <v/>
      </c>
      <c r="AX69" s="153" t="str">
        <f t="shared" ref="AX69:AX75" si="124">iferror(IF(AR69&gt;0, (AR69/(AR69+AW69)), ""),"")</f>
        <v/>
      </c>
      <c r="AY69" s="151" t="s">
        <v>5</v>
      </c>
      <c r="AZ69" s="2" t="str">
        <f t="shared" ref="AZ69:AZ75" si="125">ifna(if(BG69&lt;&gt;"", "Yes", ""), "")</f>
        <v/>
      </c>
      <c r="BA69" s="152" t="str">
        <f t="array" ref="BA69">ifna(xlookup(AY68, 'Week 1'!$A:$A, 'Week 1'!$B:$B), "")</f>
        <v/>
      </c>
      <c r="BB69" s="152" t="str">
        <f t="array" ref="BB69">ifna(xlookup(AY68, 'Week 1'!$A:$A, 'Week 1'!$D:$D), "")</f>
        <v/>
      </c>
      <c r="BC69" s="152" t="str">
        <f t="array" ref="BC69">ifna(xlookup(AY68, 'Week 1'!$A:$A, 'Week 1'!$G:$G), "")</f>
        <v/>
      </c>
      <c r="BD69" s="152" t="str">
        <f t="array" ref="BD69">ifna(xlookup(AY68, 'Week 1'!$A:$A, 'Week 1'!$H:$H), "")</f>
        <v/>
      </c>
      <c r="BE69" s="152" t="str">
        <f t="array" ref="BE69">ifna(xlookup(AY68, 'Week 1'!$A:$A, 'Week 1'!$E:$E), "")</f>
        <v/>
      </c>
      <c r="BF69" s="152" t="str">
        <f t="array" ref="BF69">ifna(xlookup(AY68, 'Week 1'!$A:$A, 'Week 1'!$F:$F), "")</f>
        <v/>
      </c>
      <c r="BG69" s="152" t="str">
        <f t="array" ref="BG69">ifna(xlookup(AY68, 'Week 1'!$A:$A, 'Week 1'!$I:$I), "")</f>
        <v/>
      </c>
      <c r="BH69" s="153" t="str">
        <f t="shared" ref="BH69:BH75" si="126">iferror(IF(BB69&gt;0, (BB69/(BB69+BG69)), ""),"")</f>
        <v/>
      </c>
      <c r="BI69" s="8"/>
      <c r="BJ69" s="8"/>
      <c r="BK69" s="8"/>
      <c r="BL69" s="8"/>
    </row>
    <row r="70">
      <c r="A70" s="151" t="s">
        <v>7</v>
      </c>
      <c r="B70" s="2" t="str">
        <f t="shared" si="115"/>
        <v/>
      </c>
      <c r="C70" s="152" t="str">
        <f t="array" ref="C70">ifna(xlookup(A68, 'Week 2'!$A:$A, 'Week 2'!$B:$B), "")</f>
        <v>Loss</v>
      </c>
      <c r="D70" s="152" t="str">
        <f t="array" ref="D70">ifna(xlookup(A68, 'Week 2'!$A:$A, 'Week 2'!$D:$D), "")</f>
        <v/>
      </c>
      <c r="E70" s="152" t="str">
        <f t="array" ref="E70">ifna(xlookup(A68, 'Week 2'!$A:$A, 'Week 2'!$G:$G), "")</f>
        <v/>
      </c>
      <c r="F70" s="152" t="str">
        <f t="array" ref="F70">ifna(xlookup(A68, 'Week 2'!$A:$A, 'Week 2'!$H:$H), "")</f>
        <v/>
      </c>
      <c r="G70" s="152" t="str">
        <f t="array" ref="G70">ifna(xlookup(A68, 'Week 2'!$A:$A, 'Week 2'!$E:$E), "")</f>
        <v/>
      </c>
      <c r="H70" s="152" t="str">
        <f t="array" ref="H70">ifna(xlookup(A68, 'Week 2'!$A:$A, 'Week 2'!$F:$F), "")</f>
        <v/>
      </c>
      <c r="I70" s="152" t="str">
        <f t="array" ref="I70">ifna(xlookup(A68, 'Week 2'!$A:$A, 'Week 2'!$I:$I), "")</f>
        <v/>
      </c>
      <c r="J70" s="153" t="str">
        <f t="shared" si="116"/>
        <v/>
      </c>
      <c r="K70" s="151" t="s">
        <v>7</v>
      </c>
      <c r="L70" s="2" t="str">
        <f t="shared" si="117"/>
        <v/>
      </c>
      <c r="M70" s="152" t="str">
        <f t="array" ref="M70">ifna(xlookup(K68, 'Week 2'!$A:$A, 'Week 2'!$B:$B), "")</f>
        <v>Loss</v>
      </c>
      <c r="N70" s="152" t="str">
        <f t="array" ref="N70">ifna(xlookup(K68, 'Week 2'!$A:$A, 'Week 2'!$D:$D), "")</f>
        <v/>
      </c>
      <c r="O70" s="152" t="str">
        <f t="array" ref="O70">ifna(xlookup(K68, 'Week 2'!$A:$A, 'Week 2'!$G:$G), "")</f>
        <v/>
      </c>
      <c r="P70" s="152" t="str">
        <f t="array" ref="P70">ifna(xlookup(K68, 'Week 2'!$A:$A, 'Week 2'!$H:$H), "")</f>
        <v/>
      </c>
      <c r="Q70" s="152" t="str">
        <f t="array" ref="Q70">ifna(xlookup(K68, 'Week 2'!$A:$A, 'Week 2'!$E:$E), "")</f>
        <v/>
      </c>
      <c r="R70" s="152" t="str">
        <f t="array" ref="R70">ifna(xlookup(K68, 'Week 2'!$A:$A, 'Week 2'!$F:$F), "")</f>
        <v/>
      </c>
      <c r="S70" s="152" t="str">
        <f t="array" ref="S70">ifna(xlookup(K68, 'Week 2'!$A:$A, 'Week 2'!$I:$I), "")</f>
        <v/>
      </c>
      <c r="T70" s="153" t="str">
        <f t="shared" si="118"/>
        <v/>
      </c>
      <c r="U70" s="151" t="s">
        <v>7</v>
      </c>
      <c r="V70" s="2" t="str">
        <f t="shared" si="119"/>
        <v/>
      </c>
      <c r="W70" s="152" t="str">
        <f t="array" ref="W70">ifna(xlookup(U68, 'Week 2'!$A:$A, 'Week 2'!$B:$B), "")</f>
        <v/>
      </c>
      <c r="X70" s="152" t="str">
        <f t="array" ref="X70">ifna(xlookup(U68, 'Week 2'!$A:$A, 'Week 2'!$D:$D), "")</f>
        <v/>
      </c>
      <c r="Y70" s="152" t="str">
        <f t="array" ref="Y70">ifna(xlookup(U68, 'Week 2'!$A:$A, 'Week 2'!$G:$G), "")</f>
        <v/>
      </c>
      <c r="Z70" s="152" t="str">
        <f t="array" ref="Z70">ifna(xlookup(U68, 'Week 2'!$A:$A, 'Week 2'!$H:$H), "")</f>
        <v/>
      </c>
      <c r="AA70" s="152" t="str">
        <f t="array" ref="AA70">ifna(xlookup(U68, 'Week 2'!$A:$A, 'Week 2'!$E:$E), "")</f>
        <v/>
      </c>
      <c r="AB70" s="152" t="str">
        <f t="array" ref="AB70">ifna(xlookup(U68, 'Week 2'!$A:$A, 'Week 2'!$F:$F), "")</f>
        <v/>
      </c>
      <c r="AC70" s="152" t="str">
        <f t="array" ref="AC70">ifna(xlookup(U68, 'Week 2'!$A:$A, 'Week 2'!$I:$I), "")</f>
        <v/>
      </c>
      <c r="AD70" s="153" t="str">
        <f t="shared" si="120"/>
        <v/>
      </c>
      <c r="AE70" s="151" t="s">
        <v>7</v>
      </c>
      <c r="AF70" s="2" t="str">
        <f t="shared" si="121"/>
        <v/>
      </c>
      <c r="AG70" s="152" t="str">
        <f t="array" ref="AG70">ifna(xlookup(AE68, 'Week 2'!$A:$A, 'Week 2'!$B:$B), "")</f>
        <v>Loss</v>
      </c>
      <c r="AH70" s="152" t="str">
        <f t="array" ref="AH70">ifna(xlookup(AE68, 'Week 2'!$A:$A, 'Week 2'!$D:$D), "")</f>
        <v/>
      </c>
      <c r="AI70" s="152" t="str">
        <f t="array" ref="AI70">ifna(xlookup(AE68, 'Week 2'!$A:$A, 'Week 2'!$G:$G), "")</f>
        <v/>
      </c>
      <c r="AJ70" s="152" t="str">
        <f t="array" ref="AJ70">ifna(xlookup(AE68, 'Week 2'!$A:$A, 'Week 2'!$H:$H), "")</f>
        <v/>
      </c>
      <c r="AK70" s="152" t="str">
        <f t="array" ref="AK70">ifna(xlookup(AE68, 'Week 2'!$A:$A, 'Week 2'!$E:$E), "")</f>
        <v/>
      </c>
      <c r="AL70" s="152" t="str">
        <f t="array" ref="AL70">ifna(xlookup(AE68, 'Week 2'!$A:$A, 'Week 2'!$F:$F), "")</f>
        <v/>
      </c>
      <c r="AM70" s="152" t="str">
        <f t="array" ref="AM70">ifna(xlookup(AE68, 'Week 2'!$A:$A, 'Week 2'!$I:$I), "")</f>
        <v/>
      </c>
      <c r="AN70" s="153" t="str">
        <f t="shared" si="122"/>
        <v/>
      </c>
      <c r="AO70" s="151" t="s">
        <v>7</v>
      </c>
      <c r="AP70" s="2" t="str">
        <f t="shared" si="123"/>
        <v>Yes</v>
      </c>
      <c r="AQ70" s="152" t="str">
        <f t="array" ref="AQ70">ifna(xlookup(AO68, 'Week 2'!$A:$A, 'Week 2'!$B:$B), "")</f>
        <v>Win</v>
      </c>
      <c r="AR70" s="152">
        <f t="array" ref="AR70">ifna(xlookup(AO68, 'Week 2'!$A:$A, 'Week 2'!$D:$D), "")</f>
        <v>15</v>
      </c>
      <c r="AS70" s="152">
        <f t="array" ref="AS70">ifna(xlookup(AO68, 'Week 2'!$A:$A, 'Week 2'!$G:$G), "")</f>
        <v>10</v>
      </c>
      <c r="AT70" s="152">
        <f t="array" ref="AT70">ifna(xlookup(AO68, 'Week 2'!$A:$A, 'Week 2'!$H:$H), "")</f>
        <v>2</v>
      </c>
      <c r="AU70" s="152">
        <f t="array" ref="AU70">ifna(xlookup(AO68, 'Week 2'!$A:$A, 'Week 2'!$E:$E), "")</f>
        <v>2</v>
      </c>
      <c r="AV70" s="152">
        <f t="array" ref="AV70">ifna(xlookup(AO68, 'Week 2'!$A:$A, 'Week 2'!$F:$F), "")</f>
        <v>1</v>
      </c>
      <c r="AW70" s="152">
        <f t="array" ref="AW70">ifna(xlookup(AO68, 'Week 2'!$A:$A, 'Week 2'!$I:$I), "")</f>
        <v>22</v>
      </c>
      <c r="AX70" s="153">
        <f t="shared" si="124"/>
        <v>0.4054054054</v>
      </c>
      <c r="AY70" s="151" t="s">
        <v>7</v>
      </c>
      <c r="AZ70" s="2" t="str">
        <f t="shared" si="125"/>
        <v/>
      </c>
      <c r="BA70" s="152" t="str">
        <f t="array" ref="BA70">ifna(xlookup(AY68, 'Week 2'!$A:$A, 'Week 2'!$B:$B), "")</f>
        <v/>
      </c>
      <c r="BB70" s="152" t="str">
        <f t="array" ref="BB70">ifna(xlookup(AY68, 'Week 2'!$A:$A, 'Week 2'!$D:$D), "")</f>
        <v/>
      </c>
      <c r="BC70" s="152" t="str">
        <f t="array" ref="BC70">ifna(xlookup(AY68, 'Week 2'!$A:$A, 'Week 2'!$G:$G), "")</f>
        <v/>
      </c>
      <c r="BD70" s="152" t="str">
        <f t="array" ref="BD70">ifna(xlookup(AY68, 'Week 2'!$A:$A, 'Week 2'!$H:$H), "")</f>
        <v/>
      </c>
      <c r="BE70" s="152" t="str">
        <f t="array" ref="BE70">ifna(xlookup(AY68, 'Week 2'!$A:$A, 'Week 2'!$E:$E), "")</f>
        <v/>
      </c>
      <c r="BF70" s="152" t="str">
        <f t="array" ref="BF70">ifna(xlookup(AY68, 'Week 2'!$A:$A, 'Week 2'!$F:$F), "")</f>
        <v/>
      </c>
      <c r="BG70" s="152" t="str">
        <f t="array" ref="BG70">ifna(xlookup(AY68, 'Week 2'!$A:$A, 'Week 2'!$I:$I), "")</f>
        <v/>
      </c>
      <c r="BH70" s="153" t="str">
        <f t="shared" si="126"/>
        <v/>
      </c>
      <c r="BI70" s="8"/>
      <c r="BJ70" s="8"/>
      <c r="BK70" s="8"/>
      <c r="BL70" s="8"/>
    </row>
    <row r="71">
      <c r="A71" s="151" t="s">
        <v>12</v>
      </c>
      <c r="B71" s="2" t="str">
        <f t="shared" si="115"/>
        <v>Yes</v>
      </c>
      <c r="C71" s="152" t="str">
        <f t="array" ref="C71">ifna(xlookup(A68, 'Week 3'!$A:$A, 'Week 3'!$B:$B), "")</f>
        <v>Loss</v>
      </c>
      <c r="D71" s="152">
        <f t="array" ref="D71">ifna(xlookup(A68, 'Week 3'!$A:$A, 'Week 3'!$D:$D), "")</f>
        <v>20</v>
      </c>
      <c r="E71" s="152">
        <f t="array" ref="E71">ifna(xlookup(A68, 'Week 3'!$A:$A, 'Week 3'!$G:$G), "")</f>
        <v>7</v>
      </c>
      <c r="F71" s="152">
        <f t="array" ref="F71">ifna(xlookup(A68, 'Week 3'!$A:$A, 'Week 3'!$H:$H), "")</f>
        <v>3</v>
      </c>
      <c r="G71" s="152">
        <f t="array" ref="G71">ifna(xlookup(A68, 'Week 3'!$A:$A, 'Week 3'!$E:$E), "")</f>
        <v>7</v>
      </c>
      <c r="H71" s="152">
        <f t="array" ref="H71">ifna(xlookup(A68, 'Week 3'!$A:$A, 'Week 3'!$F:$F), "")</f>
        <v>3</v>
      </c>
      <c r="I71" s="152">
        <f t="array" ref="I71">ifna(xlookup(A68, 'Week 3'!$A:$A, 'Week 3'!$I:$I), "")</f>
        <v>24</v>
      </c>
      <c r="J71" s="153">
        <f t="shared" si="116"/>
        <v>0.4545454545</v>
      </c>
      <c r="K71" s="151" t="s">
        <v>12</v>
      </c>
      <c r="L71" s="2" t="str">
        <f t="shared" si="117"/>
        <v/>
      </c>
      <c r="M71" s="152" t="str">
        <f t="array" ref="M71">ifna(xlookup(K68, 'Week 3'!$A:$A, 'Week 3'!$B:$B), "")</f>
        <v>Win</v>
      </c>
      <c r="N71" s="152" t="str">
        <f t="array" ref="N71">ifna(xlookup(K68, 'Week 3'!$A:$A, 'Week 3'!$D:$D), "")</f>
        <v/>
      </c>
      <c r="O71" s="152" t="str">
        <f t="array" ref="O71">ifna(xlookup(K68, 'Week 3'!$A:$A, 'Week 3'!$G:$G), "")</f>
        <v/>
      </c>
      <c r="P71" s="152" t="str">
        <f t="array" ref="P71">ifna(xlookup(K68, 'Week 3'!$A:$A, 'Week 3'!$H:$H), "")</f>
        <v/>
      </c>
      <c r="Q71" s="152" t="str">
        <f t="array" ref="Q71">ifna(xlookup(K68, 'Week 3'!$A:$A, 'Week 3'!$E:$E), "")</f>
        <v/>
      </c>
      <c r="R71" s="152" t="str">
        <f t="array" ref="R71">ifna(xlookup(K68, 'Week 3'!$A:$A, 'Week 3'!$F:$F), "")</f>
        <v/>
      </c>
      <c r="S71" s="152" t="str">
        <f t="array" ref="S71">ifna(xlookup(K68, 'Week 3'!$A:$A, 'Week 3'!$I:$I), "")</f>
        <v/>
      </c>
      <c r="T71" s="153" t="str">
        <f t="shared" si="118"/>
        <v/>
      </c>
      <c r="U71" s="151" t="s">
        <v>12</v>
      </c>
      <c r="V71" s="2" t="str">
        <f t="shared" si="119"/>
        <v/>
      </c>
      <c r="W71" s="152" t="str">
        <f t="array" ref="W71">ifna(xlookup(U68, 'Week 3'!$A:$A, 'Week 3'!$B:$B), "")</f>
        <v/>
      </c>
      <c r="X71" s="152" t="str">
        <f t="array" ref="X71">ifna(xlookup(U68, 'Week 3'!$A:$A, 'Week 3'!$D:$D), "")</f>
        <v/>
      </c>
      <c r="Y71" s="152" t="str">
        <f t="array" ref="Y71">ifna(xlookup(U68, 'Week 3'!$A:$A, 'Week 3'!$G:$G), "")</f>
        <v/>
      </c>
      <c r="Z71" s="152" t="str">
        <f t="array" ref="Z71">ifna(xlookup(U68, 'Week 3'!$A:$A, 'Week 3'!$H:$H), "")</f>
        <v/>
      </c>
      <c r="AA71" s="152" t="str">
        <f t="array" ref="AA71">ifna(xlookup(U68, 'Week 3'!$A:$A, 'Week 3'!$E:$E), "")</f>
        <v/>
      </c>
      <c r="AB71" s="152" t="str">
        <f t="array" ref="AB71">ifna(xlookup(U68, 'Week 3'!$A:$A, 'Week 3'!$F:$F), "")</f>
        <v/>
      </c>
      <c r="AC71" s="152" t="str">
        <f t="array" ref="AC71">ifna(xlookup(U68, 'Week 3'!$A:$A, 'Week 3'!$I:$I), "")</f>
        <v/>
      </c>
      <c r="AD71" s="153" t="str">
        <f t="shared" si="120"/>
        <v/>
      </c>
      <c r="AE71" s="151" t="s">
        <v>12</v>
      </c>
      <c r="AF71" s="2" t="str">
        <f t="shared" si="121"/>
        <v/>
      </c>
      <c r="AG71" s="152" t="str">
        <f t="array" ref="AG71">ifna(xlookup(AE68, 'Week 3'!$A:$A, 'Week 3'!$B:$B), "")</f>
        <v>Loss</v>
      </c>
      <c r="AH71" s="152" t="str">
        <f t="array" ref="AH71">ifna(xlookup(AE68, 'Week 3'!$A:$A, 'Week 3'!$D:$D), "")</f>
        <v/>
      </c>
      <c r="AI71" s="152" t="str">
        <f t="array" ref="AI71">ifna(xlookup(AE68, 'Week 3'!$A:$A, 'Week 3'!$G:$G), "")</f>
        <v/>
      </c>
      <c r="AJ71" s="152" t="str">
        <f t="array" ref="AJ71">ifna(xlookup(AE68, 'Week 3'!$A:$A, 'Week 3'!$H:$H), "")</f>
        <v/>
      </c>
      <c r="AK71" s="152" t="str">
        <f t="array" ref="AK71">ifna(xlookup(AE68, 'Week 3'!$A:$A, 'Week 3'!$E:$E), "")</f>
        <v/>
      </c>
      <c r="AL71" s="152" t="str">
        <f t="array" ref="AL71">ifna(xlookup(AE68, 'Week 3'!$A:$A, 'Week 3'!$F:$F), "")</f>
        <v/>
      </c>
      <c r="AM71" s="152" t="str">
        <f t="array" ref="AM71">ifna(xlookup(AE68, 'Week 3'!$A:$A, 'Week 3'!$I:$I), "")</f>
        <v/>
      </c>
      <c r="AN71" s="153" t="str">
        <f t="shared" si="122"/>
        <v/>
      </c>
      <c r="AO71" s="151" t="s">
        <v>12</v>
      </c>
      <c r="AP71" s="2" t="str">
        <f t="shared" si="123"/>
        <v/>
      </c>
      <c r="AQ71" s="152" t="str">
        <f t="array" ref="AQ71">ifna(xlookup(AO68, 'Week 3'!$A:$A, 'Week 3'!$B:$B), "")</f>
        <v>Win</v>
      </c>
      <c r="AR71" s="152" t="str">
        <f t="array" ref="AR71">ifna(xlookup(AO68, 'Week 3'!$A:$A, 'Week 3'!$D:$D), "")</f>
        <v/>
      </c>
      <c r="AS71" s="152" t="str">
        <f t="array" ref="AS71">ifna(xlookup(AO68, 'Week 3'!$A:$A, 'Week 3'!$G:$G), "")</f>
        <v/>
      </c>
      <c r="AT71" s="152" t="str">
        <f t="array" ref="AT71">ifna(xlookup(AO68, 'Week 3'!$A:$A, 'Week 3'!$H:$H), "")</f>
        <v/>
      </c>
      <c r="AU71" s="152" t="str">
        <f t="array" ref="AU71">ifna(xlookup(AO68, 'Week 3'!$A:$A, 'Week 3'!$E:$E), "")</f>
        <v/>
      </c>
      <c r="AV71" s="152" t="str">
        <f t="array" ref="AV71">ifna(xlookup(AO68, 'Week 3'!$A:$A, 'Week 3'!$F:$F), "")</f>
        <v/>
      </c>
      <c r="AW71" s="152" t="str">
        <f t="array" ref="AW71">ifna(xlookup(AO68, 'Week 3'!$A:$A, 'Week 3'!$I:$I), "")</f>
        <v/>
      </c>
      <c r="AX71" s="153" t="str">
        <f t="shared" si="124"/>
        <v/>
      </c>
      <c r="AY71" s="151" t="s">
        <v>12</v>
      </c>
      <c r="AZ71" s="2" t="str">
        <f t="shared" si="125"/>
        <v/>
      </c>
      <c r="BA71" s="152" t="str">
        <f t="array" ref="BA71">ifna(xlookup(AY68, 'Week 3'!$A:$A, 'Week 3'!$B:$B), "")</f>
        <v/>
      </c>
      <c r="BB71" s="152" t="str">
        <f t="array" ref="BB71">ifna(xlookup(AY68, 'Week 3'!$A:$A, 'Week 3'!$D:$D), "")</f>
        <v/>
      </c>
      <c r="BC71" s="152" t="str">
        <f t="array" ref="BC71">ifna(xlookup(AY68, 'Week 3'!$A:$A, 'Week 3'!$G:$G), "")</f>
        <v/>
      </c>
      <c r="BD71" s="152" t="str">
        <f t="array" ref="BD71">ifna(xlookup(AY68, 'Week 3'!$A:$A, 'Week 3'!$H:$H), "")</f>
        <v/>
      </c>
      <c r="BE71" s="152" t="str">
        <f t="array" ref="BE71">ifna(xlookup(AY68, 'Week 3'!$A:$A, 'Week 3'!$E:$E), "")</f>
        <v/>
      </c>
      <c r="BF71" s="152" t="str">
        <f t="array" ref="BF71">ifna(xlookup(AY68, 'Week 3'!$A:$A, 'Week 3'!$F:$F), "")</f>
        <v/>
      </c>
      <c r="BG71" s="152" t="str">
        <f t="array" ref="BG71">ifna(xlookup(AY68, 'Week 3'!$A:$A, 'Week 3'!$I:$I), "")</f>
        <v/>
      </c>
      <c r="BH71" s="153" t="str">
        <f t="shared" si="126"/>
        <v/>
      </c>
      <c r="BI71" s="8"/>
      <c r="BJ71" s="8"/>
      <c r="BK71" s="8"/>
      <c r="BL71" s="8"/>
    </row>
    <row r="72">
      <c r="A72" s="151" t="s">
        <v>17</v>
      </c>
      <c r="B72" s="2" t="str">
        <f t="shared" si="115"/>
        <v>Yes</v>
      </c>
      <c r="C72" s="152" t="str">
        <f t="array" ref="C72">ifna(xlookup(A68, 'Week 4'!$A:$A, 'Week 4'!$B:$B), "")</f>
        <v>Win</v>
      </c>
      <c r="D72" s="152">
        <f t="array" ref="D72">ifna(xlookup(A68, 'Week 4'!$A:$A, 'Week 4'!$D:$D), "")</f>
        <v>18</v>
      </c>
      <c r="E72" s="152">
        <f t="array" ref="E72">ifna(xlookup(A68, 'Week 4'!$A:$A, 'Week 4'!$G:$G), "")</f>
        <v>4</v>
      </c>
      <c r="F72" s="152">
        <f t="array" ref="F72">ifna(xlookup(A68, 'Week 4'!$A:$A, 'Week 4'!$H:$H), "")</f>
        <v>3</v>
      </c>
      <c r="G72" s="152">
        <f t="array" ref="G72">ifna(xlookup(A68, 'Week 4'!$A:$A, 'Week 4'!$E:$E), "")</f>
        <v>11</v>
      </c>
      <c r="H72" s="152">
        <f t="array" ref="H72">ifna(xlookup(A68, 'Week 4'!$A:$A, 'Week 4'!$F:$F), "")</f>
        <v>0</v>
      </c>
      <c r="I72" s="152">
        <f t="array" ref="I72">ifna(xlookup(A68, 'Week 4'!$A:$A, 'Week 4'!$I:$I), "")</f>
        <v>20</v>
      </c>
      <c r="J72" s="153">
        <f t="shared" si="116"/>
        <v>0.4736842105</v>
      </c>
      <c r="K72" s="151" t="s">
        <v>17</v>
      </c>
      <c r="L72" s="2" t="str">
        <f t="shared" si="117"/>
        <v/>
      </c>
      <c r="M72" s="152" t="str">
        <f t="array" ref="M72">ifna(xlookup(K68, 'Week 4'!$A:$A, 'Week 4'!$B:$B), "")</f>
        <v>Loss</v>
      </c>
      <c r="N72" s="152" t="str">
        <f t="array" ref="N72">ifna(xlookup(K68, 'Week 4'!$A:$A, 'Week 4'!$D:$D), "")</f>
        <v/>
      </c>
      <c r="O72" s="152" t="str">
        <f t="array" ref="O72">ifna(xlookup(K68, 'Week 4'!$A:$A, 'Week 4'!$G:$G), "")</f>
        <v/>
      </c>
      <c r="P72" s="152" t="str">
        <f t="array" ref="P72">ifna(xlookup(K68, 'Week 4'!$A:$A, 'Week 4'!$H:$H), "")</f>
        <v/>
      </c>
      <c r="Q72" s="152" t="str">
        <f t="array" ref="Q72">ifna(xlookup(K68, 'Week 4'!$A:$A, 'Week 4'!$E:$E), "")</f>
        <v/>
      </c>
      <c r="R72" s="152" t="str">
        <f t="array" ref="R72">ifna(xlookup(K68, 'Week 4'!$A:$A, 'Week 4'!$F:$F), "")</f>
        <v/>
      </c>
      <c r="S72" s="152" t="str">
        <f t="array" ref="S72">ifna(xlookup(K68, 'Week 4'!$A:$A, 'Week 4'!$I:$I), "")</f>
        <v/>
      </c>
      <c r="T72" s="153" t="str">
        <f t="shared" si="118"/>
        <v/>
      </c>
      <c r="U72" s="151" t="s">
        <v>17</v>
      </c>
      <c r="V72" s="2" t="str">
        <f t="shared" si="119"/>
        <v/>
      </c>
      <c r="W72" s="152" t="str">
        <f t="array" ref="W72">ifna(xlookup(U68, 'Week 4'!$A:$A, 'Week 4'!$B:$B), "")</f>
        <v/>
      </c>
      <c r="X72" s="152" t="str">
        <f t="array" ref="X72">ifna(xlookup(U68, 'Week 4'!$A:$A, 'Week 4'!$D:$D), "")</f>
        <v/>
      </c>
      <c r="Y72" s="152" t="str">
        <f t="array" ref="Y72">ifna(xlookup(U68, 'Week 4'!$A:$A, 'Week 4'!$G:$G), "")</f>
        <v/>
      </c>
      <c r="Z72" s="152" t="str">
        <f t="array" ref="Z72">ifna(xlookup(U68, 'Week 4'!$A:$A, 'Week 4'!$H:$H), "")</f>
        <v/>
      </c>
      <c r="AA72" s="152" t="str">
        <f t="array" ref="AA72">ifna(xlookup(U68, 'Week 4'!$A:$A, 'Week 4'!$E:$E), "")</f>
        <v/>
      </c>
      <c r="AB72" s="152" t="str">
        <f t="array" ref="AB72">ifna(xlookup(U68, 'Week 4'!$A:$A, 'Week 4'!$F:$F), "")</f>
        <v/>
      </c>
      <c r="AC72" s="152" t="str">
        <f t="array" ref="AC72">ifna(xlookup(U68, 'Week 4'!$A:$A, 'Week 4'!$I:$I), "")</f>
        <v/>
      </c>
      <c r="AD72" s="153" t="str">
        <f t="shared" si="120"/>
        <v/>
      </c>
      <c r="AE72" s="151" t="s">
        <v>17</v>
      </c>
      <c r="AF72" s="2" t="str">
        <f t="shared" si="121"/>
        <v/>
      </c>
      <c r="AG72" s="152" t="str">
        <f t="array" ref="AG72">ifna(xlookup(AE68, 'Week 4'!$A:$A, 'Week 4'!$B:$B), "")</f>
        <v>Win</v>
      </c>
      <c r="AH72" s="152" t="str">
        <f t="array" ref="AH72">ifna(xlookup(AE68, 'Week 4'!$A:$A, 'Week 4'!$D:$D), "")</f>
        <v/>
      </c>
      <c r="AI72" s="152" t="str">
        <f t="array" ref="AI72">ifna(xlookup(AE68, 'Week 4'!$A:$A, 'Week 4'!$G:$G), "")</f>
        <v/>
      </c>
      <c r="AJ72" s="152" t="str">
        <f t="array" ref="AJ72">ifna(xlookup(AE68, 'Week 4'!$A:$A, 'Week 4'!$H:$H), "")</f>
        <v/>
      </c>
      <c r="AK72" s="152" t="str">
        <f t="array" ref="AK72">ifna(xlookup(AE68, 'Week 4'!$A:$A, 'Week 4'!$E:$E), "")</f>
        <v/>
      </c>
      <c r="AL72" s="152" t="str">
        <f t="array" ref="AL72">ifna(xlookup(AE68, 'Week 4'!$A:$A, 'Week 4'!$F:$F), "")</f>
        <v/>
      </c>
      <c r="AM72" s="152" t="str">
        <f t="array" ref="AM72">ifna(xlookup(AE68, 'Week 4'!$A:$A, 'Week 4'!$I:$I), "")</f>
        <v/>
      </c>
      <c r="AN72" s="153" t="str">
        <f t="shared" si="122"/>
        <v/>
      </c>
      <c r="AO72" s="151" t="s">
        <v>17</v>
      </c>
      <c r="AP72" s="2" t="str">
        <f t="shared" si="123"/>
        <v/>
      </c>
      <c r="AQ72" s="152" t="str">
        <f t="array" ref="AQ72">ifna(xlookup(AO68, 'Week 4'!$A:$A, 'Week 4'!$B:$B), "")</f>
        <v>Win</v>
      </c>
      <c r="AR72" s="152" t="str">
        <f t="array" ref="AR72">ifna(xlookup(AO68, 'Week 4'!$A:$A, 'Week 4'!$D:$D), "")</f>
        <v/>
      </c>
      <c r="AS72" s="152" t="str">
        <f t="array" ref="AS72">ifna(xlookup(AO68, 'Week 4'!$A:$A, 'Week 4'!$G:$G), "")</f>
        <v/>
      </c>
      <c r="AT72" s="152" t="str">
        <f t="array" ref="AT72">ifna(xlookup(AO68, 'Week 4'!$A:$A, 'Week 4'!$H:$H), "")</f>
        <v/>
      </c>
      <c r="AU72" s="152" t="str">
        <f t="array" ref="AU72">ifna(xlookup(AO68, 'Week 4'!$A:$A, 'Week 4'!$E:$E), "")</f>
        <v/>
      </c>
      <c r="AV72" s="152" t="str">
        <f t="array" ref="AV72">ifna(xlookup(AO68, 'Week 4'!$A:$A, 'Week 4'!$F:$F), "")</f>
        <v/>
      </c>
      <c r="AW72" s="152" t="str">
        <f t="array" ref="AW72">ifna(xlookup(AO68, 'Week 4'!$A:$A, 'Week 4'!$I:$I), "")</f>
        <v/>
      </c>
      <c r="AX72" s="153" t="str">
        <f t="shared" si="124"/>
        <v/>
      </c>
      <c r="AY72" s="151" t="s">
        <v>17</v>
      </c>
      <c r="AZ72" s="2" t="str">
        <f t="shared" si="125"/>
        <v/>
      </c>
      <c r="BA72" s="152" t="str">
        <f t="array" ref="BA72">ifna(xlookup(AY68, 'Week 4'!$A:$A, 'Week 4'!$B:$B), "")</f>
        <v/>
      </c>
      <c r="BB72" s="152" t="str">
        <f t="array" ref="BB72">ifna(xlookup(AY68, 'Week 4'!$A:$A, 'Week 4'!$D:$D), "")</f>
        <v/>
      </c>
      <c r="BC72" s="152" t="str">
        <f t="array" ref="BC72">ifna(xlookup(AY68, 'Week 4'!$A:$A, 'Week 4'!$G:$G), "")</f>
        <v/>
      </c>
      <c r="BD72" s="152" t="str">
        <f t="array" ref="BD72">ifna(xlookup(AY68, 'Week 4'!$A:$A, 'Week 4'!$H:$H), "")</f>
        <v/>
      </c>
      <c r="BE72" s="152" t="str">
        <f t="array" ref="BE72">ifna(xlookup(AY68, 'Week 4'!$A:$A, 'Week 4'!$E:$E), "")</f>
        <v/>
      </c>
      <c r="BF72" s="152" t="str">
        <f t="array" ref="BF72">ifna(xlookup(AY68, 'Week 4'!$A:$A, 'Week 4'!$F:$F), "")</f>
        <v/>
      </c>
      <c r="BG72" s="152" t="str">
        <f t="array" ref="BG72">ifna(xlookup(AY68, 'Week 4'!$A:$A, 'Week 4'!$I:$I), "")</f>
        <v/>
      </c>
      <c r="BH72" s="153" t="str">
        <f t="shared" si="126"/>
        <v/>
      </c>
      <c r="BI72" s="8"/>
      <c r="BJ72" s="8"/>
      <c r="BK72" s="8"/>
      <c r="BL72" s="8"/>
    </row>
    <row r="73">
      <c r="A73" s="151" t="s">
        <v>20</v>
      </c>
      <c r="B73" s="2" t="str">
        <f t="shared" si="115"/>
        <v>Yes</v>
      </c>
      <c r="C73" s="152" t="str">
        <f t="array" ref="C73">ifna(xlookup(A68, 'Week 5'!$A:$A, 'Week 5'!$B:$B), "")</f>
        <v>Loss</v>
      </c>
      <c r="D73" s="152">
        <f t="array" ref="D73">ifna(xlookup(A68, 'Week 5'!$A:$A, 'Week 5'!$D:$D), "")</f>
        <v>18</v>
      </c>
      <c r="E73" s="152">
        <f t="array" ref="E73">ifna(xlookup(A68, 'Week 5'!$A:$A, 'Week 5'!$G:$G), "")</f>
        <v>9</v>
      </c>
      <c r="F73" s="152">
        <f t="array" ref="F73">ifna(xlookup(A68, 'Week 5'!$A:$A, 'Week 5'!$H:$H), "")</f>
        <v>1</v>
      </c>
      <c r="G73" s="152">
        <f t="array" ref="G73">ifna(xlookup(A68, 'Week 5'!$A:$A, 'Week 5'!$E:$E), "")</f>
        <v>7</v>
      </c>
      <c r="H73" s="152">
        <f t="array" ref="H73">ifna(xlookup(A68, 'Week 5'!$A:$A, 'Week 5'!$F:$F), "")</f>
        <v>1</v>
      </c>
      <c r="I73" s="152">
        <f t="array" ref="I73">ifna(xlookup(A68, 'Week 5'!$A:$A, 'Week 5'!$I:$I), "")</f>
        <v>22</v>
      </c>
      <c r="J73" s="153">
        <f t="shared" si="116"/>
        <v>0.45</v>
      </c>
      <c r="K73" s="151" t="s">
        <v>20</v>
      </c>
      <c r="L73" s="2" t="str">
        <f t="shared" si="117"/>
        <v/>
      </c>
      <c r="M73" s="152" t="str">
        <f t="array" ref="M73">ifna(xlookup(K68, 'Week 5'!$A:$A, 'Week 5'!$B:$B), "")</f>
        <v>Win</v>
      </c>
      <c r="N73" s="152" t="str">
        <f t="array" ref="N73">ifna(xlookup(K68, 'Week 5'!$A:$A, 'Week 5'!$D:$D), "")</f>
        <v/>
      </c>
      <c r="O73" s="152" t="str">
        <f t="array" ref="O73">ifna(xlookup(K68, 'Week 5'!$A:$A, 'Week 5'!$G:$G), "")</f>
        <v/>
      </c>
      <c r="P73" s="152" t="str">
        <f t="array" ref="P73">ifna(xlookup(K68, 'Week 5'!$A:$A, 'Week 5'!$H:$H), "")</f>
        <v/>
      </c>
      <c r="Q73" s="152" t="str">
        <f t="array" ref="Q73">ifna(xlookup(K68, 'Week 5'!$A:$A, 'Week 5'!$E:$E), "")</f>
        <v/>
      </c>
      <c r="R73" s="152" t="str">
        <f t="array" ref="R73">ifna(xlookup(K68, 'Week 5'!$A:$A, 'Week 5'!$F:$F), "")</f>
        <v/>
      </c>
      <c r="S73" s="152" t="str">
        <f t="array" ref="S73">ifna(xlookup(K68, 'Week 5'!$A:$A, 'Week 5'!$I:$I), "")</f>
        <v/>
      </c>
      <c r="T73" s="153" t="str">
        <f t="shared" si="118"/>
        <v/>
      </c>
      <c r="U73" s="151" t="s">
        <v>20</v>
      </c>
      <c r="V73" s="2" t="str">
        <f t="shared" si="119"/>
        <v/>
      </c>
      <c r="W73" s="152" t="str">
        <f t="array" ref="W73">ifna(xlookup(U68, 'Week 5'!$A:$A, 'Week 5'!$B:$B), "")</f>
        <v/>
      </c>
      <c r="X73" s="152" t="str">
        <f t="array" ref="X73">ifna(xlookup(U68, 'Week 5'!$A:$A, 'Week 5'!$D:$D), "")</f>
        <v/>
      </c>
      <c r="Y73" s="152" t="str">
        <f t="array" ref="Y73">ifna(xlookup(U68, 'Week 5'!$A:$A, 'Week 5'!$G:$G), "")</f>
        <v/>
      </c>
      <c r="Z73" s="152" t="str">
        <f t="array" ref="Z73">ifna(xlookup(U68, 'Week 5'!$A:$A, 'Week 5'!$H:$H), "")</f>
        <v/>
      </c>
      <c r="AA73" s="152" t="str">
        <f t="array" ref="AA73">ifna(xlookup(U68, 'Week 5'!$A:$A, 'Week 5'!$E:$E), "")</f>
        <v/>
      </c>
      <c r="AB73" s="152" t="str">
        <f t="array" ref="AB73">ifna(xlookup(U68, 'Week 5'!$A:$A, 'Week 5'!$F:$F), "")</f>
        <v/>
      </c>
      <c r="AC73" s="152" t="str">
        <f t="array" ref="AC73">ifna(xlookup(U68, 'Week 5'!$A:$A, 'Week 5'!$I:$I), "")</f>
        <v/>
      </c>
      <c r="AD73" s="153" t="str">
        <f t="shared" si="120"/>
        <v/>
      </c>
      <c r="AE73" s="151" t="s">
        <v>20</v>
      </c>
      <c r="AF73" s="2" t="str">
        <f t="shared" si="121"/>
        <v/>
      </c>
      <c r="AG73" s="152" t="str">
        <f t="array" ref="AG73">ifna(xlookup(AE68, 'Week 5'!$A:$A, 'Week 5'!$B:$B), "")</f>
        <v>Win</v>
      </c>
      <c r="AH73" s="152" t="str">
        <f t="array" ref="AH73">ifna(xlookup(AE68, 'Week 5'!$A:$A, 'Week 5'!$D:$D), "")</f>
        <v/>
      </c>
      <c r="AI73" s="152" t="str">
        <f t="array" ref="AI73">ifna(xlookup(AE68, 'Week 5'!$A:$A, 'Week 5'!$G:$G), "")</f>
        <v/>
      </c>
      <c r="AJ73" s="152" t="str">
        <f t="array" ref="AJ73">ifna(xlookup(AE68, 'Week 5'!$A:$A, 'Week 5'!$H:$H), "")</f>
        <v/>
      </c>
      <c r="AK73" s="152" t="str">
        <f t="array" ref="AK73">ifna(xlookup(AE68, 'Week 5'!$A:$A, 'Week 5'!$E:$E), "")</f>
        <v/>
      </c>
      <c r="AL73" s="152" t="str">
        <f t="array" ref="AL73">ifna(xlookup(AE68, 'Week 5'!$A:$A, 'Week 5'!$F:$F), "")</f>
        <v/>
      </c>
      <c r="AM73" s="152" t="str">
        <f t="array" ref="AM73">ifna(xlookup(AE68, 'Week 5'!$A:$A, 'Week 5'!$I:$I), "")</f>
        <v/>
      </c>
      <c r="AN73" s="153" t="str">
        <f t="shared" si="122"/>
        <v/>
      </c>
      <c r="AO73" s="151" t="s">
        <v>20</v>
      </c>
      <c r="AP73" s="2" t="str">
        <f t="shared" si="123"/>
        <v/>
      </c>
      <c r="AQ73" s="152" t="str">
        <f t="array" ref="AQ73">ifna(xlookup(AO68, 'Week 5'!$A:$A, 'Week 5'!$B:$B), "")</f>
        <v>Win</v>
      </c>
      <c r="AR73" s="152" t="str">
        <f t="array" ref="AR73">ifna(xlookup(AO68, 'Week 5'!$A:$A, 'Week 5'!$D:$D), "")</f>
        <v/>
      </c>
      <c r="AS73" s="152" t="str">
        <f t="array" ref="AS73">ifna(xlookup(AO68, 'Week 5'!$A:$A, 'Week 5'!$G:$G), "")</f>
        <v/>
      </c>
      <c r="AT73" s="152" t="str">
        <f t="array" ref="AT73">ifna(xlookup(AO68, 'Week 5'!$A:$A, 'Week 5'!$H:$H), "")</f>
        <v/>
      </c>
      <c r="AU73" s="152" t="str">
        <f t="array" ref="AU73">ifna(xlookup(AO68, 'Week 5'!$A:$A, 'Week 5'!$E:$E), "")</f>
        <v/>
      </c>
      <c r="AV73" s="152" t="str">
        <f t="array" ref="AV73">ifna(xlookup(AO68, 'Week 5'!$A:$A, 'Week 5'!$F:$F), "")</f>
        <v/>
      </c>
      <c r="AW73" s="152" t="str">
        <f t="array" ref="AW73">ifna(xlookup(AO68, 'Week 5'!$A:$A, 'Week 5'!$I:$I), "")</f>
        <v/>
      </c>
      <c r="AX73" s="153" t="str">
        <f t="shared" si="124"/>
        <v/>
      </c>
      <c r="AY73" s="151" t="s">
        <v>20</v>
      </c>
      <c r="AZ73" s="2" t="str">
        <f t="shared" si="125"/>
        <v/>
      </c>
      <c r="BA73" s="152" t="str">
        <f t="array" ref="BA73">ifna(xlookup(AY68, 'Week 5'!$A:$A, 'Week 5'!$B:$B), "")</f>
        <v/>
      </c>
      <c r="BB73" s="152" t="str">
        <f t="array" ref="BB73">ifna(xlookup(AY68, 'Week 5'!$A:$A, 'Week 5'!$D:$D), "")</f>
        <v/>
      </c>
      <c r="BC73" s="152" t="str">
        <f t="array" ref="BC73">ifna(xlookup(AY68, 'Week 5'!$A:$A, 'Week 5'!$G:$G), "")</f>
        <v/>
      </c>
      <c r="BD73" s="152" t="str">
        <f t="array" ref="BD73">ifna(xlookup(AY68, 'Week 5'!$A:$A, 'Week 5'!$H:$H), "")</f>
        <v/>
      </c>
      <c r="BE73" s="152" t="str">
        <f t="array" ref="BE73">ifna(xlookup(AY68, 'Week 5'!$A:$A, 'Week 5'!$E:$E), "")</f>
        <v/>
      </c>
      <c r="BF73" s="152" t="str">
        <f t="array" ref="BF73">ifna(xlookup(AY68, 'Week 5'!$A:$A, 'Week 5'!$F:$F), "")</f>
        <v/>
      </c>
      <c r="BG73" s="152" t="str">
        <f t="array" ref="BG73">ifna(xlookup(AY68, 'Week 5'!$A:$A, 'Week 5'!$I:$I), "")</f>
        <v/>
      </c>
      <c r="BH73" s="153" t="str">
        <f t="shared" si="126"/>
        <v/>
      </c>
      <c r="BI73" s="8"/>
      <c r="BJ73" s="8"/>
      <c r="BK73" s="8"/>
      <c r="BL73" s="8"/>
    </row>
    <row r="74">
      <c r="A74" s="151" t="s">
        <v>23</v>
      </c>
      <c r="B74" s="2" t="str">
        <f t="shared" si="115"/>
        <v>Yes</v>
      </c>
      <c r="C74" s="152" t="str">
        <f t="array" ref="C74">ifna(xlookup(A68, 'Week 6'!$A:$A, 'Week 6'!$B:$B), "")</f>
        <v>Win</v>
      </c>
      <c r="D74" s="152">
        <f t="array" ref="D74">ifna(xlookup(A68, 'Week 6'!$A:$A, 'Week 6'!$D:$D), "")</f>
        <v>13</v>
      </c>
      <c r="E74" s="152">
        <f t="array" ref="E74">ifna(xlookup(A68, 'Week 6'!$A:$A, 'Week 6'!$G:$G), "")</f>
        <v>4</v>
      </c>
      <c r="F74" s="152">
        <f t="array" ref="F74">ifna(xlookup(A68, 'Week 6'!$A:$A, 'Week 6'!$H:$H), "")</f>
        <v>2</v>
      </c>
      <c r="G74" s="152">
        <f t="array" ref="G74">ifna(xlookup(A68, 'Week 6'!$A:$A, 'Week 6'!$E:$E), "")</f>
        <v>4</v>
      </c>
      <c r="H74" s="152">
        <f t="array" ref="H74">ifna(xlookup(A68, 'Week 6'!$A:$A, 'Week 6'!$F:$F), "")</f>
        <v>3</v>
      </c>
      <c r="I74" s="152">
        <f t="array" ref="I74">ifna(xlookup(A68, 'Week 6'!$A:$A, 'Week 6'!$I:$I), "")</f>
        <v>22</v>
      </c>
      <c r="J74" s="153">
        <f t="shared" si="116"/>
        <v>0.3714285714</v>
      </c>
      <c r="K74" s="151" t="s">
        <v>23</v>
      </c>
      <c r="L74" s="2" t="str">
        <f t="shared" si="117"/>
        <v/>
      </c>
      <c r="M74" s="152" t="str">
        <f t="array" ref="M74">ifna(xlookup(K68, 'Week 6'!$A:$A, 'Week 6'!$B:$B), "")</f>
        <v>Loss</v>
      </c>
      <c r="N74" s="152" t="str">
        <f t="array" ref="N74">ifna(xlookup(K68, 'Week 6'!$A:$A, 'Week 6'!$D:$D), "")</f>
        <v/>
      </c>
      <c r="O74" s="152" t="str">
        <f t="array" ref="O74">ifna(xlookup(K68, 'Week 6'!$A:$A, 'Week 6'!$G:$G), "")</f>
        <v/>
      </c>
      <c r="P74" s="152" t="str">
        <f t="array" ref="P74">ifna(xlookup(K68, 'Week 6'!$A:$A, 'Week 6'!$H:$H), "")</f>
        <v/>
      </c>
      <c r="Q74" s="152" t="str">
        <f t="array" ref="Q74">ifna(xlookup(K68, 'Week 6'!$A:$A, 'Week 6'!$E:$E), "")</f>
        <v/>
      </c>
      <c r="R74" s="152" t="str">
        <f t="array" ref="R74">ifna(xlookup(K68, 'Week 6'!$A:$A, 'Week 6'!$F:$F), "")</f>
        <v/>
      </c>
      <c r="S74" s="152" t="str">
        <f t="array" ref="S74">ifna(xlookup(K68, 'Week 6'!$A:$A, 'Week 6'!$I:$I), "")</f>
        <v/>
      </c>
      <c r="T74" s="153" t="str">
        <f t="shared" si="118"/>
        <v/>
      </c>
      <c r="U74" s="151" t="s">
        <v>23</v>
      </c>
      <c r="V74" s="2" t="str">
        <f t="shared" si="119"/>
        <v/>
      </c>
      <c r="W74" s="152" t="str">
        <f t="array" ref="W74">ifna(xlookup(U68, 'Week 6'!$A:$A, 'Week 6'!$B:$B), "")</f>
        <v/>
      </c>
      <c r="X74" s="152" t="str">
        <f t="array" ref="X74">ifna(xlookup(U68, 'Week 6'!$A:$A, 'Week 6'!$D:$D), "")</f>
        <v/>
      </c>
      <c r="Y74" s="152" t="str">
        <f t="array" ref="Y74">ifna(xlookup(U68, 'Week 6'!$A:$A, 'Week 6'!$G:$G), "")</f>
        <v/>
      </c>
      <c r="Z74" s="152" t="str">
        <f t="array" ref="Z74">ifna(xlookup(U68, 'Week 6'!$A:$A, 'Week 6'!$H:$H), "")</f>
        <v/>
      </c>
      <c r="AA74" s="152" t="str">
        <f t="array" ref="AA74">ifna(xlookup(U68, 'Week 6'!$A:$A, 'Week 6'!$E:$E), "")</f>
        <v/>
      </c>
      <c r="AB74" s="152" t="str">
        <f t="array" ref="AB74">ifna(xlookup(U68, 'Week 6'!$A:$A, 'Week 6'!$F:$F), "")</f>
        <v/>
      </c>
      <c r="AC74" s="152" t="str">
        <f t="array" ref="AC74">ifna(xlookup(U68, 'Week 6'!$A:$A, 'Week 6'!$I:$I), "")</f>
        <v/>
      </c>
      <c r="AD74" s="153" t="str">
        <f t="shared" si="120"/>
        <v/>
      </c>
      <c r="AE74" s="151" t="s">
        <v>23</v>
      </c>
      <c r="AF74" s="2" t="str">
        <f t="shared" si="121"/>
        <v/>
      </c>
      <c r="AG74" s="152" t="str">
        <f t="array" ref="AG74">ifna(xlookup(AE68, 'Week 6'!$A:$A, 'Week 6'!$B:$B), "")</f>
        <v>Loss</v>
      </c>
      <c r="AH74" s="152" t="str">
        <f t="array" ref="AH74">ifna(xlookup(AE68, 'Week 6'!$A:$A, 'Week 6'!$D:$D), "")</f>
        <v/>
      </c>
      <c r="AI74" s="152" t="str">
        <f t="array" ref="AI74">ifna(xlookup(AE68, 'Week 6'!$A:$A, 'Week 6'!$G:$G), "")</f>
        <v/>
      </c>
      <c r="AJ74" s="152" t="str">
        <f t="array" ref="AJ74">ifna(xlookup(AE68, 'Week 6'!$A:$A, 'Week 6'!$H:$H), "")</f>
        <v/>
      </c>
      <c r="AK74" s="152" t="str">
        <f t="array" ref="AK74">ifna(xlookup(AE68, 'Week 6'!$A:$A, 'Week 6'!$E:$E), "")</f>
        <v/>
      </c>
      <c r="AL74" s="152" t="str">
        <f t="array" ref="AL74">ifna(xlookup(AE68, 'Week 6'!$A:$A, 'Week 6'!$F:$F), "")</f>
        <v/>
      </c>
      <c r="AM74" s="152" t="str">
        <f t="array" ref="AM74">ifna(xlookup(AE68, 'Week 6'!$A:$A, 'Week 6'!$I:$I), "")</f>
        <v/>
      </c>
      <c r="AN74" s="153" t="str">
        <f t="shared" si="122"/>
        <v/>
      </c>
      <c r="AO74" s="151" t="s">
        <v>23</v>
      </c>
      <c r="AP74" s="2" t="str">
        <f t="shared" si="123"/>
        <v/>
      </c>
      <c r="AQ74" s="152" t="str">
        <f t="array" ref="AQ74">ifna(xlookup(AO68, 'Week 6'!$A:$A, 'Week 6'!$B:$B), "")</f>
        <v>Win</v>
      </c>
      <c r="AR74" s="152" t="str">
        <f t="array" ref="AR74">ifna(xlookup(AO68, 'Week 6'!$A:$A, 'Week 6'!$D:$D), "")</f>
        <v/>
      </c>
      <c r="AS74" s="152" t="str">
        <f t="array" ref="AS74">ifna(xlookup(AO68, 'Week 6'!$A:$A, 'Week 6'!$G:$G), "")</f>
        <v/>
      </c>
      <c r="AT74" s="152" t="str">
        <f t="array" ref="AT74">ifna(xlookup(AO68, 'Week 6'!$A:$A, 'Week 6'!$H:$H), "")</f>
        <v/>
      </c>
      <c r="AU74" s="152" t="str">
        <f t="array" ref="AU74">ifna(xlookup(AO68, 'Week 6'!$A:$A, 'Week 6'!$E:$E), "")</f>
        <v/>
      </c>
      <c r="AV74" s="152" t="str">
        <f t="array" ref="AV74">ifna(xlookup(AO68, 'Week 6'!$A:$A, 'Week 6'!$F:$F), "")</f>
        <v/>
      </c>
      <c r="AW74" s="152" t="str">
        <f t="array" ref="AW74">ifna(xlookup(AO68, 'Week 6'!$A:$A, 'Week 6'!$I:$I), "")</f>
        <v/>
      </c>
      <c r="AX74" s="153" t="str">
        <f t="shared" si="124"/>
        <v/>
      </c>
      <c r="AY74" s="151" t="s">
        <v>23</v>
      </c>
      <c r="AZ74" s="2" t="str">
        <f t="shared" si="125"/>
        <v/>
      </c>
      <c r="BA74" s="152" t="str">
        <f t="array" ref="BA74">ifna(xlookup(AY68, 'Week 6'!$A:$A, 'Week 6'!$B:$B), "")</f>
        <v/>
      </c>
      <c r="BB74" s="152" t="str">
        <f t="array" ref="BB74">ifna(xlookup(AY68, 'Week 6'!$A:$A, 'Week 6'!$D:$D), "")</f>
        <v/>
      </c>
      <c r="BC74" s="152" t="str">
        <f t="array" ref="BC74">ifna(xlookup(AY68, 'Week 6'!$A:$A, 'Week 6'!$G:$G), "")</f>
        <v/>
      </c>
      <c r="BD74" s="152" t="str">
        <f t="array" ref="BD74">ifna(xlookup(AY68, 'Week 6'!$A:$A, 'Week 6'!$H:$H), "")</f>
        <v/>
      </c>
      <c r="BE74" s="152" t="str">
        <f t="array" ref="BE74">ifna(xlookup(AY68, 'Week 6'!$A:$A, 'Week 6'!$E:$E), "")</f>
        <v/>
      </c>
      <c r="BF74" s="152" t="str">
        <f t="array" ref="BF74">ifna(xlookup(AY68, 'Week 6'!$A:$A, 'Week 6'!$F:$F), "")</f>
        <v/>
      </c>
      <c r="BG74" s="152" t="str">
        <f t="array" ref="BG74">ifna(xlookup(AY68, 'Week 6'!$A:$A, 'Week 6'!$I:$I), "")</f>
        <v/>
      </c>
      <c r="BH74" s="153" t="str">
        <f t="shared" si="126"/>
        <v/>
      </c>
      <c r="BI74" s="8"/>
      <c r="BJ74" s="8"/>
      <c r="BK74" s="8"/>
      <c r="BL74" s="8"/>
    </row>
    <row r="75">
      <c r="A75" s="151" t="s">
        <v>41</v>
      </c>
      <c r="B75" s="2" t="str">
        <f t="shared" si="115"/>
        <v>Yes</v>
      </c>
      <c r="C75" s="152" t="str">
        <f t="array" ref="C75">ifna(xlookup(A68, 'Week 7'!$A:$A, 'Week 7'!$B:$B), "")</f>
        <v>Win</v>
      </c>
      <c r="D75" s="152">
        <f t="array" ref="D75">ifna(xlookup(A68, 'Week 7'!$A:$A, 'Week 7'!$D:$D), "")</f>
        <v>19</v>
      </c>
      <c r="E75" s="152">
        <f t="array" ref="E75">ifna(xlookup(A68, 'Week 7'!$A:$A, 'Week 7'!$G:$G), "")</f>
        <v>12</v>
      </c>
      <c r="F75" s="152">
        <f t="array" ref="F75">ifna(xlookup(A68, 'Week 7'!$A:$A, 'Week 7'!$H:$H), "")</f>
        <v>3</v>
      </c>
      <c r="G75" s="152">
        <f t="array" ref="G75">ifna(xlookup(A68, 'Week 7'!$A:$A, 'Week 7'!$E:$E), "")</f>
        <v>4</v>
      </c>
      <c r="H75" s="152">
        <f t="array" ref="H75">ifna(xlookup(A68, 'Week 7'!$A:$A, 'Week 7'!$F:$F), "")</f>
        <v>0</v>
      </c>
      <c r="I75" s="152">
        <f t="array" ref="I75">ifna(xlookup(A68, 'Week 7'!$A:$A, 'Week 7'!$I:$I), "")</f>
        <v>27</v>
      </c>
      <c r="J75" s="153">
        <f t="shared" si="116"/>
        <v>0.4130434783</v>
      </c>
      <c r="K75" s="151" t="s">
        <v>41</v>
      </c>
      <c r="L75" s="2" t="str">
        <f t="shared" si="117"/>
        <v/>
      </c>
      <c r="M75" s="152" t="str">
        <f t="array" ref="M75">ifna(xlookup(K68, 'Week 7'!$A:$A, 'Week 7'!$B:$B), "")</f>
        <v>Win</v>
      </c>
      <c r="N75" s="152" t="str">
        <f t="array" ref="N75">ifna(xlookup(K68, 'Week 7'!$A:$A, 'Week 7'!$D:$D), "")</f>
        <v/>
      </c>
      <c r="O75" s="152" t="str">
        <f t="array" ref="O75">ifna(xlookup(K68, 'Week 7'!$A:$A, 'Week 7'!$G:$G), "")</f>
        <v/>
      </c>
      <c r="P75" s="152" t="str">
        <f t="array" ref="P75">ifna(xlookup(K68, 'Week 7'!$A:$A, 'Week 7'!$H:$H), "")</f>
        <v/>
      </c>
      <c r="Q75" s="152" t="str">
        <f t="array" ref="Q75">ifna(xlookup(K68, 'Week 7'!$A:$A, 'Week 7'!$E:$E), "")</f>
        <v/>
      </c>
      <c r="R75" s="152" t="str">
        <f t="array" ref="R75">ifna(xlookup(K68, 'Week 7'!$A:$A, 'Week 7'!$F:$F), "")</f>
        <v/>
      </c>
      <c r="S75" s="152" t="str">
        <f t="array" ref="S75">ifna(xlookup(K68, 'Week 7'!$A:$A, 'Week 7'!$I:$I), "")</f>
        <v/>
      </c>
      <c r="T75" s="153" t="str">
        <f t="shared" si="118"/>
        <v/>
      </c>
      <c r="U75" s="151" t="s">
        <v>41</v>
      </c>
      <c r="V75" s="2" t="str">
        <f t="shared" si="119"/>
        <v/>
      </c>
      <c r="W75" s="152" t="str">
        <f t="array" ref="W75">ifna(xlookup(U68, 'Week 7'!$A:$A, 'Week 7'!$B:$B), "")</f>
        <v/>
      </c>
      <c r="X75" s="152" t="str">
        <f t="array" ref="X75">ifna(xlookup(U68, 'Week 7'!$A:$A, 'Week 7'!$D:$D), "")</f>
        <v/>
      </c>
      <c r="Y75" s="152" t="str">
        <f t="array" ref="Y75">ifna(xlookup(U68, 'Week 7'!$A:$A, 'Week 7'!$G:$G), "")</f>
        <v/>
      </c>
      <c r="Z75" s="152" t="str">
        <f t="array" ref="Z75">ifna(xlookup(U68, 'Week 7'!$A:$A, 'Week 7'!$H:$H), "")</f>
        <v/>
      </c>
      <c r="AA75" s="152" t="str">
        <f t="array" ref="AA75">ifna(xlookup(U68, 'Week 7'!$A:$A, 'Week 7'!$E:$E), "")</f>
        <v/>
      </c>
      <c r="AB75" s="152" t="str">
        <f t="array" ref="AB75">ifna(xlookup(U68, 'Week 7'!$A:$A, 'Week 7'!$F:$F), "")</f>
        <v/>
      </c>
      <c r="AC75" s="152" t="str">
        <f t="array" ref="AC75">ifna(xlookup(U68, 'Week 7'!$A:$A, 'Week 7'!$I:$I), "")</f>
        <v/>
      </c>
      <c r="AD75" s="153" t="str">
        <f t="shared" si="120"/>
        <v/>
      </c>
      <c r="AE75" s="151" t="s">
        <v>41</v>
      </c>
      <c r="AF75" s="2" t="str">
        <f t="shared" si="121"/>
        <v>Yes</v>
      </c>
      <c r="AG75" s="152" t="str">
        <f t="array" ref="AG75">ifna(xlookup(AE68, 'Week 7'!$A:$A, 'Week 7'!$B:$B), "")</f>
        <v>Loss</v>
      </c>
      <c r="AH75" s="152">
        <f t="array" ref="AH75">ifna(xlookup(AE68, 'Week 7'!$A:$A, 'Week 7'!$D:$D), "")</f>
        <v>19</v>
      </c>
      <c r="AI75" s="152">
        <f t="array" ref="AI75">ifna(xlookup(AE68, 'Week 7'!$A:$A, 'Week 7'!$G:$G), "")</f>
        <v>7</v>
      </c>
      <c r="AJ75" s="152">
        <f t="array" ref="AJ75">ifna(xlookup(AE68, 'Week 7'!$A:$A, 'Week 7'!$H:$H), "")</f>
        <v>2</v>
      </c>
      <c r="AK75" s="152">
        <f t="array" ref="AK75">ifna(xlookup(AE68, 'Week 7'!$A:$A, 'Week 7'!$E:$E), "")</f>
        <v>9</v>
      </c>
      <c r="AL75" s="152">
        <f t="array" ref="AL75">ifna(xlookup(AE68, 'Week 7'!$A:$A, 'Week 7'!$F:$F), "")</f>
        <v>1</v>
      </c>
      <c r="AM75" s="152">
        <f t="array" ref="AM75">ifna(xlookup(AE68, 'Week 7'!$A:$A, 'Week 7'!$I:$I), "")</f>
        <v>29</v>
      </c>
      <c r="AN75" s="153">
        <f t="shared" si="122"/>
        <v>0.3958333333</v>
      </c>
      <c r="AO75" s="151" t="s">
        <v>41</v>
      </c>
      <c r="AP75" s="2" t="str">
        <f t="shared" si="123"/>
        <v>Yes</v>
      </c>
      <c r="AQ75" s="152" t="str">
        <f t="array" ref="AQ75">ifna(xlookup(AO68, 'Week 7'!$A:$A, 'Week 7'!$B:$B), "")</f>
        <v>Win</v>
      </c>
      <c r="AR75" s="152">
        <f t="array" ref="AR75">ifna(xlookup(AO68, 'Week 7'!$A:$A, 'Week 7'!$D:$D), "")</f>
        <v>15</v>
      </c>
      <c r="AS75" s="152">
        <f t="array" ref="AS75">ifna(xlookup(AO68, 'Week 7'!$A:$A, 'Week 7'!$G:$G), "")</f>
        <v>4</v>
      </c>
      <c r="AT75" s="152">
        <f t="array" ref="AT75">ifna(xlookup(AO68, 'Week 7'!$A:$A, 'Week 7'!$H:$H), "")</f>
        <v>1</v>
      </c>
      <c r="AU75" s="152">
        <f t="array" ref="AU75">ifna(xlookup(AO68, 'Week 7'!$A:$A, 'Week 7'!$E:$E), "")</f>
        <v>10</v>
      </c>
      <c r="AV75" s="152">
        <f t="array" ref="AV75">ifna(xlookup(AO68, 'Week 7'!$A:$A, 'Week 7'!$F:$F), "")</f>
        <v>0</v>
      </c>
      <c r="AW75" s="152">
        <f t="array" ref="AW75">ifna(xlookup(AO68, 'Week 7'!$A:$A, 'Week 7'!$I:$I), "")</f>
        <v>28</v>
      </c>
      <c r="AX75" s="153">
        <f t="shared" si="124"/>
        <v>0.3488372093</v>
      </c>
      <c r="AY75" s="151" t="s">
        <v>41</v>
      </c>
      <c r="AZ75" s="2" t="str">
        <f t="shared" si="125"/>
        <v/>
      </c>
      <c r="BA75" s="152" t="str">
        <f t="array" ref="BA75">ifna(xlookup(AY68, 'Week 7'!$A:$A, 'Week 7'!$B:$B), "")</f>
        <v/>
      </c>
      <c r="BB75" s="152" t="str">
        <f t="array" ref="BB75">ifna(xlookup(AY68, 'Week 7'!$A:$A, 'Week 7'!$D:$D), "")</f>
        <v/>
      </c>
      <c r="BC75" s="152" t="str">
        <f t="array" ref="BC75">ifna(xlookup(AY68, 'Week 7'!$A:$A, 'Week 7'!$G:$G), "")</f>
        <v/>
      </c>
      <c r="BD75" s="152" t="str">
        <f t="array" ref="BD75">ifna(xlookup(AY68, 'Week 7'!$A:$A, 'Week 7'!$H:$H), "")</f>
        <v/>
      </c>
      <c r="BE75" s="152" t="str">
        <f t="array" ref="BE75">ifna(xlookup(AY68, 'Week 7'!$A:$A, 'Week 7'!$E:$E), "")</f>
        <v/>
      </c>
      <c r="BF75" s="152" t="str">
        <f t="array" ref="BF75">ifna(xlookup(AY68, 'Week 7'!$A:$A, 'Week 7'!$F:$F), "")</f>
        <v/>
      </c>
      <c r="BG75" s="152" t="str">
        <f t="array" ref="BG75">ifna(xlookup(AY68, 'Week 7'!$A:$A, 'Week 7'!$I:$I), "")</f>
        <v/>
      </c>
      <c r="BH75" s="153" t="str">
        <f t="shared" si="126"/>
        <v/>
      </c>
      <c r="BI75" s="8"/>
      <c r="BJ75" s="8"/>
      <c r="BK75" s="8"/>
      <c r="BL75" s="8"/>
    </row>
    <row r="76">
      <c r="A76" s="151" t="s">
        <v>181</v>
      </c>
      <c r="B76" s="2"/>
      <c r="C76" s="2"/>
      <c r="D76" s="2"/>
      <c r="E76" s="2"/>
      <c r="F76" s="2"/>
      <c r="G76" s="2"/>
      <c r="H76" s="2"/>
      <c r="I76" s="2"/>
      <c r="J76" s="153"/>
      <c r="K76" s="151" t="s">
        <v>181</v>
      </c>
      <c r="L76" s="2"/>
      <c r="M76" s="2"/>
      <c r="N76" s="2"/>
      <c r="O76" s="2"/>
      <c r="P76" s="2"/>
      <c r="Q76" s="2"/>
      <c r="R76" s="2"/>
      <c r="S76" s="2"/>
      <c r="T76" s="153"/>
      <c r="U76" s="151" t="s">
        <v>181</v>
      </c>
      <c r="V76" s="2"/>
      <c r="W76" s="2"/>
      <c r="X76" s="2"/>
      <c r="Y76" s="2"/>
      <c r="Z76" s="2"/>
      <c r="AA76" s="2"/>
      <c r="AB76" s="2"/>
      <c r="AC76" s="2"/>
      <c r="AD76" s="153"/>
      <c r="AE76" s="151" t="s">
        <v>181</v>
      </c>
      <c r="AF76" s="2"/>
      <c r="AG76" s="2"/>
      <c r="AH76" s="2"/>
      <c r="AI76" s="2"/>
      <c r="AJ76" s="2"/>
      <c r="AK76" s="2"/>
      <c r="AL76" s="2"/>
      <c r="AM76" s="2"/>
      <c r="AN76" s="153"/>
      <c r="AO76" s="151" t="s">
        <v>181</v>
      </c>
      <c r="AP76" s="2"/>
      <c r="AQ76" s="2"/>
      <c r="AR76" s="2"/>
      <c r="AS76" s="2"/>
      <c r="AT76" s="2"/>
      <c r="AU76" s="2"/>
      <c r="AV76" s="2"/>
      <c r="AW76" s="2"/>
      <c r="AX76" s="153"/>
      <c r="AY76" s="151" t="s">
        <v>181</v>
      </c>
      <c r="AZ76" s="2"/>
      <c r="BA76" s="2"/>
      <c r="BB76" s="2"/>
      <c r="BC76" s="2"/>
      <c r="BD76" s="2"/>
      <c r="BE76" s="2"/>
      <c r="BF76" s="2"/>
      <c r="BG76" s="2"/>
      <c r="BH76" s="153"/>
      <c r="BI76" s="8"/>
      <c r="BJ76" s="8"/>
      <c r="BK76" s="8"/>
      <c r="BL76" s="8"/>
    </row>
    <row r="77">
      <c r="A77" s="151" t="s">
        <v>182</v>
      </c>
      <c r="B77" s="2"/>
      <c r="C77" s="2"/>
      <c r="D77" s="2"/>
      <c r="E77" s="2"/>
      <c r="F77" s="2"/>
      <c r="G77" s="2"/>
      <c r="H77" s="2"/>
      <c r="I77" s="2"/>
      <c r="J77" s="153"/>
      <c r="K77" s="151" t="s">
        <v>182</v>
      </c>
      <c r="L77" s="2"/>
      <c r="M77" s="2"/>
      <c r="N77" s="2"/>
      <c r="O77" s="2"/>
      <c r="P77" s="2"/>
      <c r="Q77" s="2"/>
      <c r="R77" s="2"/>
      <c r="S77" s="2"/>
      <c r="T77" s="153"/>
      <c r="U77" s="151" t="s">
        <v>182</v>
      </c>
      <c r="V77" s="2"/>
      <c r="W77" s="2"/>
      <c r="X77" s="2"/>
      <c r="Y77" s="2"/>
      <c r="Z77" s="2"/>
      <c r="AA77" s="2"/>
      <c r="AB77" s="2"/>
      <c r="AC77" s="2"/>
      <c r="AD77" s="153"/>
      <c r="AE77" s="151" t="s">
        <v>182</v>
      </c>
      <c r="AF77" s="2"/>
      <c r="AG77" s="2"/>
      <c r="AH77" s="2"/>
      <c r="AI77" s="2"/>
      <c r="AJ77" s="2"/>
      <c r="AK77" s="2"/>
      <c r="AL77" s="2"/>
      <c r="AM77" s="2"/>
      <c r="AN77" s="153"/>
      <c r="AO77" s="151" t="s">
        <v>182</v>
      </c>
      <c r="AP77" s="2"/>
      <c r="AQ77" s="2"/>
      <c r="AR77" s="2"/>
      <c r="AS77" s="2"/>
      <c r="AT77" s="2"/>
      <c r="AU77" s="2"/>
      <c r="AV77" s="2"/>
      <c r="AW77" s="2"/>
      <c r="AX77" s="153"/>
      <c r="AY77" s="151" t="s">
        <v>182</v>
      </c>
      <c r="AZ77" s="2"/>
      <c r="BA77" s="2"/>
      <c r="BB77" s="2"/>
      <c r="BC77" s="2"/>
      <c r="BD77" s="2"/>
      <c r="BE77" s="2"/>
      <c r="BF77" s="2"/>
      <c r="BG77" s="2"/>
      <c r="BH77" s="153"/>
      <c r="BI77" s="8"/>
      <c r="BJ77" s="8"/>
      <c r="BK77" s="8"/>
      <c r="BL77" s="8"/>
    </row>
    <row r="78">
      <c r="A78" s="5" t="s">
        <v>183</v>
      </c>
      <c r="B78" s="154">
        <f>countif(B69:B77, "Yes")</f>
        <v>5</v>
      </c>
      <c r="C78" s="155">
        <f>IFERROR( COUNTIFS(B69:B75,"Yes", C69:C75,"Win") / COUNTIF(B69:B75,"Yes"), "")</f>
        <v>0.6</v>
      </c>
      <c r="D78" s="156">
        <f>if(B78&gt;0, average(D69:D77), "")</f>
        <v>17.6</v>
      </c>
      <c r="E78" s="156">
        <f>if(B78&gt;0, average(E69:E77), "")</f>
        <v>7.2</v>
      </c>
      <c r="F78" s="156">
        <f>if(B78&gt;0, average(F69:F77), "")</f>
        <v>2.4</v>
      </c>
      <c r="G78" s="156">
        <f>if(B78&gt;0, average(G69:G77), "")</f>
        <v>6.6</v>
      </c>
      <c r="H78" s="156">
        <f>if(B78&gt;0, average(H69:H77), "")</f>
        <v>1.4</v>
      </c>
      <c r="I78" s="156">
        <f>if(B78&gt;0, average(I69:I77), "")</f>
        <v>23</v>
      </c>
      <c r="J78" s="157">
        <f>if(B78&gt;0, D78/(I78+D78), "")</f>
        <v>0.4334975369</v>
      </c>
      <c r="K78" s="5" t="s">
        <v>183</v>
      </c>
      <c r="L78" s="154">
        <f>countif(L69:L77, "Yes")</f>
        <v>1</v>
      </c>
      <c r="M78" s="155">
        <f>IFERROR( COUNTIFS(L69:L75,"Yes", M69:M75,"Win") / COUNTIF(L69:L75,"Yes"), "")</f>
        <v>0</v>
      </c>
      <c r="N78" s="156">
        <f>if(L78&gt;0, average(N69:N77), "")</f>
        <v>11</v>
      </c>
      <c r="O78" s="156">
        <f>if(L78&gt;0, average(O69:O77), "")</f>
        <v>6</v>
      </c>
      <c r="P78" s="156">
        <f>if(L78&gt;0, average(P69:P77), "")</f>
        <v>0</v>
      </c>
      <c r="Q78" s="156">
        <f>if(L78&gt;0, average(Q69:Q77), "")</f>
        <v>4</v>
      </c>
      <c r="R78" s="156">
        <f>if(L78&gt;0, average(R69:R77), "")</f>
        <v>1</v>
      </c>
      <c r="S78" s="156">
        <f>if(L78&gt;0, average(S69:S77), "")</f>
        <v>21</v>
      </c>
      <c r="T78" s="157">
        <f>if(L78&gt;0, N78/(S78+N78), "")</f>
        <v>0.34375</v>
      </c>
      <c r="U78" s="5" t="s">
        <v>183</v>
      </c>
      <c r="V78" s="154">
        <f>countif(V69:V77, "Yes")</f>
        <v>0</v>
      </c>
      <c r="W78" s="155" t="str">
        <f>IFERROR( COUNTIFS(V69:V75,"Yes", W69:W75,"Win") / COUNTIF(V69:V75,"Yes"), "")</f>
        <v/>
      </c>
      <c r="X78" s="156" t="str">
        <f>if(V78&gt;0, average(X69:X77), "")</f>
        <v/>
      </c>
      <c r="Y78" s="156" t="str">
        <f>if(V78&gt;0, average(Y69:Y77), "")</f>
        <v/>
      </c>
      <c r="Z78" s="156" t="str">
        <f>if(V78&gt;0, average(Z69:Z77), "")</f>
        <v/>
      </c>
      <c r="AA78" s="156" t="str">
        <f>if(V78&gt;0, average(AA69:AA77), "")</f>
        <v/>
      </c>
      <c r="AB78" s="156" t="str">
        <f>if(V78&gt;0, average(AB69:AB77), "")</f>
        <v/>
      </c>
      <c r="AC78" s="156" t="str">
        <f>if(V78&gt;0, average(AC69:AC77), "")</f>
        <v/>
      </c>
      <c r="AD78" s="157" t="str">
        <f>if(V78&gt;0, X78/(AC78+X78), "")</f>
        <v/>
      </c>
      <c r="AE78" s="5" t="s">
        <v>183</v>
      </c>
      <c r="AF78" s="154">
        <f>countif(AF69:AF77, "Yes")</f>
        <v>1</v>
      </c>
      <c r="AG78" s="155">
        <f>IFERROR( COUNTIFS(AF69:AF75,"Yes", AG69:AG75,"Win") / COUNTIF(AF69:AF75,"Yes"), "")</f>
        <v>0</v>
      </c>
      <c r="AH78" s="156">
        <f>if(AF78&gt;0, average(AH69:AH77), "")</f>
        <v>19</v>
      </c>
      <c r="AI78" s="156">
        <f>if(AF78&gt;0, average(AI69:AI77), "")</f>
        <v>7</v>
      </c>
      <c r="AJ78" s="156">
        <f>if(AF78&gt;0, average(AJ69:AJ77), "")</f>
        <v>2</v>
      </c>
      <c r="AK78" s="156">
        <f>if(AF78&gt;0, average(AK69:AK77), "")</f>
        <v>9</v>
      </c>
      <c r="AL78" s="156">
        <f>if(AF78&gt;0, average(AL69:AL77), "")</f>
        <v>1</v>
      </c>
      <c r="AM78" s="156">
        <f>if(AF78&gt;0, average(AM69:AM77), "")</f>
        <v>29</v>
      </c>
      <c r="AN78" s="157">
        <f>if(AF78&gt;0, AH78/(AM78+AH78), "")</f>
        <v>0.3958333333</v>
      </c>
      <c r="AO78" s="5" t="s">
        <v>183</v>
      </c>
      <c r="AP78" s="154">
        <f>countif(AP69:AP77, "Yes")</f>
        <v>2</v>
      </c>
      <c r="AQ78" s="155">
        <f>IFERROR( COUNTIFS(AP69:AP75,"Yes", AQ69:AQ75,"Win") / COUNTIF(AP69:AP75,"Yes"), "")</f>
        <v>1</v>
      </c>
      <c r="AR78" s="156">
        <f>if(AP78&gt;0, average(AR69:AR77), "")</f>
        <v>15</v>
      </c>
      <c r="AS78" s="156">
        <f>if(AP78&gt;0, average(AS69:AS77), "")</f>
        <v>7</v>
      </c>
      <c r="AT78" s="156">
        <f>if(AP78&gt;0, average(AT69:AT77), "")</f>
        <v>1.5</v>
      </c>
      <c r="AU78" s="156">
        <f>if(AP78&gt;0, average(AU69:AU77), "")</f>
        <v>6</v>
      </c>
      <c r="AV78" s="156">
        <f>if(AP78&gt;0, average(AV69:AV77), "")</f>
        <v>0.5</v>
      </c>
      <c r="AW78" s="156">
        <f>if(AP78&gt;0, average(AW69:AW77), "")</f>
        <v>25</v>
      </c>
      <c r="AX78" s="157">
        <f>if(AP78&gt;0, AR78/(AW78+AR78), "")</f>
        <v>0.375</v>
      </c>
      <c r="AY78" s="5" t="s">
        <v>183</v>
      </c>
      <c r="AZ78" s="154">
        <f>countif(AZ69:AZ77, "Yes")</f>
        <v>0</v>
      </c>
      <c r="BA78" s="155" t="str">
        <f>IFERROR( COUNTIFS(AZ69:AZ75,"Yes", BA69:BA75,"Win") / COUNTIF(AZ69:AZ75,"Yes"), "")</f>
        <v/>
      </c>
      <c r="BB78" s="156" t="str">
        <f>if(AZ78&gt;0, average(BB69:BB77), "")</f>
        <v/>
      </c>
      <c r="BC78" s="156" t="str">
        <f>if(AZ78&gt;0, average(BC69:BC77), "")</f>
        <v/>
      </c>
      <c r="BD78" s="156" t="str">
        <f>if(AZ78&gt;0, average(BD69:BD77), "")</f>
        <v/>
      </c>
      <c r="BE78" s="156" t="str">
        <f>if(AZ78&gt;0, average(BE69:BE77), "")</f>
        <v/>
      </c>
      <c r="BF78" s="156" t="str">
        <f>if(AZ78&gt;0, average(BF69:BF77), "")</f>
        <v/>
      </c>
      <c r="BG78" s="156" t="str">
        <f>if(AZ78&gt;0, average(BG69:BG77), "")</f>
        <v/>
      </c>
      <c r="BH78" s="157" t="str">
        <f>if(AZ78&gt;0, BB78/(BG78+BB78), "")</f>
        <v/>
      </c>
      <c r="BI78" s="8"/>
      <c r="BJ78" s="8"/>
      <c r="BK78" s="8"/>
      <c r="BL78" s="8"/>
    </row>
    <row r="79">
      <c r="A79" s="158" t="str">
        <f>Draft!B54</f>
        <v>Sam Ram</v>
      </c>
      <c r="B79" s="129">
        <f t="shared" ref="B79:J79" si="127">B89</f>
        <v>0</v>
      </c>
      <c r="C79" s="143" t="str">
        <f t="shared" si="127"/>
        <v/>
      </c>
      <c r="D79" s="144" t="str">
        <f t="shared" si="127"/>
        <v/>
      </c>
      <c r="E79" s="144" t="str">
        <f t="shared" si="127"/>
        <v/>
      </c>
      <c r="F79" s="144" t="str">
        <f t="shared" si="127"/>
        <v/>
      </c>
      <c r="G79" s="144" t="str">
        <f t="shared" si="127"/>
        <v/>
      </c>
      <c r="H79" s="144" t="str">
        <f t="shared" si="127"/>
        <v/>
      </c>
      <c r="I79" s="144" t="str">
        <f t="shared" si="127"/>
        <v/>
      </c>
      <c r="J79" s="145" t="str">
        <f t="shared" si="127"/>
        <v/>
      </c>
      <c r="K79" s="159" t="str">
        <f>Draft!C54</f>
        <v>Sebastian F</v>
      </c>
      <c r="L79" s="129">
        <f t="shared" ref="L79:T79" si="128">L89</f>
        <v>0</v>
      </c>
      <c r="M79" s="143" t="str">
        <f t="shared" si="128"/>
        <v/>
      </c>
      <c r="N79" s="144" t="str">
        <f t="shared" si="128"/>
        <v/>
      </c>
      <c r="O79" s="144" t="str">
        <f t="shared" si="128"/>
        <v/>
      </c>
      <c r="P79" s="144" t="str">
        <f t="shared" si="128"/>
        <v/>
      </c>
      <c r="Q79" s="144" t="str">
        <f t="shared" si="128"/>
        <v/>
      </c>
      <c r="R79" s="144" t="str">
        <f t="shared" si="128"/>
        <v/>
      </c>
      <c r="S79" s="144" t="str">
        <f t="shared" si="128"/>
        <v/>
      </c>
      <c r="T79" s="145" t="str">
        <f t="shared" si="128"/>
        <v/>
      </c>
      <c r="U79" s="160" t="str">
        <f>Draft!D54</f>
        <v>Kento</v>
      </c>
      <c r="V79" s="129">
        <f t="shared" ref="V79:AD79" si="129">V89</f>
        <v>4</v>
      </c>
      <c r="W79" s="143">
        <f t="shared" si="129"/>
        <v>0.25</v>
      </c>
      <c r="X79" s="144">
        <f t="shared" si="129"/>
        <v>14.75</v>
      </c>
      <c r="Y79" s="144">
        <f t="shared" si="129"/>
        <v>11.25</v>
      </c>
      <c r="Z79" s="144">
        <f t="shared" si="129"/>
        <v>0.25</v>
      </c>
      <c r="AA79" s="144">
        <f t="shared" si="129"/>
        <v>3.25</v>
      </c>
      <c r="AB79" s="144">
        <f t="shared" si="129"/>
        <v>0</v>
      </c>
      <c r="AC79" s="144">
        <f t="shared" si="129"/>
        <v>23.75</v>
      </c>
      <c r="AD79" s="145">
        <f t="shared" si="129"/>
        <v>0.3831168831</v>
      </c>
      <c r="AE79" s="161" t="str">
        <f>Draft!E54</f>
        <v>Dji</v>
      </c>
      <c r="AF79" s="129">
        <f t="shared" ref="AF79:AN79" si="130">AF89</f>
        <v>4</v>
      </c>
      <c r="AG79" s="143">
        <f t="shared" si="130"/>
        <v>0.25</v>
      </c>
      <c r="AH79" s="144">
        <f t="shared" si="130"/>
        <v>12.25</v>
      </c>
      <c r="AI79" s="144">
        <f t="shared" si="130"/>
        <v>8.25</v>
      </c>
      <c r="AJ79" s="144">
        <f t="shared" si="130"/>
        <v>0.5</v>
      </c>
      <c r="AK79" s="144">
        <f t="shared" si="130"/>
        <v>3.25</v>
      </c>
      <c r="AL79" s="144">
        <f t="shared" si="130"/>
        <v>0.25</v>
      </c>
      <c r="AM79" s="144">
        <f t="shared" si="130"/>
        <v>28.5</v>
      </c>
      <c r="AN79" s="145">
        <f t="shared" si="130"/>
        <v>0.3006134969</v>
      </c>
      <c r="AO79" s="162" t="str">
        <f>Draft!F54</f>
        <v>Jwu</v>
      </c>
      <c r="AP79" s="129">
        <f t="shared" ref="AP79:AX79" si="131">AP89</f>
        <v>0</v>
      </c>
      <c r="AQ79" s="143" t="str">
        <f t="shared" si="131"/>
        <v/>
      </c>
      <c r="AR79" s="144" t="str">
        <f t="shared" si="131"/>
        <v/>
      </c>
      <c r="AS79" s="144" t="str">
        <f t="shared" si="131"/>
        <v/>
      </c>
      <c r="AT79" s="144" t="str">
        <f t="shared" si="131"/>
        <v/>
      </c>
      <c r="AU79" s="144" t="str">
        <f t="shared" si="131"/>
        <v/>
      </c>
      <c r="AV79" s="144" t="str">
        <f t="shared" si="131"/>
        <v/>
      </c>
      <c r="AW79" s="144" t="str">
        <f t="shared" si="131"/>
        <v/>
      </c>
      <c r="AX79" s="145" t="str">
        <f t="shared" si="131"/>
        <v/>
      </c>
      <c r="AY79" s="163" t="str">
        <f>Draft!G54</f>
        <v>Hershey</v>
      </c>
      <c r="AZ79" s="129">
        <f t="shared" ref="AZ79:BH79" si="132">AZ89</f>
        <v>3</v>
      </c>
      <c r="BA79" s="143">
        <f t="shared" si="132"/>
        <v>0</v>
      </c>
      <c r="BB79" s="144">
        <f t="shared" si="132"/>
        <v>20.33333333</v>
      </c>
      <c r="BC79" s="144">
        <f t="shared" si="132"/>
        <v>16.33333333</v>
      </c>
      <c r="BD79" s="144">
        <f t="shared" si="132"/>
        <v>0.3333333333</v>
      </c>
      <c r="BE79" s="144">
        <f t="shared" si="132"/>
        <v>3.333333333</v>
      </c>
      <c r="BF79" s="144">
        <f t="shared" si="132"/>
        <v>0.3333333333</v>
      </c>
      <c r="BG79" s="144">
        <f t="shared" si="132"/>
        <v>23.66666667</v>
      </c>
      <c r="BH79" s="145">
        <f t="shared" si="132"/>
        <v>0.4621212121</v>
      </c>
      <c r="BI79" s="8"/>
      <c r="BJ79" s="8"/>
      <c r="BK79" s="8"/>
      <c r="BL79" s="8"/>
    </row>
    <row r="80">
      <c r="A80" s="151" t="s">
        <v>5</v>
      </c>
      <c r="B80" s="2" t="str">
        <f t="shared" ref="B80:B86" si="133">ifna(if(I80&lt;&gt;"", "Yes", ""), "")</f>
        <v/>
      </c>
      <c r="C80" s="152" t="str">
        <f t="array" ref="C80">ifna(xlookup(A79, 'Week 1'!$A:$A, 'Week 1'!$B:$B), "")</f>
        <v/>
      </c>
      <c r="D80" s="152" t="str">
        <f t="array" ref="D80">ifna(xlookup(A79, 'Week 1'!$A:$A, 'Week 1'!$D:$D), "")</f>
        <v/>
      </c>
      <c r="E80" s="152" t="str">
        <f t="array" ref="E80">ifna(xlookup(A79, 'Week 1'!$A:$A, 'Week 1'!$G:$G), "")</f>
        <v/>
      </c>
      <c r="F80" s="152" t="str">
        <f t="array" ref="F80">ifna(xlookup(A79, 'Week 1'!$A:$A, 'Week 1'!$H:$H), "")</f>
        <v/>
      </c>
      <c r="G80" s="152" t="str">
        <f t="array" ref="G80">ifna(xlookup(A79, 'Week 1'!$A:$A, 'Week 1'!$E:$E), "")</f>
        <v/>
      </c>
      <c r="H80" s="152" t="str">
        <f t="array" ref="H80">ifna(xlookup(A79, 'Week 1'!$A:$A, 'Week 1'!$F:$F), "")</f>
        <v/>
      </c>
      <c r="I80" s="152" t="str">
        <f t="array" ref="I80">ifna(xlookup(A79, 'Week 1'!$A:$A, 'Week 1'!$I:$I), "")</f>
        <v/>
      </c>
      <c r="J80" s="153" t="str">
        <f t="shared" ref="J80:J86" si="134">iferror(IF(D80&gt;0, (D80/(D80+I80)), ""),"")</f>
        <v/>
      </c>
      <c r="K80" s="151" t="s">
        <v>5</v>
      </c>
      <c r="L80" s="2" t="str">
        <f t="shared" ref="L80:L86" si="135">ifna(if(S80&lt;&gt;"", "Yes", ""), "")</f>
        <v/>
      </c>
      <c r="M80" s="152" t="str">
        <f t="array" ref="M80">ifna(xlookup(K79, 'Week 1'!$A:$A, 'Week 1'!$B:$B), "")</f>
        <v/>
      </c>
      <c r="N80" s="152" t="str">
        <f t="array" ref="N80">ifna(xlookup(K79, 'Week 1'!$A:$A, 'Week 1'!$D:$D), "")</f>
        <v/>
      </c>
      <c r="O80" s="152" t="str">
        <f t="array" ref="O80">ifna(xlookup(K79, 'Week 1'!$A:$A, 'Week 1'!$G:$G), "")</f>
        <v/>
      </c>
      <c r="P80" s="152" t="str">
        <f t="array" ref="P80">ifna(xlookup(K79, 'Week 1'!$A:$A, 'Week 1'!$H:$H), "")</f>
        <v/>
      </c>
      <c r="Q80" s="152" t="str">
        <f t="array" ref="Q80">ifna(xlookup(K79, 'Week 1'!$A:$A, 'Week 1'!$E:$E), "")</f>
        <v/>
      </c>
      <c r="R80" s="152" t="str">
        <f t="array" ref="R80">ifna(xlookup(K79, 'Week 1'!$A:$A, 'Week 1'!$F:$F), "")</f>
        <v/>
      </c>
      <c r="S80" s="152" t="str">
        <f t="array" ref="S80">ifna(xlookup(K79, 'Week 1'!$A:$A, 'Week 1'!$I:$I), "")</f>
        <v/>
      </c>
      <c r="T80" s="153" t="str">
        <f t="shared" ref="T80:T86" si="136">iferror(IF(N80&gt;0, (N80/(N80+S80)), ""),"")</f>
        <v/>
      </c>
      <c r="U80" s="151" t="s">
        <v>5</v>
      </c>
      <c r="V80" s="2" t="str">
        <f t="shared" ref="V80:V86" si="137">ifna(if(AC80&lt;&gt;"", "Yes", ""), "")</f>
        <v/>
      </c>
      <c r="W80" s="152" t="str">
        <f t="array" ref="W80">ifna(xlookup(U79, 'Week 1'!$A:$A, 'Week 1'!$B:$B), "")</f>
        <v>Win</v>
      </c>
      <c r="X80" s="152" t="str">
        <f t="array" ref="X80">ifna(xlookup(U79, 'Week 1'!$A:$A, 'Week 1'!$D:$D), "")</f>
        <v/>
      </c>
      <c r="Y80" s="152" t="str">
        <f t="array" ref="Y80">ifna(xlookup(U79, 'Week 1'!$A:$A, 'Week 1'!$G:$G), "")</f>
        <v/>
      </c>
      <c r="Z80" s="152" t="str">
        <f t="array" ref="Z80">ifna(xlookup(U79, 'Week 1'!$A:$A, 'Week 1'!$H:$H), "")</f>
        <v/>
      </c>
      <c r="AA80" s="152" t="str">
        <f t="array" ref="AA80">ifna(xlookup(U79, 'Week 1'!$A:$A, 'Week 1'!$E:$E), "")</f>
        <v/>
      </c>
      <c r="AB80" s="152" t="str">
        <f t="array" ref="AB80">ifna(xlookup(U79, 'Week 1'!$A:$A, 'Week 1'!$F:$F), "")</f>
        <v/>
      </c>
      <c r="AC80" s="152" t="str">
        <f t="array" ref="AC80">ifna(xlookup(U79, 'Week 1'!$A:$A, 'Week 1'!$I:$I), "")</f>
        <v/>
      </c>
      <c r="AD80" s="153" t="str">
        <f t="shared" ref="AD80:AD86" si="138">iferror(IF(X80&gt;0, (X80/(X80+AC80)), ""),"")</f>
        <v/>
      </c>
      <c r="AE80" s="151" t="s">
        <v>5</v>
      </c>
      <c r="AF80" s="2" t="str">
        <f t="shared" ref="AF80:AF86" si="139">ifna(if(AM80&lt;&gt;"", "Yes", ""), "")</f>
        <v/>
      </c>
      <c r="AG80" s="152" t="str">
        <f t="array" ref="AG80">ifna(xlookup(AE79, 'Week 1'!$A:$A, 'Week 1'!$B:$B), "")</f>
        <v>Win</v>
      </c>
      <c r="AH80" s="152" t="str">
        <f t="array" ref="AH80">ifna(xlookup(AE79, 'Week 1'!$A:$A, 'Week 1'!$D:$D), "")</f>
        <v/>
      </c>
      <c r="AI80" s="152" t="str">
        <f t="array" ref="AI80">ifna(xlookup(AE79, 'Week 1'!$A:$A, 'Week 1'!$G:$G), "")</f>
        <v/>
      </c>
      <c r="AJ80" s="152" t="str">
        <f t="array" ref="AJ80">ifna(xlookup(AE79, 'Week 1'!$A:$A, 'Week 1'!$H:$H), "")</f>
        <v/>
      </c>
      <c r="AK80" s="152" t="str">
        <f t="array" ref="AK80">ifna(xlookup(AE79, 'Week 1'!$A:$A, 'Week 1'!$E:$E), "")</f>
        <v/>
      </c>
      <c r="AL80" s="152" t="str">
        <f t="array" ref="AL80">ifna(xlookup(AE79, 'Week 1'!$A:$A, 'Week 1'!$F:$F), "")</f>
        <v/>
      </c>
      <c r="AM80" s="152" t="str">
        <f t="array" ref="AM80">ifna(xlookup(AE79, 'Week 1'!$A:$A, 'Week 1'!$I:$I), "")</f>
        <v/>
      </c>
      <c r="AN80" s="153" t="str">
        <f t="shared" ref="AN80:AN86" si="140">iferror(IF(AH80&gt;0, (AH80/(AH80+AM80)), ""),"")</f>
        <v/>
      </c>
      <c r="AO80" s="151" t="s">
        <v>5</v>
      </c>
      <c r="AP80" s="2" t="str">
        <f t="shared" ref="AP80:AP86" si="141">ifna(if(AW80&lt;&gt;"", "Yes", ""), "")</f>
        <v/>
      </c>
      <c r="AQ80" s="152" t="str">
        <f t="array" ref="AQ80">ifna(xlookup(AO79, 'Week 1'!$A:$A, 'Week 1'!$B:$B), "")</f>
        <v>Loss</v>
      </c>
      <c r="AR80" s="152" t="str">
        <f t="array" ref="AR80">ifna(xlookup(AO79, 'Week 1'!$A:$A, 'Week 1'!$D:$D), "")</f>
        <v/>
      </c>
      <c r="AS80" s="152" t="str">
        <f t="array" ref="AS80">ifna(xlookup(AO79, 'Week 1'!$A:$A, 'Week 1'!$G:$G), "")</f>
        <v/>
      </c>
      <c r="AT80" s="152" t="str">
        <f t="array" ref="AT80">ifna(xlookup(AO79, 'Week 1'!$A:$A, 'Week 1'!$H:$H), "")</f>
        <v/>
      </c>
      <c r="AU80" s="152" t="str">
        <f t="array" ref="AU80">ifna(xlookup(AO79, 'Week 1'!$A:$A, 'Week 1'!$E:$E), "")</f>
        <v/>
      </c>
      <c r="AV80" s="152" t="str">
        <f t="array" ref="AV80">ifna(xlookup(AO79, 'Week 1'!$A:$A, 'Week 1'!$F:$F), "")</f>
        <v/>
      </c>
      <c r="AW80" s="152" t="str">
        <f t="array" ref="AW80">ifna(xlookup(AO79, 'Week 1'!$A:$A, 'Week 1'!$I:$I), "")</f>
        <v/>
      </c>
      <c r="AX80" s="153" t="str">
        <f t="shared" ref="AX80:AX86" si="142">iferror(IF(AR80&gt;0, (AR80/(AR80+AW80)), ""),"")</f>
        <v/>
      </c>
      <c r="AY80" s="151" t="s">
        <v>5</v>
      </c>
      <c r="AZ80" s="2" t="str">
        <f t="shared" ref="AZ80:AZ86" si="143">ifna(if(BG80&lt;&gt;"", "Yes", ""), "")</f>
        <v/>
      </c>
      <c r="BA80" s="152" t="str">
        <f t="array" ref="BA80">ifna(xlookup(AY79, 'Week 1'!$A:$A, 'Week 1'!$B:$B), "")</f>
        <v>Win</v>
      </c>
      <c r="BB80" s="152" t="str">
        <f t="array" ref="BB80">ifna(xlookup(AY79, 'Week 1'!$A:$A, 'Week 1'!$D:$D), "")</f>
        <v/>
      </c>
      <c r="BC80" s="152" t="str">
        <f t="array" ref="BC80">ifna(xlookup(AY79, 'Week 1'!$A:$A, 'Week 1'!$G:$G), "")</f>
        <v/>
      </c>
      <c r="BD80" s="152" t="str">
        <f t="array" ref="BD80">ifna(xlookup(AY79, 'Week 1'!$A:$A, 'Week 1'!$H:$H), "")</f>
        <v/>
      </c>
      <c r="BE80" s="152" t="str">
        <f t="array" ref="BE80">ifna(xlookup(AY79, 'Week 1'!$A:$A, 'Week 1'!$E:$E), "")</f>
        <v/>
      </c>
      <c r="BF80" s="152" t="str">
        <f t="array" ref="BF80">ifna(xlookup(AY79, 'Week 1'!$A:$A, 'Week 1'!$F:$F), "")</f>
        <v/>
      </c>
      <c r="BG80" s="152" t="str">
        <f t="array" ref="BG80">ifna(xlookup(AY79, 'Week 1'!$A:$A, 'Week 1'!$I:$I), "")</f>
        <v/>
      </c>
      <c r="BH80" s="153" t="str">
        <f t="shared" ref="BH80:BH86" si="144">iferror(IF(BB80&gt;0, (BB80/(BB80+BG80)), ""),"")</f>
        <v/>
      </c>
      <c r="BI80" s="8"/>
      <c r="BJ80" s="8"/>
      <c r="BK80" s="8"/>
      <c r="BL80" s="8"/>
    </row>
    <row r="81">
      <c r="A81" s="151" t="s">
        <v>7</v>
      </c>
      <c r="B81" s="2" t="str">
        <f t="shared" si="133"/>
        <v/>
      </c>
      <c r="C81" s="152" t="str">
        <f t="array" ref="C81">ifna(xlookup(A79, 'Week 2'!$A:$A, 'Week 2'!$B:$B), "")</f>
        <v/>
      </c>
      <c r="D81" s="152" t="str">
        <f t="array" ref="D81">ifna(xlookup(A79, 'Week 2'!$A:$A, 'Week 2'!$D:$D), "")</f>
        <v/>
      </c>
      <c r="E81" s="152" t="str">
        <f t="array" ref="E81">ifna(xlookup(A79, 'Week 2'!$A:$A, 'Week 2'!$G:$G), "")</f>
        <v/>
      </c>
      <c r="F81" s="152" t="str">
        <f t="array" ref="F81">ifna(xlookup(A79, 'Week 2'!$A:$A, 'Week 2'!$H:$H), "")</f>
        <v/>
      </c>
      <c r="G81" s="152" t="str">
        <f t="array" ref="G81">ifna(xlookup(A79, 'Week 2'!$A:$A, 'Week 2'!$E:$E), "")</f>
        <v/>
      </c>
      <c r="H81" s="152" t="str">
        <f t="array" ref="H81">ifna(xlookup(A79, 'Week 2'!$A:$A, 'Week 2'!$F:$F), "")</f>
        <v/>
      </c>
      <c r="I81" s="152" t="str">
        <f t="array" ref="I81">ifna(xlookup(A79, 'Week 2'!$A:$A, 'Week 2'!$I:$I), "")</f>
        <v/>
      </c>
      <c r="J81" s="153" t="str">
        <f t="shared" si="134"/>
        <v/>
      </c>
      <c r="K81" s="151" t="s">
        <v>7</v>
      </c>
      <c r="L81" s="2" t="str">
        <f t="shared" si="135"/>
        <v/>
      </c>
      <c r="M81" s="152" t="str">
        <f t="array" ref="M81">ifna(xlookup(K79, 'Week 2'!$A:$A, 'Week 2'!$B:$B), "")</f>
        <v/>
      </c>
      <c r="N81" s="152" t="str">
        <f t="array" ref="N81">ifna(xlookup(K79, 'Week 2'!$A:$A, 'Week 2'!$D:$D), "")</f>
        <v/>
      </c>
      <c r="O81" s="152" t="str">
        <f t="array" ref="O81">ifna(xlookup(K79, 'Week 2'!$A:$A, 'Week 2'!$G:$G), "")</f>
        <v/>
      </c>
      <c r="P81" s="152" t="str">
        <f t="array" ref="P81">ifna(xlookup(K79, 'Week 2'!$A:$A, 'Week 2'!$H:$H), "")</f>
        <v/>
      </c>
      <c r="Q81" s="152" t="str">
        <f t="array" ref="Q81">ifna(xlookup(K79, 'Week 2'!$A:$A, 'Week 2'!$E:$E), "")</f>
        <v/>
      </c>
      <c r="R81" s="152" t="str">
        <f t="array" ref="R81">ifna(xlookup(K79, 'Week 2'!$A:$A, 'Week 2'!$F:$F), "")</f>
        <v/>
      </c>
      <c r="S81" s="152" t="str">
        <f t="array" ref="S81">ifna(xlookup(K79, 'Week 2'!$A:$A, 'Week 2'!$I:$I), "")</f>
        <v/>
      </c>
      <c r="T81" s="153" t="str">
        <f t="shared" si="136"/>
        <v/>
      </c>
      <c r="U81" s="151" t="s">
        <v>7</v>
      </c>
      <c r="V81" s="2" t="str">
        <f t="shared" si="137"/>
        <v/>
      </c>
      <c r="W81" s="152" t="str">
        <f t="array" ref="W81">ifna(xlookup(U79, 'Week 2'!$A:$A, 'Week 2'!$B:$B), "")</f>
        <v>Win</v>
      </c>
      <c r="X81" s="152" t="str">
        <f t="array" ref="X81">ifna(xlookup(U79, 'Week 2'!$A:$A, 'Week 2'!$D:$D), "")</f>
        <v/>
      </c>
      <c r="Y81" s="152" t="str">
        <f t="array" ref="Y81">ifna(xlookup(U79, 'Week 2'!$A:$A, 'Week 2'!$G:$G), "")</f>
        <v/>
      </c>
      <c r="Z81" s="152" t="str">
        <f t="array" ref="Z81">ifna(xlookup(U79, 'Week 2'!$A:$A, 'Week 2'!$H:$H), "")</f>
        <v/>
      </c>
      <c r="AA81" s="152" t="str">
        <f t="array" ref="AA81">ifna(xlookup(U79, 'Week 2'!$A:$A, 'Week 2'!$E:$E), "")</f>
        <v/>
      </c>
      <c r="AB81" s="152" t="str">
        <f t="array" ref="AB81">ifna(xlookup(U79, 'Week 2'!$A:$A, 'Week 2'!$F:$F), "")</f>
        <v/>
      </c>
      <c r="AC81" s="152" t="str">
        <f t="array" ref="AC81">ifna(xlookup(U79, 'Week 2'!$A:$A, 'Week 2'!$I:$I), "")</f>
        <v/>
      </c>
      <c r="AD81" s="153" t="str">
        <f t="shared" si="138"/>
        <v/>
      </c>
      <c r="AE81" s="151" t="s">
        <v>7</v>
      </c>
      <c r="AF81" s="2" t="str">
        <f t="shared" si="139"/>
        <v>Yes</v>
      </c>
      <c r="AG81" s="152" t="str">
        <f t="array" ref="AG81">ifna(xlookup(AE79, 'Week 2'!$A:$A, 'Week 2'!$B:$B), "")</f>
        <v>Loss</v>
      </c>
      <c r="AH81" s="152">
        <f t="array" ref="AH81">ifna(xlookup(AE79, 'Week 2'!$A:$A, 'Week 2'!$D:$D), "")</f>
        <v>15</v>
      </c>
      <c r="AI81" s="152">
        <f t="array" ref="AI81">ifna(xlookup(AE79, 'Week 2'!$A:$A, 'Week 2'!$G:$G), "")</f>
        <v>9</v>
      </c>
      <c r="AJ81" s="152">
        <f t="array" ref="AJ81">ifna(xlookup(AE79, 'Week 2'!$A:$A, 'Week 2'!$H:$H), "")</f>
        <v>2</v>
      </c>
      <c r="AK81" s="152">
        <f t="array" ref="AK81">ifna(xlookup(AE79, 'Week 2'!$A:$A, 'Week 2'!$E:$E), "")</f>
        <v>3</v>
      </c>
      <c r="AL81" s="152">
        <f t="array" ref="AL81">ifna(xlookup(AE79, 'Week 2'!$A:$A, 'Week 2'!$F:$F), "")</f>
        <v>1</v>
      </c>
      <c r="AM81" s="152">
        <f t="array" ref="AM81">ifna(xlookup(AE79, 'Week 2'!$A:$A, 'Week 2'!$I:$I), "")</f>
        <v>23</v>
      </c>
      <c r="AN81" s="153">
        <f t="shared" si="140"/>
        <v>0.3947368421</v>
      </c>
      <c r="AO81" s="151" t="s">
        <v>7</v>
      </c>
      <c r="AP81" s="2" t="str">
        <f t="shared" si="141"/>
        <v/>
      </c>
      <c r="AQ81" s="152" t="str">
        <f t="array" ref="AQ81">ifna(xlookup(AO79, 'Week 2'!$A:$A, 'Week 2'!$B:$B), "")</f>
        <v>Win</v>
      </c>
      <c r="AR81" s="152" t="str">
        <f t="array" ref="AR81">ifna(xlookup(AO79, 'Week 2'!$A:$A, 'Week 2'!$D:$D), "")</f>
        <v/>
      </c>
      <c r="AS81" s="152" t="str">
        <f t="array" ref="AS81">ifna(xlookup(AO79, 'Week 2'!$A:$A, 'Week 2'!$G:$G), "")</f>
        <v/>
      </c>
      <c r="AT81" s="152" t="str">
        <f t="array" ref="AT81">ifna(xlookup(AO79, 'Week 2'!$A:$A, 'Week 2'!$H:$H), "")</f>
        <v/>
      </c>
      <c r="AU81" s="152" t="str">
        <f t="array" ref="AU81">ifna(xlookup(AO79, 'Week 2'!$A:$A, 'Week 2'!$E:$E), "")</f>
        <v/>
      </c>
      <c r="AV81" s="152" t="str">
        <f t="array" ref="AV81">ifna(xlookup(AO79, 'Week 2'!$A:$A, 'Week 2'!$F:$F), "")</f>
        <v/>
      </c>
      <c r="AW81" s="152" t="str">
        <f t="array" ref="AW81">ifna(xlookup(AO79, 'Week 2'!$A:$A, 'Week 2'!$I:$I), "")</f>
        <v/>
      </c>
      <c r="AX81" s="153" t="str">
        <f t="shared" si="142"/>
        <v/>
      </c>
      <c r="AY81" s="151" t="s">
        <v>7</v>
      </c>
      <c r="AZ81" s="2" t="str">
        <f t="shared" si="143"/>
        <v/>
      </c>
      <c r="BA81" s="152" t="str">
        <f t="array" ref="BA81">ifna(xlookup(AY79, 'Week 2'!$A:$A, 'Week 2'!$B:$B), "")</f>
        <v>Win</v>
      </c>
      <c r="BB81" s="152" t="str">
        <f t="array" ref="BB81">ifna(xlookup(AY79, 'Week 2'!$A:$A, 'Week 2'!$D:$D), "")</f>
        <v/>
      </c>
      <c r="BC81" s="152" t="str">
        <f t="array" ref="BC81">ifna(xlookup(AY79, 'Week 2'!$A:$A, 'Week 2'!$G:$G), "")</f>
        <v/>
      </c>
      <c r="BD81" s="152" t="str">
        <f t="array" ref="BD81">ifna(xlookup(AY79, 'Week 2'!$A:$A, 'Week 2'!$H:$H), "")</f>
        <v/>
      </c>
      <c r="BE81" s="152" t="str">
        <f t="array" ref="BE81">ifna(xlookup(AY79, 'Week 2'!$A:$A, 'Week 2'!$E:$E), "")</f>
        <v/>
      </c>
      <c r="BF81" s="152" t="str">
        <f t="array" ref="BF81">ifna(xlookup(AY79, 'Week 2'!$A:$A, 'Week 2'!$F:$F), "")</f>
        <v/>
      </c>
      <c r="BG81" s="152" t="str">
        <f t="array" ref="BG81">ifna(xlookup(AY79, 'Week 2'!$A:$A, 'Week 2'!$I:$I), "")</f>
        <v/>
      </c>
      <c r="BH81" s="153" t="str">
        <f t="shared" si="144"/>
        <v/>
      </c>
      <c r="BI81" s="8"/>
      <c r="BJ81" s="8"/>
      <c r="BK81" s="8"/>
      <c r="BL81" s="8"/>
    </row>
    <row r="82">
      <c r="A82" s="151" t="s">
        <v>12</v>
      </c>
      <c r="B82" s="2" t="str">
        <f t="shared" si="133"/>
        <v/>
      </c>
      <c r="C82" s="152" t="str">
        <f t="array" ref="C82">ifna(xlookup(A79, 'Week 3'!$A:$A, 'Week 3'!$B:$B), "")</f>
        <v/>
      </c>
      <c r="D82" s="152" t="str">
        <f t="array" ref="D82">ifna(xlookup(A79, 'Week 3'!$A:$A, 'Week 3'!$D:$D), "")</f>
        <v/>
      </c>
      <c r="E82" s="152" t="str">
        <f t="array" ref="E82">ifna(xlookup(A79, 'Week 3'!$A:$A, 'Week 3'!$G:$G), "")</f>
        <v/>
      </c>
      <c r="F82" s="152" t="str">
        <f t="array" ref="F82">ifna(xlookup(A79, 'Week 3'!$A:$A, 'Week 3'!$H:$H), "")</f>
        <v/>
      </c>
      <c r="G82" s="152" t="str">
        <f t="array" ref="G82">ifna(xlookup(A79, 'Week 3'!$A:$A, 'Week 3'!$E:$E), "")</f>
        <v/>
      </c>
      <c r="H82" s="152" t="str">
        <f t="array" ref="H82">ifna(xlookup(A79, 'Week 3'!$A:$A, 'Week 3'!$F:$F), "")</f>
        <v/>
      </c>
      <c r="I82" s="152" t="str">
        <f t="array" ref="I82">ifna(xlookup(A79, 'Week 3'!$A:$A, 'Week 3'!$I:$I), "")</f>
        <v/>
      </c>
      <c r="J82" s="153" t="str">
        <f t="shared" si="134"/>
        <v/>
      </c>
      <c r="K82" s="151" t="s">
        <v>12</v>
      </c>
      <c r="L82" s="2" t="str">
        <f t="shared" si="135"/>
        <v/>
      </c>
      <c r="M82" s="152" t="str">
        <f t="array" ref="M82">ifna(xlookup(K79, 'Week 3'!$A:$A, 'Week 3'!$B:$B), "")</f>
        <v/>
      </c>
      <c r="N82" s="152" t="str">
        <f t="array" ref="N82">ifna(xlookup(K79, 'Week 3'!$A:$A, 'Week 3'!$D:$D), "")</f>
        <v/>
      </c>
      <c r="O82" s="152" t="str">
        <f t="array" ref="O82">ifna(xlookup(K79, 'Week 3'!$A:$A, 'Week 3'!$G:$G), "")</f>
        <v/>
      </c>
      <c r="P82" s="152" t="str">
        <f t="array" ref="P82">ifna(xlookup(K79, 'Week 3'!$A:$A, 'Week 3'!$H:$H), "")</f>
        <v/>
      </c>
      <c r="Q82" s="152" t="str">
        <f t="array" ref="Q82">ifna(xlookup(K79, 'Week 3'!$A:$A, 'Week 3'!$E:$E), "")</f>
        <v/>
      </c>
      <c r="R82" s="152" t="str">
        <f t="array" ref="R82">ifna(xlookup(K79, 'Week 3'!$A:$A, 'Week 3'!$F:$F), "")</f>
        <v/>
      </c>
      <c r="S82" s="152" t="str">
        <f t="array" ref="S82">ifna(xlookup(K79, 'Week 3'!$A:$A, 'Week 3'!$I:$I), "")</f>
        <v/>
      </c>
      <c r="T82" s="153" t="str">
        <f t="shared" si="136"/>
        <v/>
      </c>
      <c r="U82" s="151" t="s">
        <v>12</v>
      </c>
      <c r="V82" s="2" t="str">
        <f t="shared" si="137"/>
        <v>Yes</v>
      </c>
      <c r="W82" s="152" t="str">
        <f t="array" ref="W82">ifna(xlookup(U79, 'Week 3'!$A:$A, 'Week 3'!$B:$B), "")</f>
        <v>Win</v>
      </c>
      <c r="X82" s="152">
        <f t="array" ref="X82">ifna(xlookup(U79, 'Week 3'!$A:$A, 'Week 3'!$D:$D), "")</f>
        <v>15</v>
      </c>
      <c r="Y82" s="152">
        <f t="array" ref="Y82">ifna(xlookup(U79, 'Week 3'!$A:$A, 'Week 3'!$G:$G), "")</f>
        <v>9</v>
      </c>
      <c r="Z82" s="152">
        <f t="array" ref="Z82">ifna(xlookup(U79, 'Week 3'!$A:$A, 'Week 3'!$H:$H), "")</f>
        <v>0</v>
      </c>
      <c r="AA82" s="152">
        <f t="array" ref="AA82">ifna(xlookup(U79, 'Week 3'!$A:$A, 'Week 3'!$E:$E), "")</f>
        <v>6</v>
      </c>
      <c r="AB82" s="152">
        <f t="array" ref="AB82">ifna(xlookup(U79, 'Week 3'!$A:$A, 'Week 3'!$F:$F), "")</f>
        <v>0</v>
      </c>
      <c r="AC82" s="152">
        <f t="array" ref="AC82">ifna(xlookup(U79, 'Week 3'!$A:$A, 'Week 3'!$I:$I), "")</f>
        <v>26</v>
      </c>
      <c r="AD82" s="153">
        <f t="shared" si="138"/>
        <v>0.3658536585</v>
      </c>
      <c r="AE82" s="151" t="s">
        <v>12</v>
      </c>
      <c r="AF82" s="2" t="str">
        <f t="shared" si="139"/>
        <v/>
      </c>
      <c r="AG82" s="152" t="str">
        <f t="array" ref="AG82">ifna(xlookup(AE79, 'Week 3'!$A:$A, 'Week 3'!$B:$B), "")</f>
        <v>Loss</v>
      </c>
      <c r="AH82" s="152" t="str">
        <f t="array" ref="AH82">ifna(xlookup(AE79, 'Week 3'!$A:$A, 'Week 3'!$D:$D), "")</f>
        <v/>
      </c>
      <c r="AI82" s="152" t="str">
        <f t="array" ref="AI82">ifna(xlookup(AE79, 'Week 3'!$A:$A, 'Week 3'!$G:$G), "")</f>
        <v/>
      </c>
      <c r="AJ82" s="152" t="str">
        <f t="array" ref="AJ82">ifna(xlookup(AE79, 'Week 3'!$A:$A, 'Week 3'!$H:$H), "")</f>
        <v/>
      </c>
      <c r="AK82" s="152" t="str">
        <f t="array" ref="AK82">ifna(xlookup(AE79, 'Week 3'!$A:$A, 'Week 3'!$E:$E), "")</f>
        <v/>
      </c>
      <c r="AL82" s="152" t="str">
        <f t="array" ref="AL82">ifna(xlookup(AE79, 'Week 3'!$A:$A, 'Week 3'!$F:$F), "")</f>
        <v/>
      </c>
      <c r="AM82" s="152" t="str">
        <f t="array" ref="AM82">ifna(xlookup(AE79, 'Week 3'!$A:$A, 'Week 3'!$I:$I), "")</f>
        <v/>
      </c>
      <c r="AN82" s="153" t="str">
        <f t="shared" si="140"/>
        <v/>
      </c>
      <c r="AO82" s="151" t="s">
        <v>12</v>
      </c>
      <c r="AP82" s="2" t="str">
        <f t="shared" si="141"/>
        <v/>
      </c>
      <c r="AQ82" s="152" t="str">
        <f t="array" ref="AQ82">ifna(xlookup(AO79, 'Week 3'!$A:$A, 'Week 3'!$B:$B), "")</f>
        <v>Win</v>
      </c>
      <c r="AR82" s="152" t="str">
        <f t="array" ref="AR82">ifna(xlookup(AO79, 'Week 3'!$A:$A, 'Week 3'!$D:$D), "")</f>
        <v/>
      </c>
      <c r="AS82" s="152" t="str">
        <f t="array" ref="AS82">ifna(xlookup(AO79, 'Week 3'!$A:$A, 'Week 3'!$G:$G), "")</f>
        <v/>
      </c>
      <c r="AT82" s="152" t="str">
        <f t="array" ref="AT82">ifna(xlookup(AO79, 'Week 3'!$A:$A, 'Week 3'!$H:$H), "")</f>
        <v/>
      </c>
      <c r="AU82" s="152" t="str">
        <f t="array" ref="AU82">ifna(xlookup(AO79, 'Week 3'!$A:$A, 'Week 3'!$E:$E), "")</f>
        <v/>
      </c>
      <c r="AV82" s="152" t="str">
        <f t="array" ref="AV82">ifna(xlookup(AO79, 'Week 3'!$A:$A, 'Week 3'!$F:$F), "")</f>
        <v/>
      </c>
      <c r="AW82" s="152" t="str">
        <f t="array" ref="AW82">ifna(xlookup(AO79, 'Week 3'!$A:$A, 'Week 3'!$I:$I), "")</f>
        <v/>
      </c>
      <c r="AX82" s="153" t="str">
        <f t="shared" si="142"/>
        <v/>
      </c>
      <c r="AY82" s="151" t="s">
        <v>12</v>
      </c>
      <c r="AZ82" s="2" t="str">
        <f t="shared" si="143"/>
        <v>Yes</v>
      </c>
      <c r="BA82" s="152" t="str">
        <f t="array" ref="BA82">ifna(xlookup(AY79, 'Week 3'!$A:$A, 'Week 3'!$B:$B), "")</f>
        <v>Loss</v>
      </c>
      <c r="BB82" s="152">
        <f t="array" ref="BB82">ifna(xlookup(AY79, 'Week 3'!$A:$A, 'Week 3'!$D:$D), "")</f>
        <v>23</v>
      </c>
      <c r="BC82" s="152">
        <f t="array" ref="BC82">ifna(xlookup(AY79, 'Week 3'!$A:$A, 'Week 3'!$G:$G), "")</f>
        <v>18</v>
      </c>
      <c r="BD82" s="152">
        <f t="array" ref="BD82">ifna(xlookup(AY79, 'Week 3'!$A:$A, 'Week 3'!$H:$H), "")</f>
        <v>1</v>
      </c>
      <c r="BE82" s="152">
        <f t="array" ref="BE82">ifna(xlookup(AY79, 'Week 3'!$A:$A, 'Week 3'!$E:$E), "")</f>
        <v>4</v>
      </c>
      <c r="BF82" s="152">
        <f t="array" ref="BF82">ifna(xlookup(AY79, 'Week 3'!$A:$A, 'Week 3'!$F:$F), "")</f>
        <v>0</v>
      </c>
      <c r="BG82" s="152">
        <f t="array" ref="BG82">ifna(xlookup(AY79, 'Week 3'!$A:$A, 'Week 3'!$I:$I), "")</f>
        <v>19</v>
      </c>
      <c r="BH82" s="153">
        <f t="shared" si="144"/>
        <v>0.5476190476</v>
      </c>
      <c r="BI82" s="8"/>
      <c r="BJ82" s="8"/>
      <c r="BK82" s="8"/>
      <c r="BL82" s="8"/>
    </row>
    <row r="83">
      <c r="A83" s="151" t="s">
        <v>17</v>
      </c>
      <c r="B83" s="2" t="str">
        <f t="shared" si="133"/>
        <v/>
      </c>
      <c r="C83" s="152" t="str">
        <f t="array" ref="C83">ifna(xlookup(A79, 'Week 4'!$A:$A, 'Week 4'!$B:$B), "")</f>
        <v/>
      </c>
      <c r="D83" s="152" t="str">
        <f t="array" ref="D83">ifna(xlookup(A79, 'Week 4'!$A:$A, 'Week 4'!$D:$D), "")</f>
        <v/>
      </c>
      <c r="E83" s="152" t="str">
        <f t="array" ref="E83">ifna(xlookup(A79, 'Week 4'!$A:$A, 'Week 4'!$G:$G), "")</f>
        <v/>
      </c>
      <c r="F83" s="152" t="str">
        <f t="array" ref="F83">ifna(xlookup(A79, 'Week 4'!$A:$A, 'Week 4'!$H:$H), "")</f>
        <v/>
      </c>
      <c r="G83" s="152" t="str">
        <f t="array" ref="G83">ifna(xlookup(A79, 'Week 4'!$A:$A, 'Week 4'!$E:$E), "")</f>
        <v/>
      </c>
      <c r="H83" s="152" t="str">
        <f t="array" ref="H83">ifna(xlookup(A79, 'Week 4'!$A:$A, 'Week 4'!$F:$F), "")</f>
        <v/>
      </c>
      <c r="I83" s="152" t="str">
        <f t="array" ref="I83">ifna(xlookup(A79, 'Week 4'!$A:$A, 'Week 4'!$I:$I), "")</f>
        <v/>
      </c>
      <c r="J83" s="153" t="str">
        <f t="shared" si="134"/>
        <v/>
      </c>
      <c r="K83" s="151" t="s">
        <v>17</v>
      </c>
      <c r="L83" s="2" t="str">
        <f t="shared" si="135"/>
        <v/>
      </c>
      <c r="M83" s="152" t="str">
        <f t="array" ref="M83">ifna(xlookup(K79, 'Week 4'!$A:$A, 'Week 4'!$B:$B), "")</f>
        <v/>
      </c>
      <c r="N83" s="152" t="str">
        <f t="array" ref="N83">ifna(xlookup(K79, 'Week 4'!$A:$A, 'Week 4'!$D:$D), "")</f>
        <v/>
      </c>
      <c r="O83" s="152" t="str">
        <f t="array" ref="O83">ifna(xlookup(K79, 'Week 4'!$A:$A, 'Week 4'!$G:$G), "")</f>
        <v/>
      </c>
      <c r="P83" s="152" t="str">
        <f t="array" ref="P83">ifna(xlookup(K79, 'Week 4'!$A:$A, 'Week 4'!$H:$H), "")</f>
        <v/>
      </c>
      <c r="Q83" s="152" t="str">
        <f t="array" ref="Q83">ifna(xlookup(K79, 'Week 4'!$A:$A, 'Week 4'!$E:$E), "")</f>
        <v/>
      </c>
      <c r="R83" s="152" t="str">
        <f t="array" ref="R83">ifna(xlookup(K79, 'Week 4'!$A:$A, 'Week 4'!$F:$F), "")</f>
        <v/>
      </c>
      <c r="S83" s="152" t="str">
        <f t="array" ref="S83">ifna(xlookup(K79, 'Week 4'!$A:$A, 'Week 4'!$I:$I), "")</f>
        <v/>
      </c>
      <c r="T83" s="153" t="str">
        <f t="shared" si="136"/>
        <v/>
      </c>
      <c r="U83" s="151" t="s">
        <v>17</v>
      </c>
      <c r="V83" s="2" t="str">
        <f t="shared" si="137"/>
        <v/>
      </c>
      <c r="W83" s="152" t="str">
        <f t="array" ref="W83">ifna(xlookup(U79, 'Week 4'!$A:$A, 'Week 4'!$B:$B), "")</f>
        <v>Loss</v>
      </c>
      <c r="X83" s="152" t="str">
        <f t="array" ref="X83">ifna(xlookup(U79, 'Week 4'!$A:$A, 'Week 4'!$D:$D), "")</f>
        <v/>
      </c>
      <c r="Y83" s="152" t="str">
        <f t="array" ref="Y83">ifna(xlookup(U79, 'Week 4'!$A:$A, 'Week 4'!$G:$G), "")</f>
        <v/>
      </c>
      <c r="Z83" s="152" t="str">
        <f t="array" ref="Z83">ifna(xlookup(U79, 'Week 4'!$A:$A, 'Week 4'!$H:$H), "")</f>
        <v/>
      </c>
      <c r="AA83" s="152" t="str">
        <f t="array" ref="AA83">ifna(xlookup(U79, 'Week 4'!$A:$A, 'Week 4'!$E:$E), "")</f>
        <v/>
      </c>
      <c r="AB83" s="152" t="str">
        <f t="array" ref="AB83">ifna(xlookup(U79, 'Week 4'!$A:$A, 'Week 4'!$F:$F), "")</f>
        <v/>
      </c>
      <c r="AC83" s="152" t="str">
        <f t="array" ref="AC83">ifna(xlookup(U79, 'Week 4'!$A:$A, 'Week 4'!$I:$I), "")</f>
        <v/>
      </c>
      <c r="AD83" s="153" t="str">
        <f t="shared" si="138"/>
        <v/>
      </c>
      <c r="AE83" s="151" t="s">
        <v>17</v>
      </c>
      <c r="AF83" s="2" t="str">
        <f t="shared" si="139"/>
        <v>Yes</v>
      </c>
      <c r="AG83" s="152" t="str">
        <f t="array" ref="AG83">ifna(xlookup(AE79, 'Week 4'!$A:$A, 'Week 4'!$B:$B), "")</f>
        <v>Win</v>
      </c>
      <c r="AH83" s="152">
        <f t="array" ref="AH83">ifna(xlookup(AE79, 'Week 4'!$A:$A, 'Week 4'!$D:$D), "")</f>
        <v>12</v>
      </c>
      <c r="AI83" s="152">
        <f t="array" ref="AI83">ifna(xlookup(AE79, 'Week 4'!$A:$A, 'Week 4'!$G:$G), "")</f>
        <v>11</v>
      </c>
      <c r="AJ83" s="152">
        <f t="array" ref="AJ83">ifna(xlookup(AE79, 'Week 4'!$A:$A, 'Week 4'!$H:$H), "")</f>
        <v>0</v>
      </c>
      <c r="AK83" s="152">
        <f t="array" ref="AK83">ifna(xlookup(AE79, 'Week 4'!$A:$A, 'Week 4'!$E:$E), "")</f>
        <v>1</v>
      </c>
      <c r="AL83" s="152">
        <f t="array" ref="AL83">ifna(xlookup(AE79, 'Week 4'!$A:$A, 'Week 4'!$F:$F), "")</f>
        <v>0</v>
      </c>
      <c r="AM83" s="152">
        <f t="array" ref="AM83">ifna(xlookup(AE79, 'Week 4'!$A:$A, 'Week 4'!$I:$I), "")</f>
        <v>33</v>
      </c>
      <c r="AN83" s="153">
        <f t="shared" si="140"/>
        <v>0.2666666667</v>
      </c>
      <c r="AO83" s="151" t="s">
        <v>17</v>
      </c>
      <c r="AP83" s="2" t="str">
        <f t="shared" si="141"/>
        <v/>
      </c>
      <c r="AQ83" s="152" t="str">
        <f t="array" ref="AQ83">ifna(xlookup(AO79, 'Week 4'!$A:$A, 'Week 4'!$B:$B), "")</f>
        <v>Win</v>
      </c>
      <c r="AR83" s="152" t="str">
        <f t="array" ref="AR83">ifna(xlookup(AO79, 'Week 4'!$A:$A, 'Week 4'!$D:$D), "")</f>
        <v/>
      </c>
      <c r="AS83" s="152" t="str">
        <f t="array" ref="AS83">ifna(xlookup(AO79, 'Week 4'!$A:$A, 'Week 4'!$G:$G), "")</f>
        <v/>
      </c>
      <c r="AT83" s="152" t="str">
        <f t="array" ref="AT83">ifna(xlookup(AO79, 'Week 4'!$A:$A, 'Week 4'!$H:$H), "")</f>
        <v/>
      </c>
      <c r="AU83" s="152" t="str">
        <f t="array" ref="AU83">ifna(xlookup(AO79, 'Week 4'!$A:$A, 'Week 4'!$E:$E), "")</f>
        <v/>
      </c>
      <c r="AV83" s="152" t="str">
        <f t="array" ref="AV83">ifna(xlookup(AO79, 'Week 4'!$A:$A, 'Week 4'!$F:$F), "")</f>
        <v/>
      </c>
      <c r="AW83" s="152" t="str">
        <f t="array" ref="AW83">ifna(xlookup(AO79, 'Week 4'!$A:$A, 'Week 4'!$I:$I), "")</f>
        <v/>
      </c>
      <c r="AX83" s="153" t="str">
        <f t="shared" si="142"/>
        <v/>
      </c>
      <c r="AY83" s="151" t="s">
        <v>17</v>
      </c>
      <c r="AZ83" s="2" t="str">
        <f t="shared" si="143"/>
        <v>Yes</v>
      </c>
      <c r="BA83" s="152" t="str">
        <f t="array" ref="BA83">ifna(xlookup(AY79, 'Week 4'!$A:$A, 'Week 4'!$B:$B), "")</f>
        <v>Loss</v>
      </c>
      <c r="BB83" s="152">
        <f t="array" ref="BB83">ifna(xlookup(AY79, 'Week 4'!$A:$A, 'Week 4'!$D:$D), "")</f>
        <v>18</v>
      </c>
      <c r="BC83" s="152">
        <f t="array" ref="BC83">ifna(xlookup(AY79, 'Week 4'!$A:$A, 'Week 4'!$G:$G), "")</f>
        <v>16</v>
      </c>
      <c r="BD83" s="152">
        <f t="array" ref="BD83">ifna(xlookup(AY79, 'Week 4'!$A:$A, 'Week 4'!$H:$H), "")</f>
        <v>0</v>
      </c>
      <c r="BE83" s="152">
        <f t="array" ref="BE83">ifna(xlookup(AY79, 'Week 4'!$A:$A, 'Week 4'!$E:$E), "")</f>
        <v>1</v>
      </c>
      <c r="BF83" s="152">
        <f t="array" ref="BF83">ifna(xlookup(AY79, 'Week 4'!$A:$A, 'Week 4'!$F:$F), "")</f>
        <v>1</v>
      </c>
      <c r="BG83" s="152">
        <f t="array" ref="BG83">ifna(xlookup(AY79, 'Week 4'!$A:$A, 'Week 4'!$I:$I), "")</f>
        <v>26</v>
      </c>
      <c r="BH83" s="153">
        <f t="shared" si="144"/>
        <v>0.4090909091</v>
      </c>
      <c r="BI83" s="8"/>
      <c r="BJ83" s="8"/>
      <c r="BK83" s="8"/>
      <c r="BL83" s="8"/>
    </row>
    <row r="84">
      <c r="A84" s="151" t="s">
        <v>20</v>
      </c>
      <c r="B84" s="2" t="str">
        <f t="shared" si="133"/>
        <v/>
      </c>
      <c r="C84" s="152" t="str">
        <f t="array" ref="C84">ifna(xlookup(A79, 'Week 5'!$A:$A, 'Week 5'!$B:$B), "")</f>
        <v/>
      </c>
      <c r="D84" s="152" t="str">
        <f t="array" ref="D84">ifna(xlookup(A79, 'Week 5'!$A:$A, 'Week 5'!$D:$D), "")</f>
        <v/>
      </c>
      <c r="E84" s="152" t="str">
        <f t="array" ref="E84">ifna(xlookup(A79, 'Week 5'!$A:$A, 'Week 5'!$G:$G), "")</f>
        <v/>
      </c>
      <c r="F84" s="152" t="str">
        <f t="array" ref="F84">ifna(xlookup(A79, 'Week 5'!$A:$A, 'Week 5'!$H:$H), "")</f>
        <v/>
      </c>
      <c r="G84" s="152" t="str">
        <f t="array" ref="G84">ifna(xlookup(A79, 'Week 5'!$A:$A, 'Week 5'!$E:$E), "")</f>
        <v/>
      </c>
      <c r="H84" s="152" t="str">
        <f t="array" ref="H84">ifna(xlookup(A79, 'Week 5'!$A:$A, 'Week 5'!$F:$F), "")</f>
        <v/>
      </c>
      <c r="I84" s="152" t="str">
        <f t="array" ref="I84">ifna(xlookup(A79, 'Week 5'!$A:$A, 'Week 5'!$I:$I), "")</f>
        <v/>
      </c>
      <c r="J84" s="153" t="str">
        <f t="shared" si="134"/>
        <v/>
      </c>
      <c r="K84" s="151" t="s">
        <v>20</v>
      </c>
      <c r="L84" s="2" t="str">
        <f t="shared" si="135"/>
        <v/>
      </c>
      <c r="M84" s="152" t="str">
        <f t="array" ref="M84">ifna(xlookup(K79, 'Week 5'!$A:$A, 'Week 5'!$B:$B), "")</f>
        <v/>
      </c>
      <c r="N84" s="152" t="str">
        <f t="array" ref="N84">ifna(xlookup(K79, 'Week 5'!$A:$A, 'Week 5'!$D:$D), "")</f>
        <v/>
      </c>
      <c r="O84" s="152" t="str">
        <f t="array" ref="O84">ifna(xlookup(K79, 'Week 5'!$A:$A, 'Week 5'!$G:$G), "")</f>
        <v/>
      </c>
      <c r="P84" s="152" t="str">
        <f t="array" ref="P84">ifna(xlookup(K79, 'Week 5'!$A:$A, 'Week 5'!$H:$H), "")</f>
        <v/>
      </c>
      <c r="Q84" s="152" t="str">
        <f t="array" ref="Q84">ifna(xlookup(K79, 'Week 5'!$A:$A, 'Week 5'!$E:$E), "")</f>
        <v/>
      </c>
      <c r="R84" s="152" t="str">
        <f t="array" ref="R84">ifna(xlookup(K79, 'Week 5'!$A:$A, 'Week 5'!$F:$F), "")</f>
        <v/>
      </c>
      <c r="S84" s="152" t="str">
        <f t="array" ref="S84">ifna(xlookup(K79, 'Week 5'!$A:$A, 'Week 5'!$I:$I), "")</f>
        <v/>
      </c>
      <c r="T84" s="153" t="str">
        <f t="shared" si="136"/>
        <v/>
      </c>
      <c r="U84" s="151" t="s">
        <v>20</v>
      </c>
      <c r="V84" s="2" t="str">
        <f t="shared" si="137"/>
        <v>Yes</v>
      </c>
      <c r="W84" s="152" t="str">
        <f t="array" ref="W84">ifna(xlookup(U79, 'Week 5'!$A:$A, 'Week 5'!$B:$B), "")</f>
        <v>Loss</v>
      </c>
      <c r="X84" s="152">
        <f t="array" ref="X84">ifna(xlookup(U79, 'Week 5'!$A:$A, 'Week 5'!$D:$D), "")</f>
        <v>18</v>
      </c>
      <c r="Y84" s="152">
        <f t="array" ref="Y84">ifna(xlookup(U79, 'Week 5'!$A:$A, 'Week 5'!$G:$G), "")</f>
        <v>16</v>
      </c>
      <c r="Z84" s="152">
        <f t="array" ref="Z84">ifna(xlookup(U79, 'Week 5'!$A:$A, 'Week 5'!$H:$H), "")</f>
        <v>0</v>
      </c>
      <c r="AA84" s="152">
        <f t="array" ref="AA84">ifna(xlookup(U79, 'Week 5'!$A:$A, 'Week 5'!$E:$E), "")</f>
        <v>2</v>
      </c>
      <c r="AB84" s="152">
        <f t="array" ref="AB84">ifna(xlookup(U79, 'Week 5'!$A:$A, 'Week 5'!$F:$F), "")</f>
        <v>0</v>
      </c>
      <c r="AC84" s="152">
        <f t="array" ref="AC84">ifna(xlookup(U79, 'Week 5'!$A:$A, 'Week 5'!$I:$I), "")</f>
        <v>26</v>
      </c>
      <c r="AD84" s="153">
        <f t="shared" si="138"/>
        <v>0.4090909091</v>
      </c>
      <c r="AE84" s="151" t="s">
        <v>20</v>
      </c>
      <c r="AF84" s="2" t="str">
        <f t="shared" si="139"/>
        <v/>
      </c>
      <c r="AG84" s="152" t="str">
        <f t="array" ref="AG84">ifna(xlookup(AE79, 'Week 5'!$A:$A, 'Week 5'!$B:$B), "")</f>
        <v>Win</v>
      </c>
      <c r="AH84" s="152" t="str">
        <f t="array" ref="AH84">ifna(xlookup(AE79, 'Week 5'!$A:$A, 'Week 5'!$D:$D), "")</f>
        <v/>
      </c>
      <c r="AI84" s="152" t="str">
        <f t="array" ref="AI84">ifna(xlookup(AE79, 'Week 5'!$A:$A, 'Week 5'!$G:$G), "")</f>
        <v/>
      </c>
      <c r="AJ84" s="152" t="str">
        <f t="array" ref="AJ84">ifna(xlookup(AE79, 'Week 5'!$A:$A, 'Week 5'!$H:$H), "")</f>
        <v/>
      </c>
      <c r="AK84" s="152" t="str">
        <f t="array" ref="AK84">ifna(xlookup(AE79, 'Week 5'!$A:$A, 'Week 5'!$E:$E), "")</f>
        <v/>
      </c>
      <c r="AL84" s="152" t="str">
        <f t="array" ref="AL84">ifna(xlookup(AE79, 'Week 5'!$A:$A, 'Week 5'!$F:$F), "")</f>
        <v/>
      </c>
      <c r="AM84" s="152" t="str">
        <f t="array" ref="AM84">ifna(xlookup(AE79, 'Week 5'!$A:$A, 'Week 5'!$I:$I), "")</f>
        <v/>
      </c>
      <c r="AN84" s="153" t="str">
        <f t="shared" si="140"/>
        <v/>
      </c>
      <c r="AO84" s="151" t="s">
        <v>20</v>
      </c>
      <c r="AP84" s="2" t="str">
        <f t="shared" si="141"/>
        <v/>
      </c>
      <c r="AQ84" s="152" t="str">
        <f t="array" ref="AQ84">ifna(xlookup(AO79, 'Week 5'!$A:$A, 'Week 5'!$B:$B), "")</f>
        <v>Win</v>
      </c>
      <c r="AR84" s="152" t="str">
        <f t="array" ref="AR84">ifna(xlookup(AO79, 'Week 5'!$A:$A, 'Week 5'!$D:$D), "")</f>
        <v/>
      </c>
      <c r="AS84" s="152" t="str">
        <f t="array" ref="AS84">ifna(xlookup(AO79, 'Week 5'!$A:$A, 'Week 5'!$G:$G), "")</f>
        <v/>
      </c>
      <c r="AT84" s="152" t="str">
        <f t="array" ref="AT84">ifna(xlookup(AO79, 'Week 5'!$A:$A, 'Week 5'!$H:$H), "")</f>
        <v/>
      </c>
      <c r="AU84" s="152" t="str">
        <f t="array" ref="AU84">ifna(xlookup(AO79, 'Week 5'!$A:$A, 'Week 5'!$E:$E), "")</f>
        <v/>
      </c>
      <c r="AV84" s="152" t="str">
        <f t="array" ref="AV84">ifna(xlookup(AO79, 'Week 5'!$A:$A, 'Week 5'!$F:$F), "")</f>
        <v/>
      </c>
      <c r="AW84" s="152" t="str">
        <f t="array" ref="AW84">ifna(xlookup(AO79, 'Week 5'!$A:$A, 'Week 5'!$I:$I), "")</f>
        <v/>
      </c>
      <c r="AX84" s="153" t="str">
        <f t="shared" si="142"/>
        <v/>
      </c>
      <c r="AY84" s="151" t="s">
        <v>20</v>
      </c>
      <c r="AZ84" s="2" t="str">
        <f t="shared" si="143"/>
        <v/>
      </c>
      <c r="BA84" s="152" t="str">
        <f t="array" ref="BA84">ifna(xlookup(AY79, 'Week 5'!$A:$A, 'Week 5'!$B:$B), "")</f>
        <v>Loss</v>
      </c>
      <c r="BB84" s="152" t="str">
        <f t="array" ref="BB84">ifna(xlookup(AY79, 'Week 5'!$A:$A, 'Week 5'!$D:$D), "")</f>
        <v/>
      </c>
      <c r="BC84" s="152" t="str">
        <f t="array" ref="BC84">ifna(xlookup(AY79, 'Week 5'!$A:$A, 'Week 5'!$G:$G), "")</f>
        <v/>
      </c>
      <c r="BD84" s="152" t="str">
        <f t="array" ref="BD84">ifna(xlookup(AY79, 'Week 5'!$A:$A, 'Week 5'!$H:$H), "")</f>
        <v/>
      </c>
      <c r="BE84" s="152" t="str">
        <f t="array" ref="BE84">ifna(xlookup(AY79, 'Week 5'!$A:$A, 'Week 5'!$E:$E), "")</f>
        <v/>
      </c>
      <c r="BF84" s="152" t="str">
        <f t="array" ref="BF84">ifna(xlookup(AY79, 'Week 5'!$A:$A, 'Week 5'!$F:$F), "")</f>
        <v/>
      </c>
      <c r="BG84" s="152" t="str">
        <f t="array" ref="BG84">ifna(xlookup(AY79, 'Week 5'!$A:$A, 'Week 5'!$I:$I), "")</f>
        <v/>
      </c>
      <c r="BH84" s="153" t="str">
        <f t="shared" si="144"/>
        <v/>
      </c>
      <c r="BI84" s="8"/>
      <c r="BJ84" s="8"/>
      <c r="BK84" s="8"/>
      <c r="BL84" s="8"/>
    </row>
    <row r="85">
      <c r="A85" s="151" t="s">
        <v>23</v>
      </c>
      <c r="B85" s="2" t="str">
        <f t="shared" si="133"/>
        <v/>
      </c>
      <c r="C85" s="152" t="str">
        <f t="array" ref="C85">ifna(xlookup(A79, 'Week 6'!$A:$A, 'Week 6'!$B:$B), "")</f>
        <v/>
      </c>
      <c r="D85" s="152" t="str">
        <f t="array" ref="D85">ifna(xlookup(A79, 'Week 6'!$A:$A, 'Week 6'!$D:$D), "")</f>
        <v/>
      </c>
      <c r="E85" s="152" t="str">
        <f t="array" ref="E85">ifna(xlookup(A79, 'Week 6'!$A:$A, 'Week 6'!$G:$G), "")</f>
        <v/>
      </c>
      <c r="F85" s="152" t="str">
        <f t="array" ref="F85">ifna(xlookup(A79, 'Week 6'!$A:$A, 'Week 6'!$H:$H), "")</f>
        <v/>
      </c>
      <c r="G85" s="152" t="str">
        <f t="array" ref="G85">ifna(xlookup(A79, 'Week 6'!$A:$A, 'Week 6'!$E:$E), "")</f>
        <v/>
      </c>
      <c r="H85" s="152" t="str">
        <f t="array" ref="H85">ifna(xlookup(A79, 'Week 6'!$A:$A, 'Week 6'!$F:$F), "")</f>
        <v/>
      </c>
      <c r="I85" s="152" t="str">
        <f t="array" ref="I85">ifna(xlookup(A79, 'Week 6'!$A:$A, 'Week 6'!$I:$I), "")</f>
        <v/>
      </c>
      <c r="J85" s="153" t="str">
        <f t="shared" si="134"/>
        <v/>
      </c>
      <c r="K85" s="151" t="s">
        <v>23</v>
      </c>
      <c r="L85" s="2" t="str">
        <f t="shared" si="135"/>
        <v/>
      </c>
      <c r="M85" s="152" t="str">
        <f t="array" ref="M85">ifna(xlookup(K79, 'Week 6'!$A:$A, 'Week 6'!$B:$B), "")</f>
        <v/>
      </c>
      <c r="N85" s="152" t="str">
        <f t="array" ref="N85">ifna(xlookup(K79, 'Week 6'!$A:$A, 'Week 6'!$D:$D), "")</f>
        <v/>
      </c>
      <c r="O85" s="152" t="str">
        <f t="array" ref="O85">ifna(xlookup(K79, 'Week 6'!$A:$A, 'Week 6'!$G:$G), "")</f>
        <v/>
      </c>
      <c r="P85" s="152" t="str">
        <f t="array" ref="P85">ifna(xlookup(K79, 'Week 6'!$A:$A, 'Week 6'!$H:$H), "")</f>
        <v/>
      </c>
      <c r="Q85" s="152" t="str">
        <f t="array" ref="Q85">ifna(xlookup(K79, 'Week 6'!$A:$A, 'Week 6'!$E:$E), "")</f>
        <v/>
      </c>
      <c r="R85" s="152" t="str">
        <f t="array" ref="R85">ifna(xlookup(K79, 'Week 6'!$A:$A, 'Week 6'!$F:$F), "")</f>
        <v/>
      </c>
      <c r="S85" s="152" t="str">
        <f t="array" ref="S85">ifna(xlookup(K79, 'Week 6'!$A:$A, 'Week 6'!$I:$I), "")</f>
        <v/>
      </c>
      <c r="T85" s="153" t="str">
        <f t="shared" si="136"/>
        <v/>
      </c>
      <c r="U85" s="151" t="s">
        <v>23</v>
      </c>
      <c r="V85" s="2" t="str">
        <f t="shared" si="137"/>
        <v>Yes</v>
      </c>
      <c r="W85" s="152" t="str">
        <f t="array" ref="W85">ifna(xlookup(U79, 'Week 6'!$A:$A, 'Week 6'!$B:$B), "")</f>
        <v>Loss</v>
      </c>
      <c r="X85" s="152">
        <f t="array" ref="X85">ifna(xlookup(U79, 'Week 6'!$A:$A, 'Week 6'!$D:$D), "")</f>
        <v>11</v>
      </c>
      <c r="Y85" s="152">
        <f t="array" ref="Y85">ifna(xlookup(U79, 'Week 6'!$A:$A, 'Week 6'!$G:$G), "")</f>
        <v>8</v>
      </c>
      <c r="Z85" s="152">
        <f t="array" ref="Z85">ifna(xlookup(U79, 'Week 6'!$A:$A, 'Week 6'!$H:$H), "")</f>
        <v>1</v>
      </c>
      <c r="AA85" s="152">
        <f t="array" ref="AA85">ifna(xlookup(U79, 'Week 6'!$A:$A, 'Week 6'!$E:$E), "")</f>
        <v>2</v>
      </c>
      <c r="AB85" s="152">
        <f t="array" ref="AB85">ifna(xlookup(U79, 'Week 6'!$A:$A, 'Week 6'!$F:$F), "")</f>
        <v>0</v>
      </c>
      <c r="AC85" s="152">
        <f t="array" ref="AC85">ifna(xlookup(U79, 'Week 6'!$A:$A, 'Week 6'!$I:$I), "")</f>
        <v>23</v>
      </c>
      <c r="AD85" s="153">
        <f t="shared" si="138"/>
        <v>0.3235294118</v>
      </c>
      <c r="AE85" s="151" t="s">
        <v>23</v>
      </c>
      <c r="AF85" s="2" t="str">
        <f t="shared" si="139"/>
        <v>Yes</v>
      </c>
      <c r="AG85" s="152" t="str">
        <f t="array" ref="AG85">ifna(xlookup(AE79, 'Week 6'!$A:$A, 'Week 6'!$B:$B), "")</f>
        <v>Loss</v>
      </c>
      <c r="AH85" s="152">
        <f t="array" ref="AH85">ifna(xlookup(AE79, 'Week 6'!$A:$A, 'Week 6'!$D:$D), "")</f>
        <v>9</v>
      </c>
      <c r="AI85" s="152">
        <f t="array" ref="AI85">ifna(xlookup(AE79, 'Week 6'!$A:$A, 'Week 6'!$G:$G), "")</f>
        <v>5</v>
      </c>
      <c r="AJ85" s="152">
        <f t="array" ref="AJ85">ifna(xlookup(AE79, 'Week 6'!$A:$A, 'Week 6'!$H:$H), "")</f>
        <v>0</v>
      </c>
      <c r="AK85" s="152">
        <f t="array" ref="AK85">ifna(xlookup(AE79, 'Week 6'!$A:$A, 'Week 6'!$E:$E), "")</f>
        <v>4</v>
      </c>
      <c r="AL85" s="152">
        <f t="array" ref="AL85">ifna(xlookup(AE79, 'Week 6'!$A:$A, 'Week 6'!$F:$F), "")</f>
        <v>0</v>
      </c>
      <c r="AM85" s="152">
        <f t="array" ref="AM85">ifna(xlookup(AE79, 'Week 6'!$A:$A, 'Week 6'!$I:$I), "")</f>
        <v>28</v>
      </c>
      <c r="AN85" s="153">
        <f t="shared" si="140"/>
        <v>0.2432432432</v>
      </c>
      <c r="AO85" s="151" t="s">
        <v>23</v>
      </c>
      <c r="AP85" s="2" t="str">
        <f t="shared" si="141"/>
        <v/>
      </c>
      <c r="AQ85" s="152" t="str">
        <f t="array" ref="AQ85">ifna(xlookup(AO79, 'Week 6'!$A:$A, 'Week 6'!$B:$B), "")</f>
        <v>Win</v>
      </c>
      <c r="AR85" s="152" t="str">
        <f t="array" ref="AR85">ifna(xlookup(AO79, 'Week 6'!$A:$A, 'Week 6'!$D:$D), "")</f>
        <v/>
      </c>
      <c r="AS85" s="152" t="str">
        <f t="array" ref="AS85">ifna(xlookup(AO79, 'Week 6'!$A:$A, 'Week 6'!$G:$G), "")</f>
        <v/>
      </c>
      <c r="AT85" s="152" t="str">
        <f t="array" ref="AT85">ifna(xlookup(AO79, 'Week 6'!$A:$A, 'Week 6'!$H:$H), "")</f>
        <v/>
      </c>
      <c r="AU85" s="152" t="str">
        <f t="array" ref="AU85">ifna(xlookup(AO79, 'Week 6'!$A:$A, 'Week 6'!$E:$E), "")</f>
        <v/>
      </c>
      <c r="AV85" s="152" t="str">
        <f t="array" ref="AV85">ifna(xlookup(AO79, 'Week 6'!$A:$A, 'Week 6'!$F:$F), "")</f>
        <v/>
      </c>
      <c r="AW85" s="152" t="str">
        <f t="array" ref="AW85">ifna(xlookup(AO79, 'Week 6'!$A:$A, 'Week 6'!$I:$I), "")</f>
        <v/>
      </c>
      <c r="AX85" s="153" t="str">
        <f t="shared" si="142"/>
        <v/>
      </c>
      <c r="AY85" s="151" t="s">
        <v>23</v>
      </c>
      <c r="AZ85" s="2" t="str">
        <f t="shared" si="143"/>
        <v/>
      </c>
      <c r="BA85" s="152" t="str">
        <f t="array" ref="BA85">ifna(xlookup(AY79, 'Week 6'!$A:$A, 'Week 6'!$B:$B), "")</f>
        <v>Win</v>
      </c>
      <c r="BB85" s="152" t="str">
        <f t="array" ref="BB85">ifna(xlookup(AY79, 'Week 6'!$A:$A, 'Week 6'!$D:$D), "")</f>
        <v/>
      </c>
      <c r="BC85" s="152" t="str">
        <f t="array" ref="BC85">ifna(xlookup(AY79, 'Week 6'!$A:$A, 'Week 6'!$G:$G), "")</f>
        <v/>
      </c>
      <c r="BD85" s="152" t="str">
        <f t="array" ref="BD85">ifna(xlookup(AY79, 'Week 6'!$A:$A, 'Week 6'!$H:$H), "")</f>
        <v/>
      </c>
      <c r="BE85" s="152" t="str">
        <f t="array" ref="BE85">ifna(xlookup(AY79, 'Week 6'!$A:$A, 'Week 6'!$E:$E), "")</f>
        <v/>
      </c>
      <c r="BF85" s="152" t="str">
        <f t="array" ref="BF85">ifna(xlookup(AY79, 'Week 6'!$A:$A, 'Week 6'!$F:$F), "")</f>
        <v/>
      </c>
      <c r="BG85" s="152" t="str">
        <f t="array" ref="BG85">ifna(xlookup(AY79, 'Week 6'!$A:$A, 'Week 6'!$I:$I), "")</f>
        <v/>
      </c>
      <c r="BH85" s="153" t="str">
        <f t="shared" si="144"/>
        <v/>
      </c>
      <c r="BI85" s="8"/>
      <c r="BJ85" s="8"/>
      <c r="BK85" s="8"/>
      <c r="BL85" s="8"/>
    </row>
    <row r="86">
      <c r="A86" s="151" t="s">
        <v>41</v>
      </c>
      <c r="B86" s="2" t="str">
        <f t="shared" si="133"/>
        <v/>
      </c>
      <c r="C86" s="152" t="str">
        <f t="array" ref="C86">ifna(xlookup(A79, 'Week 7'!$A:$A, 'Week 7'!$B:$B), "")</f>
        <v/>
      </c>
      <c r="D86" s="152" t="str">
        <f t="array" ref="D86">ifna(xlookup(A79, 'Week 7'!$A:$A, 'Week 7'!$D:$D), "")</f>
        <v/>
      </c>
      <c r="E86" s="152" t="str">
        <f t="array" ref="E86">ifna(xlookup(A79, 'Week 7'!$A:$A, 'Week 7'!$G:$G), "")</f>
        <v/>
      </c>
      <c r="F86" s="152" t="str">
        <f t="array" ref="F86">ifna(xlookup(A79, 'Week 7'!$A:$A, 'Week 7'!$H:$H), "")</f>
        <v/>
      </c>
      <c r="G86" s="152" t="str">
        <f t="array" ref="G86">ifna(xlookup(A79, 'Week 7'!$A:$A, 'Week 7'!$E:$E), "")</f>
        <v/>
      </c>
      <c r="H86" s="152" t="str">
        <f t="array" ref="H86">ifna(xlookup(A79, 'Week 7'!$A:$A, 'Week 7'!$F:$F), "")</f>
        <v/>
      </c>
      <c r="I86" s="152" t="str">
        <f t="array" ref="I86">ifna(xlookup(A79, 'Week 7'!$A:$A, 'Week 7'!$I:$I), "")</f>
        <v/>
      </c>
      <c r="J86" s="153" t="str">
        <f t="shared" si="134"/>
        <v/>
      </c>
      <c r="K86" s="151" t="s">
        <v>41</v>
      </c>
      <c r="L86" s="2" t="str">
        <f t="shared" si="135"/>
        <v/>
      </c>
      <c r="M86" s="152" t="str">
        <f t="array" ref="M86">ifna(xlookup(K79, 'Week 7'!$A:$A, 'Week 7'!$B:$B), "")</f>
        <v/>
      </c>
      <c r="N86" s="152" t="str">
        <f t="array" ref="N86">ifna(xlookup(K79, 'Week 7'!$A:$A, 'Week 7'!$D:$D), "")</f>
        <v/>
      </c>
      <c r="O86" s="152" t="str">
        <f t="array" ref="O86">ifna(xlookup(K79, 'Week 7'!$A:$A, 'Week 7'!$G:$G), "")</f>
        <v/>
      </c>
      <c r="P86" s="152" t="str">
        <f t="array" ref="P86">ifna(xlookup(K79, 'Week 7'!$A:$A, 'Week 7'!$H:$H), "")</f>
        <v/>
      </c>
      <c r="Q86" s="152" t="str">
        <f t="array" ref="Q86">ifna(xlookup(K79, 'Week 7'!$A:$A, 'Week 7'!$E:$E), "")</f>
        <v/>
      </c>
      <c r="R86" s="152" t="str">
        <f t="array" ref="R86">ifna(xlookup(K79, 'Week 7'!$A:$A, 'Week 7'!$F:$F), "")</f>
        <v/>
      </c>
      <c r="S86" s="152" t="str">
        <f t="array" ref="S86">ifna(xlookup(K79, 'Week 7'!$A:$A, 'Week 7'!$I:$I), "")</f>
        <v/>
      </c>
      <c r="T86" s="153" t="str">
        <f t="shared" si="136"/>
        <v/>
      </c>
      <c r="U86" s="151" t="s">
        <v>41</v>
      </c>
      <c r="V86" s="2" t="str">
        <f t="shared" si="137"/>
        <v>Yes</v>
      </c>
      <c r="W86" s="152" t="str">
        <f t="array" ref="W86">ifna(xlookup(U79, 'Week 7'!$A:$A, 'Week 7'!$B:$B), "")</f>
        <v>Loss</v>
      </c>
      <c r="X86" s="152">
        <f t="array" ref="X86">ifna(xlookup(U79, 'Week 7'!$A:$A, 'Week 7'!$D:$D), "")</f>
        <v>15</v>
      </c>
      <c r="Y86" s="152">
        <f t="array" ref="Y86">ifna(xlookup(U79, 'Week 7'!$A:$A, 'Week 7'!$G:$G), "")</f>
        <v>12</v>
      </c>
      <c r="Z86" s="152">
        <f t="array" ref="Z86">ifna(xlookup(U79, 'Week 7'!$A:$A, 'Week 7'!$H:$H), "")</f>
        <v>0</v>
      </c>
      <c r="AA86" s="152">
        <f t="array" ref="AA86">ifna(xlookup(U79, 'Week 7'!$A:$A, 'Week 7'!$E:$E), "")</f>
        <v>3</v>
      </c>
      <c r="AB86" s="152">
        <f t="array" ref="AB86">ifna(xlookup(U79, 'Week 7'!$A:$A, 'Week 7'!$F:$F), "")</f>
        <v>0</v>
      </c>
      <c r="AC86" s="152">
        <f t="array" ref="AC86">ifna(xlookup(U79, 'Week 7'!$A:$A, 'Week 7'!$I:$I), "")</f>
        <v>20</v>
      </c>
      <c r="AD86" s="153">
        <f t="shared" si="138"/>
        <v>0.4285714286</v>
      </c>
      <c r="AE86" s="151" t="s">
        <v>41</v>
      </c>
      <c r="AF86" s="2" t="str">
        <f t="shared" si="139"/>
        <v>Yes</v>
      </c>
      <c r="AG86" s="152" t="str">
        <f t="array" ref="AG86">ifna(xlookup(AE79, 'Week 7'!$A:$A, 'Week 7'!$B:$B), "")</f>
        <v>Loss</v>
      </c>
      <c r="AH86" s="152">
        <f t="array" ref="AH86">ifna(xlookup(AE79, 'Week 7'!$A:$A, 'Week 7'!$D:$D), "")</f>
        <v>13</v>
      </c>
      <c r="AI86" s="152">
        <f t="array" ref="AI86">ifna(xlookup(AE79, 'Week 7'!$A:$A, 'Week 7'!$G:$G), "")</f>
        <v>8</v>
      </c>
      <c r="AJ86" s="152">
        <f t="array" ref="AJ86">ifna(xlookup(AE79, 'Week 7'!$A:$A, 'Week 7'!$H:$H), "")</f>
        <v>0</v>
      </c>
      <c r="AK86" s="152">
        <f t="array" ref="AK86">ifna(xlookup(AE79, 'Week 7'!$A:$A, 'Week 7'!$E:$E), "")</f>
        <v>5</v>
      </c>
      <c r="AL86" s="152">
        <f t="array" ref="AL86">ifna(xlookup(AE79, 'Week 7'!$A:$A, 'Week 7'!$F:$F), "")</f>
        <v>0</v>
      </c>
      <c r="AM86" s="152">
        <f t="array" ref="AM86">ifna(xlookup(AE79, 'Week 7'!$A:$A, 'Week 7'!$I:$I), "")</f>
        <v>30</v>
      </c>
      <c r="AN86" s="153">
        <f t="shared" si="140"/>
        <v>0.3023255814</v>
      </c>
      <c r="AO86" s="151" t="s">
        <v>41</v>
      </c>
      <c r="AP86" s="2" t="str">
        <f t="shared" si="141"/>
        <v/>
      </c>
      <c r="AQ86" s="152" t="str">
        <f t="array" ref="AQ86">ifna(xlookup(AO79, 'Week 7'!$A:$A, 'Week 7'!$B:$B), "")</f>
        <v>Win</v>
      </c>
      <c r="AR86" s="152" t="str">
        <f t="array" ref="AR86">ifna(xlookup(AO79, 'Week 7'!$A:$A, 'Week 7'!$D:$D), "")</f>
        <v/>
      </c>
      <c r="AS86" s="152" t="str">
        <f t="array" ref="AS86">ifna(xlookup(AO79, 'Week 7'!$A:$A, 'Week 7'!$G:$G), "")</f>
        <v/>
      </c>
      <c r="AT86" s="152" t="str">
        <f t="array" ref="AT86">ifna(xlookup(AO79, 'Week 7'!$A:$A, 'Week 7'!$H:$H), "")</f>
        <v/>
      </c>
      <c r="AU86" s="152" t="str">
        <f t="array" ref="AU86">ifna(xlookup(AO79, 'Week 7'!$A:$A, 'Week 7'!$E:$E), "")</f>
        <v/>
      </c>
      <c r="AV86" s="152" t="str">
        <f t="array" ref="AV86">ifna(xlookup(AO79, 'Week 7'!$A:$A, 'Week 7'!$F:$F), "")</f>
        <v/>
      </c>
      <c r="AW86" s="152" t="str">
        <f t="array" ref="AW86">ifna(xlookup(AO79, 'Week 7'!$A:$A, 'Week 7'!$I:$I), "")</f>
        <v/>
      </c>
      <c r="AX86" s="153" t="str">
        <f t="shared" si="142"/>
        <v/>
      </c>
      <c r="AY86" s="151" t="s">
        <v>41</v>
      </c>
      <c r="AZ86" s="2" t="str">
        <f t="shared" si="143"/>
        <v>Yes</v>
      </c>
      <c r="BA86" s="152" t="str">
        <f t="array" ref="BA86">ifna(xlookup(AY79, 'Week 7'!$A:$A, 'Week 7'!$B:$B), "")</f>
        <v>Loss</v>
      </c>
      <c r="BB86" s="152">
        <f t="array" ref="BB86">ifna(xlookup(AY79, 'Week 7'!$A:$A, 'Week 7'!$D:$D), "")</f>
        <v>20</v>
      </c>
      <c r="BC86" s="152">
        <f t="array" ref="BC86">ifna(xlookup(AY79, 'Week 7'!$A:$A, 'Week 7'!$G:$G), "")</f>
        <v>15</v>
      </c>
      <c r="BD86" s="152">
        <f t="array" ref="BD86">ifna(xlookup(AY79, 'Week 7'!$A:$A, 'Week 7'!$H:$H), "")</f>
        <v>0</v>
      </c>
      <c r="BE86" s="152">
        <f t="array" ref="BE86">ifna(xlookup(AY79, 'Week 7'!$A:$A, 'Week 7'!$E:$E), "")</f>
        <v>5</v>
      </c>
      <c r="BF86" s="152">
        <f t="array" ref="BF86">ifna(xlookup(AY79, 'Week 7'!$A:$A, 'Week 7'!$F:$F), "")</f>
        <v>0</v>
      </c>
      <c r="BG86" s="152">
        <f t="array" ref="BG86">ifna(xlookup(AY79, 'Week 7'!$A:$A, 'Week 7'!$I:$I), "")</f>
        <v>26</v>
      </c>
      <c r="BH86" s="153">
        <f t="shared" si="144"/>
        <v>0.4347826087</v>
      </c>
      <c r="BI86" s="8"/>
      <c r="BJ86" s="8"/>
      <c r="BK86" s="8"/>
      <c r="BL86" s="8"/>
    </row>
    <row r="87">
      <c r="A87" s="151" t="s">
        <v>181</v>
      </c>
      <c r="B87" s="2"/>
      <c r="C87" s="2"/>
      <c r="D87" s="2"/>
      <c r="E87" s="2"/>
      <c r="F87" s="2"/>
      <c r="G87" s="2"/>
      <c r="H87" s="2"/>
      <c r="I87" s="2"/>
      <c r="J87" s="153"/>
      <c r="K87" s="151" t="s">
        <v>181</v>
      </c>
      <c r="L87" s="2"/>
      <c r="M87" s="2"/>
      <c r="N87" s="2"/>
      <c r="O87" s="2"/>
      <c r="P87" s="2"/>
      <c r="Q87" s="2"/>
      <c r="R87" s="2"/>
      <c r="S87" s="2"/>
      <c r="T87" s="153"/>
      <c r="U87" s="151" t="s">
        <v>181</v>
      </c>
      <c r="V87" s="2"/>
      <c r="W87" s="2"/>
      <c r="X87" s="2"/>
      <c r="Y87" s="2"/>
      <c r="Z87" s="2"/>
      <c r="AA87" s="2"/>
      <c r="AB87" s="2"/>
      <c r="AC87" s="2"/>
      <c r="AD87" s="153"/>
      <c r="AE87" s="151" t="s">
        <v>181</v>
      </c>
      <c r="AF87" s="2"/>
      <c r="AG87" s="2"/>
      <c r="AH87" s="2"/>
      <c r="AI87" s="2"/>
      <c r="AJ87" s="2"/>
      <c r="AK87" s="2"/>
      <c r="AL87" s="2"/>
      <c r="AM87" s="2"/>
      <c r="AN87" s="153"/>
      <c r="AO87" s="151" t="s">
        <v>181</v>
      </c>
      <c r="AP87" s="2"/>
      <c r="AQ87" s="2"/>
      <c r="AR87" s="2"/>
      <c r="AS87" s="2"/>
      <c r="AT87" s="2"/>
      <c r="AU87" s="2"/>
      <c r="AV87" s="2"/>
      <c r="AW87" s="2"/>
      <c r="AX87" s="153"/>
      <c r="AY87" s="151" t="s">
        <v>181</v>
      </c>
      <c r="AZ87" s="2"/>
      <c r="BA87" s="2"/>
      <c r="BB87" s="2"/>
      <c r="BC87" s="2"/>
      <c r="BD87" s="2"/>
      <c r="BE87" s="2"/>
      <c r="BF87" s="2"/>
      <c r="BG87" s="2"/>
      <c r="BH87" s="153"/>
      <c r="BI87" s="8"/>
      <c r="BJ87" s="8"/>
      <c r="BK87" s="8"/>
      <c r="BL87" s="8"/>
    </row>
    <row r="88">
      <c r="A88" s="151" t="s">
        <v>182</v>
      </c>
      <c r="B88" s="2"/>
      <c r="C88" s="2"/>
      <c r="D88" s="2"/>
      <c r="E88" s="2"/>
      <c r="F88" s="2"/>
      <c r="G88" s="2"/>
      <c r="H88" s="2"/>
      <c r="I88" s="2"/>
      <c r="J88" s="153"/>
      <c r="K88" s="151" t="s">
        <v>182</v>
      </c>
      <c r="L88" s="2"/>
      <c r="M88" s="2"/>
      <c r="N88" s="2"/>
      <c r="O88" s="2"/>
      <c r="P88" s="2"/>
      <c r="Q88" s="2"/>
      <c r="R88" s="2"/>
      <c r="S88" s="2"/>
      <c r="T88" s="153"/>
      <c r="U88" s="151" t="s">
        <v>182</v>
      </c>
      <c r="V88" s="2"/>
      <c r="W88" s="2"/>
      <c r="X88" s="2"/>
      <c r="Y88" s="2"/>
      <c r="Z88" s="2"/>
      <c r="AA88" s="2"/>
      <c r="AB88" s="2"/>
      <c r="AC88" s="2"/>
      <c r="AD88" s="153"/>
      <c r="AE88" s="151" t="s">
        <v>182</v>
      </c>
      <c r="AF88" s="2"/>
      <c r="AG88" s="2"/>
      <c r="AH88" s="2"/>
      <c r="AI88" s="2"/>
      <c r="AJ88" s="2"/>
      <c r="AK88" s="2"/>
      <c r="AL88" s="2"/>
      <c r="AM88" s="2"/>
      <c r="AN88" s="153"/>
      <c r="AO88" s="151" t="s">
        <v>182</v>
      </c>
      <c r="AP88" s="2"/>
      <c r="AQ88" s="2"/>
      <c r="AR88" s="2"/>
      <c r="AS88" s="2"/>
      <c r="AT88" s="2"/>
      <c r="AU88" s="2"/>
      <c r="AV88" s="2"/>
      <c r="AW88" s="2"/>
      <c r="AX88" s="153"/>
      <c r="AY88" s="151" t="s">
        <v>182</v>
      </c>
      <c r="AZ88" s="2"/>
      <c r="BA88" s="2"/>
      <c r="BB88" s="2"/>
      <c r="BC88" s="2"/>
      <c r="BD88" s="2"/>
      <c r="BE88" s="2"/>
      <c r="BF88" s="2"/>
      <c r="BG88" s="2"/>
      <c r="BH88" s="153"/>
      <c r="BI88" s="8"/>
      <c r="BJ88" s="8"/>
      <c r="BK88" s="8"/>
      <c r="BL88" s="8"/>
    </row>
    <row r="89">
      <c r="A89" s="5" t="s">
        <v>183</v>
      </c>
      <c r="B89" s="154">
        <f>countif(B80:B88, "Yes")</f>
        <v>0</v>
      </c>
      <c r="C89" s="155" t="str">
        <f>IFERROR( COUNTIFS(B80:B86,"Yes", C80:C86,"Win") / COUNTIF(B80:B86,"Yes"), "")</f>
        <v/>
      </c>
      <c r="D89" s="156" t="str">
        <f>if(B89&gt;0, average(D80:D88), "")</f>
        <v/>
      </c>
      <c r="E89" s="156" t="str">
        <f>if(B89&gt;0, average(E80:E88), "")</f>
        <v/>
      </c>
      <c r="F89" s="156" t="str">
        <f>if(B89&gt;0, average(F80:F88), "")</f>
        <v/>
      </c>
      <c r="G89" s="156" t="str">
        <f>if(B89&gt;0, average(G80:G88), "")</f>
        <v/>
      </c>
      <c r="H89" s="156" t="str">
        <f>if(B89&gt;0, average(H80:H88), "")</f>
        <v/>
      </c>
      <c r="I89" s="156" t="str">
        <f>if(B89&gt;0, average(I80:I88), "")</f>
        <v/>
      </c>
      <c r="J89" s="157" t="str">
        <f>if(B89&gt;0, D89/(I89+D89), "")</f>
        <v/>
      </c>
      <c r="K89" s="5" t="s">
        <v>183</v>
      </c>
      <c r="L89" s="154">
        <f>countif(L80:L88, "Yes")</f>
        <v>0</v>
      </c>
      <c r="M89" s="155" t="str">
        <f>IFERROR( COUNTIFS(L80:L86,"Yes", M80:M86,"Win") / COUNTIF(L80:L86,"Yes"), "")</f>
        <v/>
      </c>
      <c r="N89" s="156" t="str">
        <f>if(L89&gt;0, average(N80:N88), "")</f>
        <v/>
      </c>
      <c r="O89" s="156" t="str">
        <f>if(L89&gt;0, average(O80:O88), "")</f>
        <v/>
      </c>
      <c r="P89" s="156" t="str">
        <f>if(L89&gt;0, average(P80:P88), "")</f>
        <v/>
      </c>
      <c r="Q89" s="156" t="str">
        <f>if(L89&gt;0, average(Q80:Q88), "")</f>
        <v/>
      </c>
      <c r="R89" s="156" t="str">
        <f>if(L89&gt;0, average(R80:R88), "")</f>
        <v/>
      </c>
      <c r="S89" s="156" t="str">
        <f>if(L89&gt;0, average(S80:S88), "")</f>
        <v/>
      </c>
      <c r="T89" s="157" t="str">
        <f>if(L89&gt;0, N89/(S89+N89), "")</f>
        <v/>
      </c>
      <c r="U89" s="5" t="s">
        <v>183</v>
      </c>
      <c r="V89" s="154">
        <f>countif(V80:V88, "Yes")</f>
        <v>4</v>
      </c>
      <c r="W89" s="155">
        <f>IFERROR( COUNTIFS(V80:V86,"Yes", W80:W86,"Win") / COUNTIF(V80:V86,"Yes"), "")</f>
        <v>0.25</v>
      </c>
      <c r="X89" s="156">
        <f>if(V89&gt;0, average(X80:X88), "")</f>
        <v>14.75</v>
      </c>
      <c r="Y89" s="156">
        <f>if(V89&gt;0, average(Y80:Y88), "")</f>
        <v>11.25</v>
      </c>
      <c r="Z89" s="156">
        <f>if(V89&gt;0, average(Z80:Z88), "")</f>
        <v>0.25</v>
      </c>
      <c r="AA89" s="156">
        <f>if(V89&gt;0, average(AA80:AA88), "")</f>
        <v>3.25</v>
      </c>
      <c r="AB89" s="156">
        <f>if(V89&gt;0, average(AB80:AB88), "")</f>
        <v>0</v>
      </c>
      <c r="AC89" s="156">
        <f>if(V89&gt;0, average(AC80:AC88), "")</f>
        <v>23.75</v>
      </c>
      <c r="AD89" s="157">
        <f>if(V89&gt;0, X89/(AC89+X89), "")</f>
        <v>0.3831168831</v>
      </c>
      <c r="AE89" s="5" t="s">
        <v>183</v>
      </c>
      <c r="AF89" s="154">
        <f>countif(AF80:AF88, "Yes")</f>
        <v>4</v>
      </c>
      <c r="AG89" s="155">
        <f>IFERROR( COUNTIFS(AF80:AF86,"Yes", AG80:AG86,"Win") / COUNTIF(AF80:AF86,"Yes"), "")</f>
        <v>0.25</v>
      </c>
      <c r="AH89" s="156">
        <f>if(AF89&gt;0, average(AH80:AH88), "")</f>
        <v>12.25</v>
      </c>
      <c r="AI89" s="156">
        <f>if(AF89&gt;0, average(AI80:AI88), "")</f>
        <v>8.25</v>
      </c>
      <c r="AJ89" s="156">
        <f>if(AF89&gt;0, average(AJ80:AJ88), "")</f>
        <v>0.5</v>
      </c>
      <c r="AK89" s="156">
        <f>if(AF89&gt;0, average(AK80:AK88), "")</f>
        <v>3.25</v>
      </c>
      <c r="AL89" s="156">
        <f>if(AF89&gt;0, average(AL80:AL88), "")</f>
        <v>0.25</v>
      </c>
      <c r="AM89" s="156">
        <f>if(AF89&gt;0, average(AM80:AM88), "")</f>
        <v>28.5</v>
      </c>
      <c r="AN89" s="157">
        <f>if(AF89&gt;0, AH89/(AM89+AH89), "")</f>
        <v>0.3006134969</v>
      </c>
      <c r="AO89" s="5" t="s">
        <v>183</v>
      </c>
      <c r="AP89" s="154">
        <f>countif(AP80:AP88, "Yes")</f>
        <v>0</v>
      </c>
      <c r="AQ89" s="155" t="str">
        <f>IFERROR( COUNTIFS(AP80:AP86,"Yes", AQ80:AQ86,"Win") / COUNTIF(AP80:AP86,"Yes"), "")</f>
        <v/>
      </c>
      <c r="AR89" s="156" t="str">
        <f>if(AP89&gt;0, average(AR80:AR88), "")</f>
        <v/>
      </c>
      <c r="AS89" s="156" t="str">
        <f>if(AP89&gt;0, average(AS80:AS88), "")</f>
        <v/>
      </c>
      <c r="AT89" s="156" t="str">
        <f>if(AP89&gt;0, average(AT80:AT88), "")</f>
        <v/>
      </c>
      <c r="AU89" s="156" t="str">
        <f>if(AP89&gt;0, average(AU80:AU88), "")</f>
        <v/>
      </c>
      <c r="AV89" s="156" t="str">
        <f>if(AP89&gt;0, average(AV80:AV88), "")</f>
        <v/>
      </c>
      <c r="AW89" s="156" t="str">
        <f>if(AP89&gt;0, average(AW80:AW88), "")</f>
        <v/>
      </c>
      <c r="AX89" s="157" t="str">
        <f>if(AP89&gt;0, AR89/(AW89+AR89), "")</f>
        <v/>
      </c>
      <c r="AY89" s="5" t="s">
        <v>183</v>
      </c>
      <c r="AZ89" s="154">
        <f>countif(AZ80:AZ88, "Yes")</f>
        <v>3</v>
      </c>
      <c r="BA89" s="155">
        <f>IFERROR( COUNTIFS(AZ80:AZ86,"Yes", BA80:BA86,"Win") / COUNTIF(AZ80:AZ86,"Yes"), "")</f>
        <v>0</v>
      </c>
      <c r="BB89" s="156">
        <f>if(AZ89&gt;0, average(BB80:BB88), "")</f>
        <v>20.33333333</v>
      </c>
      <c r="BC89" s="156">
        <f>if(AZ89&gt;0, average(BC80:BC88), "")</f>
        <v>16.33333333</v>
      </c>
      <c r="BD89" s="156">
        <f>if(AZ89&gt;0, average(BD80:BD88), "")</f>
        <v>0.3333333333</v>
      </c>
      <c r="BE89" s="156">
        <f>if(AZ89&gt;0, average(BE80:BE88), "")</f>
        <v>3.333333333</v>
      </c>
      <c r="BF89" s="156">
        <f>if(AZ89&gt;0, average(BF80:BF88), "")</f>
        <v>0.3333333333</v>
      </c>
      <c r="BG89" s="156">
        <f>if(AZ89&gt;0, average(BG80:BG88), "")</f>
        <v>23.66666667</v>
      </c>
      <c r="BH89" s="157">
        <f>if(AZ89&gt;0, BB89/(BG89+BB89), "")</f>
        <v>0.4621212121</v>
      </c>
      <c r="BI89" s="8"/>
      <c r="BJ89" s="8"/>
      <c r="BK89" s="8"/>
      <c r="BL89" s="8"/>
    </row>
    <row r="90">
      <c r="A90" s="158" t="str">
        <f>Draft!B55</f>
        <v>Chubbs</v>
      </c>
      <c r="B90" s="129">
        <f t="shared" ref="B90:J90" si="145">B100</f>
        <v>0</v>
      </c>
      <c r="C90" s="143" t="str">
        <f t="shared" si="145"/>
        <v/>
      </c>
      <c r="D90" s="144" t="str">
        <f t="shared" si="145"/>
        <v/>
      </c>
      <c r="E90" s="144" t="str">
        <f t="shared" si="145"/>
        <v/>
      </c>
      <c r="F90" s="144" t="str">
        <f t="shared" si="145"/>
        <v/>
      </c>
      <c r="G90" s="144" t="str">
        <f t="shared" si="145"/>
        <v/>
      </c>
      <c r="H90" s="144" t="str">
        <f t="shared" si="145"/>
        <v/>
      </c>
      <c r="I90" s="144" t="str">
        <f t="shared" si="145"/>
        <v/>
      </c>
      <c r="J90" s="145" t="str">
        <f t="shared" si="145"/>
        <v/>
      </c>
      <c r="K90" s="159" t="str">
        <f>Draft!C55</f>
        <v>Erik</v>
      </c>
      <c r="L90" s="129">
        <f t="shared" ref="L90:T90" si="146">L100</f>
        <v>0</v>
      </c>
      <c r="M90" s="143" t="str">
        <f t="shared" si="146"/>
        <v/>
      </c>
      <c r="N90" s="144" t="str">
        <f t="shared" si="146"/>
        <v/>
      </c>
      <c r="O90" s="144" t="str">
        <f t="shared" si="146"/>
        <v/>
      </c>
      <c r="P90" s="144" t="str">
        <f t="shared" si="146"/>
        <v/>
      </c>
      <c r="Q90" s="144" t="str">
        <f t="shared" si="146"/>
        <v/>
      </c>
      <c r="R90" s="144" t="str">
        <f t="shared" si="146"/>
        <v/>
      </c>
      <c r="S90" s="144" t="str">
        <f t="shared" si="146"/>
        <v/>
      </c>
      <c r="T90" s="145" t="str">
        <f t="shared" si="146"/>
        <v/>
      </c>
      <c r="U90" s="160" t="str">
        <f>Draft!D55</f>
        <v>Jacob</v>
      </c>
      <c r="V90" s="129">
        <f t="shared" ref="V90:AD90" si="147">V100</f>
        <v>1</v>
      </c>
      <c r="W90" s="143">
        <f t="shared" si="147"/>
        <v>0</v>
      </c>
      <c r="X90" s="144">
        <f t="shared" si="147"/>
        <v>9</v>
      </c>
      <c r="Y90" s="144">
        <f t="shared" si="147"/>
        <v>7</v>
      </c>
      <c r="Z90" s="144">
        <f t="shared" si="147"/>
        <v>0</v>
      </c>
      <c r="AA90" s="144">
        <f t="shared" si="147"/>
        <v>2</v>
      </c>
      <c r="AB90" s="144">
        <f t="shared" si="147"/>
        <v>0</v>
      </c>
      <c r="AC90" s="144">
        <f t="shared" si="147"/>
        <v>22</v>
      </c>
      <c r="AD90" s="145">
        <f t="shared" si="147"/>
        <v>0.2903225806</v>
      </c>
      <c r="AE90" s="161" t="str">
        <f>Draft!E55</f>
        <v>Luebke</v>
      </c>
      <c r="AF90" s="129">
        <f t="shared" ref="AF90:AN90" si="148">AF100</f>
        <v>0</v>
      </c>
      <c r="AG90" s="143" t="str">
        <f t="shared" si="148"/>
        <v/>
      </c>
      <c r="AH90" s="144" t="str">
        <f t="shared" si="148"/>
        <v/>
      </c>
      <c r="AI90" s="144" t="str">
        <f t="shared" si="148"/>
        <v/>
      </c>
      <c r="AJ90" s="144" t="str">
        <f t="shared" si="148"/>
        <v/>
      </c>
      <c r="AK90" s="144" t="str">
        <f t="shared" si="148"/>
        <v/>
      </c>
      <c r="AL90" s="144" t="str">
        <f t="shared" si="148"/>
        <v/>
      </c>
      <c r="AM90" s="144" t="str">
        <f t="shared" si="148"/>
        <v/>
      </c>
      <c r="AN90" s="145" t="str">
        <f t="shared" si="148"/>
        <v/>
      </c>
      <c r="AO90" s="162" t="str">
        <f>Draft!F55</f>
        <v>Parker</v>
      </c>
      <c r="AP90" s="129">
        <f t="shared" ref="AP90:AX90" si="149">AP100</f>
        <v>0</v>
      </c>
      <c r="AQ90" s="143" t="str">
        <f t="shared" si="149"/>
        <v/>
      </c>
      <c r="AR90" s="144" t="str">
        <f t="shared" si="149"/>
        <v/>
      </c>
      <c r="AS90" s="144" t="str">
        <f t="shared" si="149"/>
        <v/>
      </c>
      <c r="AT90" s="144" t="str">
        <f t="shared" si="149"/>
        <v/>
      </c>
      <c r="AU90" s="144" t="str">
        <f t="shared" si="149"/>
        <v/>
      </c>
      <c r="AV90" s="144" t="str">
        <f t="shared" si="149"/>
        <v/>
      </c>
      <c r="AW90" s="144" t="str">
        <f t="shared" si="149"/>
        <v/>
      </c>
      <c r="AX90" s="145" t="str">
        <f t="shared" si="149"/>
        <v/>
      </c>
      <c r="AY90" s="163" t="str">
        <f>Draft!G55</f>
        <v/>
      </c>
      <c r="AZ90" s="129">
        <f t="shared" ref="AZ90:BH90" si="150">AZ100</f>
        <v>0</v>
      </c>
      <c r="BA90" s="143" t="str">
        <f t="shared" si="150"/>
        <v/>
      </c>
      <c r="BB90" s="144" t="str">
        <f t="shared" si="150"/>
        <v/>
      </c>
      <c r="BC90" s="144" t="str">
        <f t="shared" si="150"/>
        <v/>
      </c>
      <c r="BD90" s="144" t="str">
        <f t="shared" si="150"/>
        <v/>
      </c>
      <c r="BE90" s="144" t="str">
        <f t="shared" si="150"/>
        <v/>
      </c>
      <c r="BF90" s="144" t="str">
        <f t="shared" si="150"/>
        <v/>
      </c>
      <c r="BG90" s="144" t="str">
        <f t="shared" si="150"/>
        <v/>
      </c>
      <c r="BH90" s="145" t="str">
        <f t="shared" si="150"/>
        <v/>
      </c>
      <c r="BI90" s="8"/>
      <c r="BJ90" s="8"/>
      <c r="BK90" s="8"/>
      <c r="BL90" s="8"/>
    </row>
    <row r="91">
      <c r="A91" s="151" t="s">
        <v>5</v>
      </c>
      <c r="B91" s="2" t="str">
        <f t="shared" ref="B91:B97" si="151">ifna(if(I91&lt;&gt;"", "Yes", ""), "")</f>
        <v/>
      </c>
      <c r="C91" s="152" t="str">
        <f t="array" ref="C91">ifna(xlookup(A90, 'Week 1'!$A:$A, 'Week 1'!$B:$B), "")</f>
        <v/>
      </c>
      <c r="D91" s="152" t="str">
        <f t="array" ref="D91">ifna(xlookup(A90, 'Week 1'!$A:$A, 'Week 1'!$D:$D), "")</f>
        <v/>
      </c>
      <c r="E91" s="152" t="str">
        <f t="array" ref="E91">ifna(xlookup(A90, 'Week 1'!$A:$A, 'Week 1'!$G:$G), "")</f>
        <v/>
      </c>
      <c r="F91" s="152" t="str">
        <f t="array" ref="F91">ifna(xlookup(A90, 'Week 1'!$A:$A, 'Week 1'!$H:$H), "")</f>
        <v/>
      </c>
      <c r="G91" s="152" t="str">
        <f t="array" ref="G91">ifna(xlookup(A90, 'Week 1'!$A:$A, 'Week 1'!$E:$E), "")</f>
        <v/>
      </c>
      <c r="H91" s="152" t="str">
        <f t="array" ref="H91">ifna(xlookup(A90, 'Week 1'!$A:$A, 'Week 1'!$F:$F), "")</f>
        <v/>
      </c>
      <c r="I91" s="152" t="str">
        <f t="array" ref="I91">ifna(xlookup(A90, 'Week 1'!$A:$A, 'Week 1'!$I:$I), "")</f>
        <v/>
      </c>
      <c r="J91" s="153" t="str">
        <f t="shared" ref="J91:J97" si="152">iferror(IF(D91&gt;0, (D91/(D91+I91)), ""),"")</f>
        <v/>
      </c>
      <c r="K91" s="151" t="s">
        <v>5</v>
      </c>
      <c r="L91" s="2" t="str">
        <f t="shared" ref="L91:L97" si="153">ifna(if(S91&lt;&gt;"", "Yes", ""), "")</f>
        <v/>
      </c>
      <c r="M91" s="152" t="str">
        <f t="array" ref="M91">ifna(xlookup(K90, 'Week 1'!$A:$A, 'Week 1'!$B:$B), "")</f>
        <v>Loss</v>
      </c>
      <c r="N91" s="152" t="str">
        <f t="array" ref="N91">ifna(xlookup(K90, 'Week 1'!$A:$A, 'Week 1'!$D:$D), "")</f>
        <v/>
      </c>
      <c r="O91" s="152" t="str">
        <f t="array" ref="O91">ifna(xlookup(K90, 'Week 1'!$A:$A, 'Week 1'!$G:$G), "")</f>
        <v/>
      </c>
      <c r="P91" s="152" t="str">
        <f t="array" ref="P91">ifna(xlookup(K90, 'Week 1'!$A:$A, 'Week 1'!$H:$H), "")</f>
        <v/>
      </c>
      <c r="Q91" s="152" t="str">
        <f t="array" ref="Q91">ifna(xlookup(K90, 'Week 1'!$A:$A, 'Week 1'!$E:$E), "")</f>
        <v/>
      </c>
      <c r="R91" s="152" t="str">
        <f t="array" ref="R91">ifna(xlookup(K90, 'Week 1'!$A:$A, 'Week 1'!$F:$F), "")</f>
        <v/>
      </c>
      <c r="S91" s="152" t="str">
        <f t="array" ref="S91">ifna(xlookup(K90, 'Week 1'!$A:$A, 'Week 1'!$I:$I), "")</f>
        <v/>
      </c>
      <c r="T91" s="153" t="str">
        <f t="shared" ref="T91:T97" si="154">iferror(IF(N91&gt;0, (N91/(N91+S91)), ""),"")</f>
        <v/>
      </c>
      <c r="U91" s="151" t="s">
        <v>5</v>
      </c>
      <c r="V91" s="2" t="str">
        <f t="shared" ref="V91:V97" si="155">ifna(if(AC91&lt;&gt;"", "Yes", ""), "")</f>
        <v/>
      </c>
      <c r="W91" s="152" t="str">
        <f t="array" ref="W91">ifna(xlookup(U90, 'Week 1'!$A:$A, 'Week 1'!$B:$B), "")</f>
        <v>Win</v>
      </c>
      <c r="X91" s="152" t="str">
        <f t="array" ref="X91">ifna(xlookup(U90, 'Week 1'!$A:$A, 'Week 1'!$D:$D), "")</f>
        <v/>
      </c>
      <c r="Y91" s="152" t="str">
        <f t="array" ref="Y91">ifna(xlookup(U90, 'Week 1'!$A:$A, 'Week 1'!$G:$G), "")</f>
        <v/>
      </c>
      <c r="Z91" s="152" t="str">
        <f t="array" ref="Z91">ifna(xlookup(U90, 'Week 1'!$A:$A, 'Week 1'!$H:$H), "")</f>
        <v/>
      </c>
      <c r="AA91" s="152" t="str">
        <f t="array" ref="AA91">ifna(xlookup(U90, 'Week 1'!$A:$A, 'Week 1'!$E:$E), "")</f>
        <v/>
      </c>
      <c r="AB91" s="152" t="str">
        <f t="array" ref="AB91">ifna(xlookup(U90, 'Week 1'!$A:$A, 'Week 1'!$F:$F), "")</f>
        <v/>
      </c>
      <c r="AC91" s="152" t="str">
        <f t="array" ref="AC91">ifna(xlookup(U90, 'Week 1'!$A:$A, 'Week 1'!$I:$I), "")</f>
        <v/>
      </c>
      <c r="AD91" s="153" t="str">
        <f t="shared" ref="AD91:AD97" si="156">iferror(IF(X91&gt;0, (X91/(X91+AC91)), ""),"")</f>
        <v/>
      </c>
      <c r="AE91" s="151" t="s">
        <v>5</v>
      </c>
      <c r="AF91" s="2" t="str">
        <f t="shared" ref="AF91:AF97" si="157">ifna(if(AM91&lt;&gt;"", "Yes", ""), "")</f>
        <v/>
      </c>
      <c r="AG91" s="152" t="str">
        <f t="array" ref="AG91">ifna(xlookup(AE90, 'Week 1'!$A:$A, 'Week 1'!$B:$B), "")</f>
        <v/>
      </c>
      <c r="AH91" s="152" t="str">
        <f t="array" ref="AH91">ifna(xlookup(AE90, 'Week 1'!$A:$A, 'Week 1'!$D:$D), "")</f>
        <v/>
      </c>
      <c r="AI91" s="152" t="str">
        <f t="array" ref="AI91">ifna(xlookup(AE90, 'Week 1'!$A:$A, 'Week 1'!$G:$G), "")</f>
        <v/>
      </c>
      <c r="AJ91" s="152" t="str">
        <f t="array" ref="AJ91">ifna(xlookup(AE90, 'Week 1'!$A:$A, 'Week 1'!$H:$H), "")</f>
        <v/>
      </c>
      <c r="AK91" s="152" t="str">
        <f t="array" ref="AK91">ifna(xlookup(AE90, 'Week 1'!$A:$A, 'Week 1'!$E:$E), "")</f>
        <v/>
      </c>
      <c r="AL91" s="152" t="str">
        <f t="array" ref="AL91">ifna(xlookup(AE90, 'Week 1'!$A:$A, 'Week 1'!$F:$F), "")</f>
        <v/>
      </c>
      <c r="AM91" s="152" t="str">
        <f t="array" ref="AM91">ifna(xlookup(AE90, 'Week 1'!$A:$A, 'Week 1'!$I:$I), "")</f>
        <v/>
      </c>
      <c r="AN91" s="153" t="str">
        <f t="shared" ref="AN91:AN97" si="158">iferror(IF(AH91&gt;0, (AH91/(AH91+AM91)), ""),"")</f>
        <v/>
      </c>
      <c r="AO91" s="151" t="s">
        <v>5</v>
      </c>
      <c r="AP91" s="2" t="str">
        <f t="shared" ref="AP91:AP97" si="159">ifna(if(AW91&lt;&gt;"", "Yes", ""), "")</f>
        <v/>
      </c>
      <c r="AQ91" s="152" t="str">
        <f t="array" ref="AQ91">ifna(xlookup(AO90, 'Week 1'!$A:$A, 'Week 1'!$B:$B), "")</f>
        <v>Loss</v>
      </c>
      <c r="AR91" s="152" t="str">
        <f t="array" ref="AR91">ifna(xlookup(AO90, 'Week 1'!$A:$A, 'Week 1'!$D:$D), "")</f>
        <v/>
      </c>
      <c r="AS91" s="152" t="str">
        <f t="array" ref="AS91">ifna(xlookup(AO90, 'Week 1'!$A:$A, 'Week 1'!$G:$G), "")</f>
        <v/>
      </c>
      <c r="AT91" s="152" t="str">
        <f t="array" ref="AT91">ifna(xlookup(AO90, 'Week 1'!$A:$A, 'Week 1'!$H:$H), "")</f>
        <v/>
      </c>
      <c r="AU91" s="152" t="str">
        <f t="array" ref="AU91">ifna(xlookup(AO90, 'Week 1'!$A:$A, 'Week 1'!$E:$E), "")</f>
        <v/>
      </c>
      <c r="AV91" s="152" t="str">
        <f t="array" ref="AV91">ifna(xlookup(AO90, 'Week 1'!$A:$A, 'Week 1'!$F:$F), "")</f>
        <v/>
      </c>
      <c r="AW91" s="152" t="str">
        <f t="array" ref="AW91">ifna(xlookup(AO90, 'Week 1'!$A:$A, 'Week 1'!$I:$I), "")</f>
        <v/>
      </c>
      <c r="AX91" s="153" t="str">
        <f t="shared" ref="AX91:AX97" si="160">iferror(IF(AR91&gt;0, (AR91/(AR91+AW91)), ""),"")</f>
        <v/>
      </c>
      <c r="AY91" s="151" t="s">
        <v>5</v>
      </c>
      <c r="AZ91" s="2" t="str">
        <f t="shared" ref="AZ91:AZ97" si="161">ifna(if(BG91&lt;&gt;"", "Yes", ""), "")</f>
        <v/>
      </c>
      <c r="BA91" s="152" t="str">
        <f t="array" ref="BA91">ifna(xlookup(AY90, 'Week 1'!$A:$A, 'Week 1'!$B:$B), "")</f>
        <v/>
      </c>
      <c r="BB91" s="152" t="str">
        <f t="array" ref="BB91">ifna(xlookup(AY90, 'Week 1'!$A:$A, 'Week 1'!$D:$D), "")</f>
        <v/>
      </c>
      <c r="BC91" s="152" t="str">
        <f t="array" ref="BC91">ifna(xlookup(AY90, 'Week 1'!$A:$A, 'Week 1'!$G:$G), "")</f>
        <v/>
      </c>
      <c r="BD91" s="152" t="str">
        <f t="array" ref="BD91">ifna(xlookup(AY90, 'Week 1'!$A:$A, 'Week 1'!$H:$H), "")</f>
        <v/>
      </c>
      <c r="BE91" s="152" t="str">
        <f t="array" ref="BE91">ifna(xlookup(AY90, 'Week 1'!$A:$A, 'Week 1'!$E:$E), "")</f>
        <v/>
      </c>
      <c r="BF91" s="152" t="str">
        <f t="array" ref="BF91">ifna(xlookup(AY90, 'Week 1'!$A:$A, 'Week 1'!$F:$F), "")</f>
        <v/>
      </c>
      <c r="BG91" s="152" t="str">
        <f t="array" ref="BG91">ifna(xlookup(AY90, 'Week 1'!$A:$A, 'Week 1'!$I:$I), "")</f>
        <v/>
      </c>
      <c r="BH91" s="153" t="str">
        <f t="shared" ref="BH91:BH97" si="162">iferror(IF(BB91&gt;0, (BB91/(BB91+BG91)), ""),"")</f>
        <v/>
      </c>
      <c r="BI91" s="8"/>
      <c r="BJ91" s="8"/>
      <c r="BK91" s="8"/>
      <c r="BL91" s="8"/>
    </row>
    <row r="92">
      <c r="A92" s="151" t="s">
        <v>7</v>
      </c>
      <c r="B92" s="2" t="str">
        <f t="shared" si="151"/>
        <v/>
      </c>
      <c r="C92" s="152" t="str">
        <f t="array" ref="C92">ifna(xlookup(A90, 'Week 2'!$A:$A, 'Week 2'!$B:$B), "")</f>
        <v/>
      </c>
      <c r="D92" s="152" t="str">
        <f t="array" ref="D92">ifna(xlookup(A90, 'Week 2'!$A:$A, 'Week 2'!$D:$D), "")</f>
        <v/>
      </c>
      <c r="E92" s="152" t="str">
        <f t="array" ref="E92">ifna(xlookup(A90, 'Week 2'!$A:$A, 'Week 2'!$G:$G), "")</f>
        <v/>
      </c>
      <c r="F92" s="152" t="str">
        <f t="array" ref="F92">ifna(xlookup(A90, 'Week 2'!$A:$A, 'Week 2'!$H:$H), "")</f>
        <v/>
      </c>
      <c r="G92" s="152" t="str">
        <f t="array" ref="G92">ifna(xlookup(A90, 'Week 2'!$A:$A, 'Week 2'!$E:$E), "")</f>
        <v/>
      </c>
      <c r="H92" s="152" t="str">
        <f t="array" ref="H92">ifna(xlookup(A90, 'Week 2'!$A:$A, 'Week 2'!$F:$F), "")</f>
        <v/>
      </c>
      <c r="I92" s="152" t="str">
        <f t="array" ref="I92">ifna(xlookup(A90, 'Week 2'!$A:$A, 'Week 2'!$I:$I), "")</f>
        <v/>
      </c>
      <c r="J92" s="153" t="str">
        <f t="shared" si="152"/>
        <v/>
      </c>
      <c r="K92" s="151" t="s">
        <v>7</v>
      </c>
      <c r="L92" s="2" t="str">
        <f t="shared" si="153"/>
        <v/>
      </c>
      <c r="M92" s="152" t="str">
        <f t="array" ref="M92">ifna(xlookup(K90, 'Week 2'!$A:$A, 'Week 2'!$B:$B), "")</f>
        <v>Loss</v>
      </c>
      <c r="N92" s="152" t="str">
        <f t="array" ref="N92">ifna(xlookup(K90, 'Week 2'!$A:$A, 'Week 2'!$D:$D), "")</f>
        <v/>
      </c>
      <c r="O92" s="152" t="str">
        <f t="array" ref="O92">ifna(xlookup(K90, 'Week 2'!$A:$A, 'Week 2'!$G:$G), "")</f>
        <v/>
      </c>
      <c r="P92" s="152" t="str">
        <f t="array" ref="P92">ifna(xlookup(K90, 'Week 2'!$A:$A, 'Week 2'!$H:$H), "")</f>
        <v/>
      </c>
      <c r="Q92" s="152" t="str">
        <f t="array" ref="Q92">ifna(xlookup(K90, 'Week 2'!$A:$A, 'Week 2'!$E:$E), "")</f>
        <v/>
      </c>
      <c r="R92" s="152" t="str">
        <f t="array" ref="R92">ifna(xlookup(K90, 'Week 2'!$A:$A, 'Week 2'!$F:$F), "")</f>
        <v/>
      </c>
      <c r="S92" s="152" t="str">
        <f t="array" ref="S92">ifna(xlookup(K90, 'Week 2'!$A:$A, 'Week 2'!$I:$I), "")</f>
        <v/>
      </c>
      <c r="T92" s="153" t="str">
        <f t="shared" si="154"/>
        <v/>
      </c>
      <c r="U92" s="151" t="s">
        <v>7</v>
      </c>
      <c r="V92" s="2" t="str">
        <f t="shared" si="155"/>
        <v/>
      </c>
      <c r="W92" s="152" t="str">
        <f t="array" ref="W92">ifna(xlookup(U90, 'Week 2'!$A:$A, 'Week 2'!$B:$B), "")</f>
        <v>Win</v>
      </c>
      <c r="X92" s="152" t="str">
        <f t="array" ref="X92">ifna(xlookup(U90, 'Week 2'!$A:$A, 'Week 2'!$D:$D), "")</f>
        <v/>
      </c>
      <c r="Y92" s="152" t="str">
        <f t="array" ref="Y92">ifna(xlookup(U90, 'Week 2'!$A:$A, 'Week 2'!$G:$G), "")</f>
        <v/>
      </c>
      <c r="Z92" s="152" t="str">
        <f t="array" ref="Z92">ifna(xlookup(U90, 'Week 2'!$A:$A, 'Week 2'!$H:$H), "")</f>
        <v/>
      </c>
      <c r="AA92" s="152" t="str">
        <f t="array" ref="AA92">ifna(xlookup(U90, 'Week 2'!$A:$A, 'Week 2'!$E:$E), "")</f>
        <v/>
      </c>
      <c r="AB92" s="152" t="str">
        <f t="array" ref="AB92">ifna(xlookup(U90, 'Week 2'!$A:$A, 'Week 2'!$F:$F), "")</f>
        <v/>
      </c>
      <c r="AC92" s="152" t="str">
        <f t="array" ref="AC92">ifna(xlookup(U90, 'Week 2'!$A:$A, 'Week 2'!$I:$I), "")</f>
        <v/>
      </c>
      <c r="AD92" s="153" t="str">
        <f t="shared" si="156"/>
        <v/>
      </c>
      <c r="AE92" s="151" t="s">
        <v>7</v>
      </c>
      <c r="AF92" s="2" t="str">
        <f t="shared" si="157"/>
        <v/>
      </c>
      <c r="AG92" s="152" t="str">
        <f t="array" ref="AG92">ifna(xlookup(AE90, 'Week 2'!$A:$A, 'Week 2'!$B:$B), "")</f>
        <v/>
      </c>
      <c r="AH92" s="152" t="str">
        <f t="array" ref="AH92">ifna(xlookup(AE90, 'Week 2'!$A:$A, 'Week 2'!$D:$D), "")</f>
        <v/>
      </c>
      <c r="AI92" s="152" t="str">
        <f t="array" ref="AI92">ifna(xlookup(AE90, 'Week 2'!$A:$A, 'Week 2'!$G:$G), "")</f>
        <v/>
      </c>
      <c r="AJ92" s="152" t="str">
        <f t="array" ref="AJ92">ifna(xlookup(AE90, 'Week 2'!$A:$A, 'Week 2'!$H:$H), "")</f>
        <v/>
      </c>
      <c r="AK92" s="152" t="str">
        <f t="array" ref="AK92">ifna(xlookup(AE90, 'Week 2'!$A:$A, 'Week 2'!$E:$E), "")</f>
        <v/>
      </c>
      <c r="AL92" s="152" t="str">
        <f t="array" ref="AL92">ifna(xlookup(AE90, 'Week 2'!$A:$A, 'Week 2'!$F:$F), "")</f>
        <v/>
      </c>
      <c r="AM92" s="152" t="str">
        <f t="array" ref="AM92">ifna(xlookup(AE90, 'Week 2'!$A:$A, 'Week 2'!$I:$I), "")</f>
        <v/>
      </c>
      <c r="AN92" s="153" t="str">
        <f t="shared" si="158"/>
        <v/>
      </c>
      <c r="AO92" s="151" t="s">
        <v>7</v>
      </c>
      <c r="AP92" s="2" t="str">
        <f t="shared" si="159"/>
        <v/>
      </c>
      <c r="AQ92" s="152" t="str">
        <f t="array" ref="AQ92">ifna(xlookup(AO90, 'Week 2'!$A:$A, 'Week 2'!$B:$B), "")</f>
        <v>Win</v>
      </c>
      <c r="AR92" s="152" t="str">
        <f t="array" ref="AR92">ifna(xlookup(AO90, 'Week 2'!$A:$A, 'Week 2'!$D:$D), "")</f>
        <v/>
      </c>
      <c r="AS92" s="152" t="str">
        <f t="array" ref="AS92">ifna(xlookup(AO90, 'Week 2'!$A:$A, 'Week 2'!$G:$G), "")</f>
        <v/>
      </c>
      <c r="AT92" s="152" t="str">
        <f t="array" ref="AT92">ifna(xlookup(AO90, 'Week 2'!$A:$A, 'Week 2'!$H:$H), "")</f>
        <v/>
      </c>
      <c r="AU92" s="152" t="str">
        <f t="array" ref="AU92">ifna(xlookup(AO90, 'Week 2'!$A:$A, 'Week 2'!$E:$E), "")</f>
        <v/>
      </c>
      <c r="AV92" s="152" t="str">
        <f t="array" ref="AV92">ifna(xlookup(AO90, 'Week 2'!$A:$A, 'Week 2'!$F:$F), "")</f>
        <v/>
      </c>
      <c r="AW92" s="152" t="str">
        <f t="array" ref="AW92">ifna(xlookup(AO90, 'Week 2'!$A:$A, 'Week 2'!$I:$I), "")</f>
        <v/>
      </c>
      <c r="AX92" s="153" t="str">
        <f t="shared" si="160"/>
        <v/>
      </c>
      <c r="AY92" s="151" t="s">
        <v>7</v>
      </c>
      <c r="AZ92" s="2" t="str">
        <f t="shared" si="161"/>
        <v/>
      </c>
      <c r="BA92" s="152" t="str">
        <f t="array" ref="BA92">ifna(xlookup(AY90, 'Week 2'!$A:$A, 'Week 2'!$B:$B), "")</f>
        <v/>
      </c>
      <c r="BB92" s="152" t="str">
        <f t="array" ref="BB92">ifna(xlookup(AY90, 'Week 2'!$A:$A, 'Week 2'!$D:$D), "")</f>
        <v/>
      </c>
      <c r="BC92" s="152" t="str">
        <f t="array" ref="BC92">ifna(xlookup(AY90, 'Week 2'!$A:$A, 'Week 2'!$G:$G), "")</f>
        <v/>
      </c>
      <c r="BD92" s="152" t="str">
        <f t="array" ref="BD92">ifna(xlookup(AY90, 'Week 2'!$A:$A, 'Week 2'!$H:$H), "")</f>
        <v/>
      </c>
      <c r="BE92" s="152" t="str">
        <f t="array" ref="BE92">ifna(xlookup(AY90, 'Week 2'!$A:$A, 'Week 2'!$E:$E), "")</f>
        <v/>
      </c>
      <c r="BF92" s="152" t="str">
        <f t="array" ref="BF92">ifna(xlookup(AY90, 'Week 2'!$A:$A, 'Week 2'!$F:$F), "")</f>
        <v/>
      </c>
      <c r="BG92" s="152" t="str">
        <f t="array" ref="BG92">ifna(xlookup(AY90, 'Week 2'!$A:$A, 'Week 2'!$I:$I), "")</f>
        <v/>
      </c>
      <c r="BH92" s="153" t="str">
        <f t="shared" si="162"/>
        <v/>
      </c>
      <c r="BI92" s="8"/>
      <c r="BJ92" s="8"/>
      <c r="BK92" s="8"/>
      <c r="BL92" s="8"/>
    </row>
    <row r="93">
      <c r="A93" s="151" t="s">
        <v>12</v>
      </c>
      <c r="B93" s="2" t="str">
        <f t="shared" si="151"/>
        <v/>
      </c>
      <c r="C93" s="152" t="str">
        <f t="array" ref="C93">ifna(xlookup(A90, 'Week 3'!$A:$A, 'Week 3'!$B:$B), "")</f>
        <v/>
      </c>
      <c r="D93" s="152" t="str">
        <f t="array" ref="D93">ifna(xlookup(A90, 'Week 3'!$A:$A, 'Week 3'!$D:$D), "")</f>
        <v/>
      </c>
      <c r="E93" s="152" t="str">
        <f t="array" ref="E93">ifna(xlookup(A90, 'Week 3'!$A:$A, 'Week 3'!$G:$G), "")</f>
        <v/>
      </c>
      <c r="F93" s="152" t="str">
        <f t="array" ref="F93">ifna(xlookup(A90, 'Week 3'!$A:$A, 'Week 3'!$H:$H), "")</f>
        <v/>
      </c>
      <c r="G93" s="152" t="str">
        <f t="array" ref="G93">ifna(xlookup(A90, 'Week 3'!$A:$A, 'Week 3'!$E:$E), "")</f>
        <v/>
      </c>
      <c r="H93" s="152" t="str">
        <f t="array" ref="H93">ifna(xlookup(A90, 'Week 3'!$A:$A, 'Week 3'!$F:$F), "")</f>
        <v/>
      </c>
      <c r="I93" s="152" t="str">
        <f t="array" ref="I93">ifna(xlookup(A90, 'Week 3'!$A:$A, 'Week 3'!$I:$I), "")</f>
        <v/>
      </c>
      <c r="J93" s="153" t="str">
        <f t="shared" si="152"/>
        <v/>
      </c>
      <c r="K93" s="151" t="s">
        <v>12</v>
      </c>
      <c r="L93" s="2" t="str">
        <f t="shared" si="153"/>
        <v/>
      </c>
      <c r="M93" s="152" t="str">
        <f t="array" ref="M93">ifna(xlookup(K90, 'Week 3'!$A:$A, 'Week 3'!$B:$B), "")</f>
        <v>Win</v>
      </c>
      <c r="N93" s="152" t="str">
        <f t="array" ref="N93">ifna(xlookup(K90, 'Week 3'!$A:$A, 'Week 3'!$D:$D), "")</f>
        <v/>
      </c>
      <c r="O93" s="152" t="str">
        <f t="array" ref="O93">ifna(xlookup(K90, 'Week 3'!$A:$A, 'Week 3'!$G:$G), "")</f>
        <v/>
      </c>
      <c r="P93" s="152" t="str">
        <f t="array" ref="P93">ifna(xlookup(K90, 'Week 3'!$A:$A, 'Week 3'!$H:$H), "")</f>
        <v/>
      </c>
      <c r="Q93" s="152" t="str">
        <f t="array" ref="Q93">ifna(xlookup(K90, 'Week 3'!$A:$A, 'Week 3'!$E:$E), "")</f>
        <v/>
      </c>
      <c r="R93" s="152" t="str">
        <f t="array" ref="R93">ifna(xlookup(K90, 'Week 3'!$A:$A, 'Week 3'!$F:$F), "")</f>
        <v/>
      </c>
      <c r="S93" s="152" t="str">
        <f t="array" ref="S93">ifna(xlookup(K90, 'Week 3'!$A:$A, 'Week 3'!$I:$I), "")</f>
        <v/>
      </c>
      <c r="T93" s="153" t="str">
        <f t="shared" si="154"/>
        <v/>
      </c>
      <c r="U93" s="151" t="s">
        <v>12</v>
      </c>
      <c r="V93" s="2" t="str">
        <f t="shared" si="155"/>
        <v/>
      </c>
      <c r="W93" s="152" t="str">
        <f t="array" ref="W93">ifna(xlookup(U90, 'Week 3'!$A:$A, 'Week 3'!$B:$B), "")</f>
        <v>Win</v>
      </c>
      <c r="X93" s="152" t="str">
        <f t="array" ref="X93">ifna(xlookup(U90, 'Week 3'!$A:$A, 'Week 3'!$D:$D), "")</f>
        <v/>
      </c>
      <c r="Y93" s="152" t="str">
        <f t="array" ref="Y93">ifna(xlookup(U90, 'Week 3'!$A:$A, 'Week 3'!$G:$G), "")</f>
        <v/>
      </c>
      <c r="Z93" s="152" t="str">
        <f t="array" ref="Z93">ifna(xlookup(U90, 'Week 3'!$A:$A, 'Week 3'!$H:$H), "")</f>
        <v/>
      </c>
      <c r="AA93" s="152" t="str">
        <f t="array" ref="AA93">ifna(xlookup(U90, 'Week 3'!$A:$A, 'Week 3'!$E:$E), "")</f>
        <v/>
      </c>
      <c r="AB93" s="152" t="str">
        <f t="array" ref="AB93">ifna(xlookup(U90, 'Week 3'!$A:$A, 'Week 3'!$F:$F), "")</f>
        <v/>
      </c>
      <c r="AC93" s="152" t="str">
        <f t="array" ref="AC93">ifna(xlookup(U90, 'Week 3'!$A:$A, 'Week 3'!$I:$I), "")</f>
        <v/>
      </c>
      <c r="AD93" s="153" t="str">
        <f t="shared" si="156"/>
        <v/>
      </c>
      <c r="AE93" s="151" t="s">
        <v>12</v>
      </c>
      <c r="AF93" s="2" t="str">
        <f t="shared" si="157"/>
        <v/>
      </c>
      <c r="AG93" s="152" t="str">
        <f t="array" ref="AG93">ifna(xlookup(AE90, 'Week 3'!$A:$A, 'Week 3'!$B:$B), "")</f>
        <v/>
      </c>
      <c r="AH93" s="152" t="str">
        <f t="array" ref="AH93">ifna(xlookup(AE90, 'Week 3'!$A:$A, 'Week 3'!$D:$D), "")</f>
        <v/>
      </c>
      <c r="AI93" s="152" t="str">
        <f t="array" ref="AI93">ifna(xlookup(AE90, 'Week 3'!$A:$A, 'Week 3'!$G:$G), "")</f>
        <v/>
      </c>
      <c r="AJ93" s="152" t="str">
        <f t="array" ref="AJ93">ifna(xlookup(AE90, 'Week 3'!$A:$A, 'Week 3'!$H:$H), "")</f>
        <v/>
      </c>
      <c r="AK93" s="152" t="str">
        <f t="array" ref="AK93">ifna(xlookup(AE90, 'Week 3'!$A:$A, 'Week 3'!$E:$E), "")</f>
        <v/>
      </c>
      <c r="AL93" s="152" t="str">
        <f t="array" ref="AL93">ifna(xlookup(AE90, 'Week 3'!$A:$A, 'Week 3'!$F:$F), "")</f>
        <v/>
      </c>
      <c r="AM93" s="152" t="str">
        <f t="array" ref="AM93">ifna(xlookup(AE90, 'Week 3'!$A:$A, 'Week 3'!$I:$I), "")</f>
        <v/>
      </c>
      <c r="AN93" s="153" t="str">
        <f t="shared" si="158"/>
        <v/>
      </c>
      <c r="AO93" s="151" t="s">
        <v>12</v>
      </c>
      <c r="AP93" s="2" t="str">
        <f t="shared" si="159"/>
        <v/>
      </c>
      <c r="AQ93" s="152" t="str">
        <f t="array" ref="AQ93">ifna(xlookup(AO90, 'Week 3'!$A:$A, 'Week 3'!$B:$B), "")</f>
        <v>Win</v>
      </c>
      <c r="AR93" s="152" t="str">
        <f t="array" ref="AR93">ifna(xlookup(AO90, 'Week 3'!$A:$A, 'Week 3'!$D:$D), "")</f>
        <v/>
      </c>
      <c r="AS93" s="152" t="str">
        <f t="array" ref="AS93">ifna(xlookup(AO90, 'Week 3'!$A:$A, 'Week 3'!$G:$G), "")</f>
        <v/>
      </c>
      <c r="AT93" s="152" t="str">
        <f t="array" ref="AT93">ifna(xlookup(AO90, 'Week 3'!$A:$A, 'Week 3'!$H:$H), "")</f>
        <v/>
      </c>
      <c r="AU93" s="152" t="str">
        <f t="array" ref="AU93">ifna(xlookup(AO90, 'Week 3'!$A:$A, 'Week 3'!$E:$E), "")</f>
        <v/>
      </c>
      <c r="AV93" s="152" t="str">
        <f t="array" ref="AV93">ifna(xlookup(AO90, 'Week 3'!$A:$A, 'Week 3'!$F:$F), "")</f>
        <v/>
      </c>
      <c r="AW93" s="152" t="str">
        <f t="array" ref="AW93">ifna(xlookup(AO90, 'Week 3'!$A:$A, 'Week 3'!$I:$I), "")</f>
        <v/>
      </c>
      <c r="AX93" s="153" t="str">
        <f t="shared" si="160"/>
        <v/>
      </c>
      <c r="AY93" s="151" t="s">
        <v>12</v>
      </c>
      <c r="AZ93" s="2" t="str">
        <f t="shared" si="161"/>
        <v/>
      </c>
      <c r="BA93" s="152" t="str">
        <f t="array" ref="BA93">ifna(xlookup(AY90, 'Week 3'!$A:$A, 'Week 3'!$B:$B), "")</f>
        <v/>
      </c>
      <c r="BB93" s="152" t="str">
        <f t="array" ref="BB93">ifna(xlookup(AY90, 'Week 3'!$A:$A, 'Week 3'!$D:$D), "")</f>
        <v/>
      </c>
      <c r="BC93" s="152" t="str">
        <f t="array" ref="BC93">ifna(xlookup(AY90, 'Week 3'!$A:$A, 'Week 3'!$G:$G), "")</f>
        <v/>
      </c>
      <c r="BD93" s="152" t="str">
        <f t="array" ref="BD93">ifna(xlookup(AY90, 'Week 3'!$A:$A, 'Week 3'!$H:$H), "")</f>
        <v/>
      </c>
      <c r="BE93" s="152" t="str">
        <f t="array" ref="BE93">ifna(xlookup(AY90, 'Week 3'!$A:$A, 'Week 3'!$E:$E), "")</f>
        <v/>
      </c>
      <c r="BF93" s="152" t="str">
        <f t="array" ref="BF93">ifna(xlookup(AY90, 'Week 3'!$A:$A, 'Week 3'!$F:$F), "")</f>
        <v/>
      </c>
      <c r="BG93" s="152" t="str">
        <f t="array" ref="BG93">ifna(xlookup(AY90, 'Week 3'!$A:$A, 'Week 3'!$I:$I), "")</f>
        <v/>
      </c>
      <c r="BH93" s="153" t="str">
        <f t="shared" si="162"/>
        <v/>
      </c>
      <c r="BI93" s="8"/>
      <c r="BJ93" s="8"/>
      <c r="BK93" s="8"/>
      <c r="BL93" s="8"/>
    </row>
    <row r="94">
      <c r="A94" s="151" t="s">
        <v>17</v>
      </c>
      <c r="B94" s="2" t="str">
        <f t="shared" si="151"/>
        <v/>
      </c>
      <c r="C94" s="152" t="str">
        <f t="array" ref="C94">ifna(xlookup(A90, 'Week 4'!$A:$A, 'Week 4'!$B:$B), "")</f>
        <v/>
      </c>
      <c r="D94" s="152" t="str">
        <f t="array" ref="D94">ifna(xlookup(A90, 'Week 4'!$A:$A, 'Week 4'!$D:$D), "")</f>
        <v/>
      </c>
      <c r="E94" s="152" t="str">
        <f t="array" ref="E94">ifna(xlookup(A90, 'Week 4'!$A:$A, 'Week 4'!$G:$G), "")</f>
        <v/>
      </c>
      <c r="F94" s="152" t="str">
        <f t="array" ref="F94">ifna(xlookup(A90, 'Week 4'!$A:$A, 'Week 4'!$H:$H), "")</f>
        <v/>
      </c>
      <c r="G94" s="152" t="str">
        <f t="array" ref="G94">ifna(xlookup(A90, 'Week 4'!$A:$A, 'Week 4'!$E:$E), "")</f>
        <v/>
      </c>
      <c r="H94" s="152" t="str">
        <f t="array" ref="H94">ifna(xlookup(A90, 'Week 4'!$A:$A, 'Week 4'!$F:$F), "")</f>
        <v/>
      </c>
      <c r="I94" s="152" t="str">
        <f t="array" ref="I94">ifna(xlookup(A90, 'Week 4'!$A:$A, 'Week 4'!$I:$I), "")</f>
        <v/>
      </c>
      <c r="J94" s="153" t="str">
        <f t="shared" si="152"/>
        <v/>
      </c>
      <c r="K94" s="151" t="s">
        <v>17</v>
      </c>
      <c r="L94" s="2" t="str">
        <f t="shared" si="153"/>
        <v/>
      </c>
      <c r="M94" s="152" t="str">
        <f t="array" ref="M94">ifna(xlookup(K90, 'Week 4'!$A:$A, 'Week 4'!$B:$B), "")</f>
        <v>Loss</v>
      </c>
      <c r="N94" s="152" t="str">
        <f t="array" ref="N94">ifna(xlookup(K90, 'Week 4'!$A:$A, 'Week 4'!$D:$D), "")</f>
        <v/>
      </c>
      <c r="O94" s="152" t="str">
        <f t="array" ref="O94">ifna(xlookup(K90, 'Week 4'!$A:$A, 'Week 4'!$G:$G), "")</f>
        <v/>
      </c>
      <c r="P94" s="152" t="str">
        <f t="array" ref="P94">ifna(xlookup(K90, 'Week 4'!$A:$A, 'Week 4'!$H:$H), "")</f>
        <v/>
      </c>
      <c r="Q94" s="152" t="str">
        <f t="array" ref="Q94">ifna(xlookup(K90, 'Week 4'!$A:$A, 'Week 4'!$E:$E), "")</f>
        <v/>
      </c>
      <c r="R94" s="152" t="str">
        <f t="array" ref="R94">ifna(xlookup(K90, 'Week 4'!$A:$A, 'Week 4'!$F:$F), "")</f>
        <v/>
      </c>
      <c r="S94" s="152" t="str">
        <f t="array" ref="S94">ifna(xlookup(K90, 'Week 4'!$A:$A, 'Week 4'!$I:$I), "")</f>
        <v/>
      </c>
      <c r="T94" s="153" t="str">
        <f t="shared" si="154"/>
        <v/>
      </c>
      <c r="U94" s="151" t="s">
        <v>17</v>
      </c>
      <c r="V94" s="2" t="str">
        <f t="shared" si="155"/>
        <v/>
      </c>
      <c r="W94" s="152" t="str">
        <f t="array" ref="W94">ifna(xlookup(U90, 'Week 4'!$A:$A, 'Week 4'!$B:$B), "")</f>
        <v>Loss</v>
      </c>
      <c r="X94" s="152" t="str">
        <f t="array" ref="X94">ifna(xlookup(U90, 'Week 4'!$A:$A, 'Week 4'!$D:$D), "")</f>
        <v/>
      </c>
      <c r="Y94" s="152" t="str">
        <f t="array" ref="Y94">ifna(xlookup(U90, 'Week 4'!$A:$A, 'Week 4'!$G:$G), "")</f>
        <v/>
      </c>
      <c r="Z94" s="152" t="str">
        <f t="array" ref="Z94">ifna(xlookup(U90, 'Week 4'!$A:$A, 'Week 4'!$H:$H), "")</f>
        <v/>
      </c>
      <c r="AA94" s="152" t="str">
        <f t="array" ref="AA94">ifna(xlookup(U90, 'Week 4'!$A:$A, 'Week 4'!$E:$E), "")</f>
        <v/>
      </c>
      <c r="AB94" s="152" t="str">
        <f t="array" ref="AB94">ifna(xlookup(U90, 'Week 4'!$A:$A, 'Week 4'!$F:$F), "")</f>
        <v/>
      </c>
      <c r="AC94" s="152" t="str">
        <f t="array" ref="AC94">ifna(xlookup(U90, 'Week 4'!$A:$A, 'Week 4'!$I:$I), "")</f>
        <v/>
      </c>
      <c r="AD94" s="153" t="str">
        <f t="shared" si="156"/>
        <v/>
      </c>
      <c r="AE94" s="151" t="s">
        <v>17</v>
      </c>
      <c r="AF94" s="2" t="str">
        <f t="shared" si="157"/>
        <v/>
      </c>
      <c r="AG94" s="152" t="str">
        <f t="array" ref="AG94">ifna(xlookup(AE90, 'Week 4'!$A:$A, 'Week 4'!$B:$B), "")</f>
        <v/>
      </c>
      <c r="AH94" s="152" t="str">
        <f t="array" ref="AH94">ifna(xlookup(AE90, 'Week 4'!$A:$A, 'Week 4'!$D:$D), "")</f>
        <v/>
      </c>
      <c r="AI94" s="152" t="str">
        <f t="array" ref="AI94">ifna(xlookup(AE90, 'Week 4'!$A:$A, 'Week 4'!$G:$G), "")</f>
        <v/>
      </c>
      <c r="AJ94" s="152" t="str">
        <f t="array" ref="AJ94">ifna(xlookup(AE90, 'Week 4'!$A:$A, 'Week 4'!$H:$H), "")</f>
        <v/>
      </c>
      <c r="AK94" s="152" t="str">
        <f t="array" ref="AK94">ifna(xlookup(AE90, 'Week 4'!$A:$A, 'Week 4'!$E:$E), "")</f>
        <v/>
      </c>
      <c r="AL94" s="152" t="str">
        <f t="array" ref="AL94">ifna(xlookup(AE90, 'Week 4'!$A:$A, 'Week 4'!$F:$F), "")</f>
        <v/>
      </c>
      <c r="AM94" s="152" t="str">
        <f t="array" ref="AM94">ifna(xlookup(AE90, 'Week 4'!$A:$A, 'Week 4'!$I:$I), "")</f>
        <v/>
      </c>
      <c r="AN94" s="153" t="str">
        <f t="shared" si="158"/>
        <v/>
      </c>
      <c r="AO94" s="151" t="s">
        <v>17</v>
      </c>
      <c r="AP94" s="2" t="str">
        <f t="shared" si="159"/>
        <v/>
      </c>
      <c r="AQ94" s="152" t="str">
        <f t="array" ref="AQ94">ifna(xlookup(AO90, 'Week 4'!$A:$A, 'Week 4'!$B:$B), "")</f>
        <v>Win</v>
      </c>
      <c r="AR94" s="152" t="str">
        <f t="array" ref="AR94">ifna(xlookup(AO90, 'Week 4'!$A:$A, 'Week 4'!$D:$D), "")</f>
        <v/>
      </c>
      <c r="AS94" s="152" t="str">
        <f t="array" ref="AS94">ifna(xlookup(AO90, 'Week 4'!$A:$A, 'Week 4'!$G:$G), "")</f>
        <v/>
      </c>
      <c r="AT94" s="152" t="str">
        <f t="array" ref="AT94">ifna(xlookup(AO90, 'Week 4'!$A:$A, 'Week 4'!$H:$H), "")</f>
        <v/>
      </c>
      <c r="AU94" s="152" t="str">
        <f t="array" ref="AU94">ifna(xlookup(AO90, 'Week 4'!$A:$A, 'Week 4'!$E:$E), "")</f>
        <v/>
      </c>
      <c r="AV94" s="152" t="str">
        <f t="array" ref="AV94">ifna(xlookup(AO90, 'Week 4'!$A:$A, 'Week 4'!$F:$F), "")</f>
        <v/>
      </c>
      <c r="AW94" s="152" t="str">
        <f t="array" ref="AW94">ifna(xlookup(AO90, 'Week 4'!$A:$A, 'Week 4'!$I:$I), "")</f>
        <v/>
      </c>
      <c r="AX94" s="153" t="str">
        <f t="shared" si="160"/>
        <v/>
      </c>
      <c r="AY94" s="151" t="s">
        <v>17</v>
      </c>
      <c r="AZ94" s="2" t="str">
        <f t="shared" si="161"/>
        <v/>
      </c>
      <c r="BA94" s="152" t="str">
        <f t="array" ref="BA94">ifna(xlookup(AY90, 'Week 4'!$A:$A, 'Week 4'!$B:$B), "")</f>
        <v/>
      </c>
      <c r="BB94" s="152" t="str">
        <f t="array" ref="BB94">ifna(xlookup(AY90, 'Week 4'!$A:$A, 'Week 4'!$D:$D), "")</f>
        <v/>
      </c>
      <c r="BC94" s="152" t="str">
        <f t="array" ref="BC94">ifna(xlookup(AY90, 'Week 4'!$A:$A, 'Week 4'!$G:$G), "")</f>
        <v/>
      </c>
      <c r="BD94" s="152" t="str">
        <f t="array" ref="BD94">ifna(xlookup(AY90, 'Week 4'!$A:$A, 'Week 4'!$H:$H), "")</f>
        <v/>
      </c>
      <c r="BE94" s="152" t="str">
        <f t="array" ref="BE94">ifna(xlookup(AY90, 'Week 4'!$A:$A, 'Week 4'!$E:$E), "")</f>
        <v/>
      </c>
      <c r="BF94" s="152" t="str">
        <f t="array" ref="BF94">ifna(xlookup(AY90, 'Week 4'!$A:$A, 'Week 4'!$F:$F), "")</f>
        <v/>
      </c>
      <c r="BG94" s="152" t="str">
        <f t="array" ref="BG94">ifna(xlookup(AY90, 'Week 4'!$A:$A, 'Week 4'!$I:$I), "")</f>
        <v/>
      </c>
      <c r="BH94" s="153" t="str">
        <f t="shared" si="162"/>
        <v/>
      </c>
      <c r="BI94" s="8"/>
      <c r="BJ94" s="8"/>
      <c r="BK94" s="8"/>
      <c r="BL94" s="8"/>
    </row>
    <row r="95">
      <c r="A95" s="151" t="s">
        <v>20</v>
      </c>
      <c r="B95" s="2" t="str">
        <f t="shared" si="151"/>
        <v/>
      </c>
      <c r="C95" s="152" t="str">
        <f t="array" ref="C95">ifna(xlookup(A90, 'Week 5'!$A:$A, 'Week 5'!$B:$B), "")</f>
        <v/>
      </c>
      <c r="D95" s="152" t="str">
        <f t="array" ref="D95">ifna(xlookup(A90, 'Week 5'!$A:$A, 'Week 5'!$D:$D), "")</f>
        <v/>
      </c>
      <c r="E95" s="152" t="str">
        <f t="array" ref="E95">ifna(xlookup(A90, 'Week 5'!$A:$A, 'Week 5'!$G:$G), "")</f>
        <v/>
      </c>
      <c r="F95" s="152" t="str">
        <f t="array" ref="F95">ifna(xlookup(A90, 'Week 5'!$A:$A, 'Week 5'!$H:$H), "")</f>
        <v/>
      </c>
      <c r="G95" s="152" t="str">
        <f t="array" ref="G95">ifna(xlookup(A90, 'Week 5'!$A:$A, 'Week 5'!$E:$E), "")</f>
        <v/>
      </c>
      <c r="H95" s="152" t="str">
        <f t="array" ref="H95">ifna(xlookup(A90, 'Week 5'!$A:$A, 'Week 5'!$F:$F), "")</f>
        <v/>
      </c>
      <c r="I95" s="152" t="str">
        <f t="array" ref="I95">ifna(xlookup(A90, 'Week 5'!$A:$A, 'Week 5'!$I:$I), "")</f>
        <v/>
      </c>
      <c r="J95" s="153" t="str">
        <f t="shared" si="152"/>
        <v/>
      </c>
      <c r="K95" s="151" t="s">
        <v>20</v>
      </c>
      <c r="L95" s="2" t="str">
        <f t="shared" si="153"/>
        <v/>
      </c>
      <c r="M95" s="152" t="str">
        <f t="array" ref="M95">ifna(xlookup(K90, 'Week 5'!$A:$A, 'Week 5'!$B:$B), "")</f>
        <v>Win</v>
      </c>
      <c r="N95" s="152" t="str">
        <f t="array" ref="N95">ifna(xlookup(K90, 'Week 5'!$A:$A, 'Week 5'!$D:$D), "")</f>
        <v/>
      </c>
      <c r="O95" s="152" t="str">
        <f t="array" ref="O95">ifna(xlookup(K90, 'Week 5'!$A:$A, 'Week 5'!$G:$G), "")</f>
        <v/>
      </c>
      <c r="P95" s="152" t="str">
        <f t="array" ref="P95">ifna(xlookup(K90, 'Week 5'!$A:$A, 'Week 5'!$H:$H), "")</f>
        <v/>
      </c>
      <c r="Q95" s="152" t="str">
        <f t="array" ref="Q95">ifna(xlookup(K90, 'Week 5'!$A:$A, 'Week 5'!$E:$E), "")</f>
        <v/>
      </c>
      <c r="R95" s="152" t="str">
        <f t="array" ref="R95">ifna(xlookup(K90, 'Week 5'!$A:$A, 'Week 5'!$F:$F), "")</f>
        <v/>
      </c>
      <c r="S95" s="152" t="str">
        <f t="array" ref="S95">ifna(xlookup(K90, 'Week 5'!$A:$A, 'Week 5'!$I:$I), "")</f>
        <v/>
      </c>
      <c r="T95" s="153" t="str">
        <f t="shared" si="154"/>
        <v/>
      </c>
      <c r="U95" s="151" t="s">
        <v>20</v>
      </c>
      <c r="V95" s="2" t="str">
        <f t="shared" si="155"/>
        <v/>
      </c>
      <c r="W95" s="152" t="str">
        <f t="array" ref="W95">ifna(xlookup(U90, 'Week 5'!$A:$A, 'Week 5'!$B:$B), "")</f>
        <v>Loss</v>
      </c>
      <c r="X95" s="152" t="str">
        <f t="array" ref="X95">ifna(xlookup(U90, 'Week 5'!$A:$A, 'Week 5'!$D:$D), "")</f>
        <v/>
      </c>
      <c r="Y95" s="152" t="str">
        <f t="array" ref="Y95">ifna(xlookup(U90, 'Week 5'!$A:$A, 'Week 5'!$G:$G), "")</f>
        <v/>
      </c>
      <c r="Z95" s="152" t="str">
        <f t="array" ref="Z95">ifna(xlookup(U90, 'Week 5'!$A:$A, 'Week 5'!$H:$H), "")</f>
        <v/>
      </c>
      <c r="AA95" s="152" t="str">
        <f t="array" ref="AA95">ifna(xlookup(U90, 'Week 5'!$A:$A, 'Week 5'!$E:$E), "")</f>
        <v/>
      </c>
      <c r="AB95" s="152" t="str">
        <f t="array" ref="AB95">ifna(xlookup(U90, 'Week 5'!$A:$A, 'Week 5'!$F:$F), "")</f>
        <v/>
      </c>
      <c r="AC95" s="152" t="str">
        <f t="array" ref="AC95">ifna(xlookup(U90, 'Week 5'!$A:$A, 'Week 5'!$I:$I), "")</f>
        <v/>
      </c>
      <c r="AD95" s="153" t="str">
        <f t="shared" si="156"/>
        <v/>
      </c>
      <c r="AE95" s="151" t="s">
        <v>20</v>
      </c>
      <c r="AF95" s="2" t="str">
        <f t="shared" si="157"/>
        <v/>
      </c>
      <c r="AG95" s="152" t="str">
        <f t="array" ref="AG95">ifna(xlookup(AE90, 'Week 5'!$A:$A, 'Week 5'!$B:$B), "")</f>
        <v/>
      </c>
      <c r="AH95" s="152" t="str">
        <f t="array" ref="AH95">ifna(xlookup(AE90, 'Week 5'!$A:$A, 'Week 5'!$D:$D), "")</f>
        <v/>
      </c>
      <c r="AI95" s="152" t="str">
        <f t="array" ref="AI95">ifna(xlookup(AE90, 'Week 5'!$A:$A, 'Week 5'!$G:$G), "")</f>
        <v/>
      </c>
      <c r="AJ95" s="152" t="str">
        <f t="array" ref="AJ95">ifna(xlookup(AE90, 'Week 5'!$A:$A, 'Week 5'!$H:$H), "")</f>
        <v/>
      </c>
      <c r="AK95" s="152" t="str">
        <f t="array" ref="AK95">ifna(xlookup(AE90, 'Week 5'!$A:$A, 'Week 5'!$E:$E), "")</f>
        <v/>
      </c>
      <c r="AL95" s="152" t="str">
        <f t="array" ref="AL95">ifna(xlookup(AE90, 'Week 5'!$A:$A, 'Week 5'!$F:$F), "")</f>
        <v/>
      </c>
      <c r="AM95" s="152" t="str">
        <f t="array" ref="AM95">ifna(xlookup(AE90, 'Week 5'!$A:$A, 'Week 5'!$I:$I), "")</f>
        <v/>
      </c>
      <c r="AN95" s="153" t="str">
        <f t="shared" si="158"/>
        <v/>
      </c>
      <c r="AO95" s="151" t="s">
        <v>20</v>
      </c>
      <c r="AP95" s="2" t="str">
        <f t="shared" si="159"/>
        <v/>
      </c>
      <c r="AQ95" s="152" t="str">
        <f t="array" ref="AQ95">ifna(xlookup(AO90, 'Week 5'!$A:$A, 'Week 5'!$B:$B), "")</f>
        <v>Win</v>
      </c>
      <c r="AR95" s="152" t="str">
        <f t="array" ref="AR95">ifna(xlookup(AO90, 'Week 5'!$A:$A, 'Week 5'!$D:$D), "")</f>
        <v/>
      </c>
      <c r="AS95" s="152" t="str">
        <f t="array" ref="AS95">ifna(xlookup(AO90, 'Week 5'!$A:$A, 'Week 5'!$G:$G), "")</f>
        <v/>
      </c>
      <c r="AT95" s="152" t="str">
        <f t="array" ref="AT95">ifna(xlookup(AO90, 'Week 5'!$A:$A, 'Week 5'!$H:$H), "")</f>
        <v/>
      </c>
      <c r="AU95" s="152" t="str">
        <f t="array" ref="AU95">ifna(xlookup(AO90, 'Week 5'!$A:$A, 'Week 5'!$E:$E), "")</f>
        <v/>
      </c>
      <c r="AV95" s="152" t="str">
        <f t="array" ref="AV95">ifna(xlookup(AO90, 'Week 5'!$A:$A, 'Week 5'!$F:$F), "")</f>
        <v/>
      </c>
      <c r="AW95" s="152" t="str">
        <f t="array" ref="AW95">ifna(xlookup(AO90, 'Week 5'!$A:$A, 'Week 5'!$I:$I), "")</f>
        <v/>
      </c>
      <c r="AX95" s="153" t="str">
        <f t="shared" si="160"/>
        <v/>
      </c>
      <c r="AY95" s="151" t="s">
        <v>20</v>
      </c>
      <c r="AZ95" s="2" t="str">
        <f t="shared" si="161"/>
        <v/>
      </c>
      <c r="BA95" s="152" t="str">
        <f t="array" ref="BA95">ifna(xlookup(AY90, 'Week 5'!$A:$A, 'Week 5'!$B:$B), "")</f>
        <v/>
      </c>
      <c r="BB95" s="152" t="str">
        <f t="array" ref="BB95">ifna(xlookup(AY90, 'Week 5'!$A:$A, 'Week 5'!$D:$D), "")</f>
        <v/>
      </c>
      <c r="BC95" s="152" t="str">
        <f t="array" ref="BC95">ifna(xlookup(AY90, 'Week 5'!$A:$A, 'Week 5'!$G:$G), "")</f>
        <v/>
      </c>
      <c r="BD95" s="152" t="str">
        <f t="array" ref="BD95">ifna(xlookup(AY90, 'Week 5'!$A:$A, 'Week 5'!$H:$H), "")</f>
        <v/>
      </c>
      <c r="BE95" s="152" t="str">
        <f t="array" ref="BE95">ifna(xlookup(AY90, 'Week 5'!$A:$A, 'Week 5'!$E:$E), "")</f>
        <v/>
      </c>
      <c r="BF95" s="152" t="str">
        <f t="array" ref="BF95">ifna(xlookup(AY90, 'Week 5'!$A:$A, 'Week 5'!$F:$F), "")</f>
        <v/>
      </c>
      <c r="BG95" s="152" t="str">
        <f t="array" ref="BG95">ifna(xlookup(AY90, 'Week 5'!$A:$A, 'Week 5'!$I:$I), "")</f>
        <v/>
      </c>
      <c r="BH95" s="153" t="str">
        <f t="shared" si="162"/>
        <v/>
      </c>
      <c r="BI95" s="8"/>
      <c r="BJ95" s="8"/>
      <c r="BK95" s="8"/>
      <c r="BL95" s="8"/>
    </row>
    <row r="96">
      <c r="A96" s="151" t="s">
        <v>23</v>
      </c>
      <c r="B96" s="2" t="str">
        <f t="shared" si="151"/>
        <v/>
      </c>
      <c r="C96" s="152" t="str">
        <f t="array" ref="C96">ifna(xlookup(A90, 'Week 6'!$A:$A, 'Week 6'!$B:$B), "")</f>
        <v/>
      </c>
      <c r="D96" s="152" t="str">
        <f t="array" ref="D96">ifna(xlookup(A90, 'Week 6'!$A:$A, 'Week 6'!$D:$D), "")</f>
        <v/>
      </c>
      <c r="E96" s="152" t="str">
        <f t="array" ref="E96">ifna(xlookup(A90, 'Week 6'!$A:$A, 'Week 6'!$G:$G), "")</f>
        <v/>
      </c>
      <c r="F96" s="152" t="str">
        <f t="array" ref="F96">ifna(xlookup(A90, 'Week 6'!$A:$A, 'Week 6'!$H:$H), "")</f>
        <v/>
      </c>
      <c r="G96" s="152" t="str">
        <f t="array" ref="G96">ifna(xlookup(A90, 'Week 6'!$A:$A, 'Week 6'!$E:$E), "")</f>
        <v/>
      </c>
      <c r="H96" s="152" t="str">
        <f t="array" ref="H96">ifna(xlookup(A90, 'Week 6'!$A:$A, 'Week 6'!$F:$F), "")</f>
        <v/>
      </c>
      <c r="I96" s="152" t="str">
        <f t="array" ref="I96">ifna(xlookup(A90, 'Week 6'!$A:$A, 'Week 6'!$I:$I), "")</f>
        <v/>
      </c>
      <c r="J96" s="153" t="str">
        <f t="shared" si="152"/>
        <v/>
      </c>
      <c r="K96" s="151" t="s">
        <v>23</v>
      </c>
      <c r="L96" s="2" t="str">
        <f t="shared" si="153"/>
        <v/>
      </c>
      <c r="M96" s="152" t="str">
        <f t="array" ref="M96">ifna(xlookup(K90, 'Week 6'!$A:$A, 'Week 6'!$B:$B), "")</f>
        <v>Loss</v>
      </c>
      <c r="N96" s="152" t="str">
        <f t="array" ref="N96">ifna(xlookup(K90, 'Week 6'!$A:$A, 'Week 6'!$D:$D), "")</f>
        <v/>
      </c>
      <c r="O96" s="152" t="str">
        <f t="array" ref="O96">ifna(xlookup(K90, 'Week 6'!$A:$A, 'Week 6'!$G:$G), "")</f>
        <v/>
      </c>
      <c r="P96" s="152" t="str">
        <f t="array" ref="P96">ifna(xlookup(K90, 'Week 6'!$A:$A, 'Week 6'!$H:$H), "")</f>
        <v/>
      </c>
      <c r="Q96" s="152" t="str">
        <f t="array" ref="Q96">ifna(xlookup(K90, 'Week 6'!$A:$A, 'Week 6'!$E:$E), "")</f>
        <v/>
      </c>
      <c r="R96" s="152" t="str">
        <f t="array" ref="R96">ifna(xlookup(K90, 'Week 6'!$A:$A, 'Week 6'!$F:$F), "")</f>
        <v/>
      </c>
      <c r="S96" s="152" t="str">
        <f t="array" ref="S96">ifna(xlookup(K90, 'Week 6'!$A:$A, 'Week 6'!$I:$I), "")</f>
        <v/>
      </c>
      <c r="T96" s="153" t="str">
        <f t="shared" si="154"/>
        <v/>
      </c>
      <c r="U96" s="151" t="s">
        <v>23</v>
      </c>
      <c r="V96" s="2" t="str">
        <f t="shared" si="155"/>
        <v>Yes</v>
      </c>
      <c r="W96" s="152" t="str">
        <f t="array" ref="W96">ifna(xlookup(U90, 'Week 6'!$A:$A, 'Week 6'!$B:$B), "")</f>
        <v>Loss</v>
      </c>
      <c r="X96" s="152">
        <f t="array" ref="X96">ifna(xlookup(U90, 'Week 6'!$A:$A, 'Week 6'!$D:$D), "")</f>
        <v>9</v>
      </c>
      <c r="Y96" s="152">
        <f t="array" ref="Y96">ifna(xlookup(U90, 'Week 6'!$A:$A, 'Week 6'!$G:$G), "")</f>
        <v>7</v>
      </c>
      <c r="Z96" s="152">
        <f t="array" ref="Z96">ifna(xlookup(U90, 'Week 6'!$A:$A, 'Week 6'!$H:$H), "")</f>
        <v>0</v>
      </c>
      <c r="AA96" s="152">
        <f t="array" ref="AA96">ifna(xlookup(U90, 'Week 6'!$A:$A, 'Week 6'!$E:$E), "")</f>
        <v>2</v>
      </c>
      <c r="AB96" s="152">
        <f t="array" ref="AB96">ifna(xlookup(U90, 'Week 6'!$A:$A, 'Week 6'!$F:$F), "")</f>
        <v>0</v>
      </c>
      <c r="AC96" s="152">
        <f t="array" ref="AC96">ifna(xlookup(U90, 'Week 6'!$A:$A, 'Week 6'!$I:$I), "")</f>
        <v>22</v>
      </c>
      <c r="AD96" s="153">
        <f t="shared" si="156"/>
        <v>0.2903225806</v>
      </c>
      <c r="AE96" s="151" t="s">
        <v>23</v>
      </c>
      <c r="AF96" s="2" t="str">
        <f t="shared" si="157"/>
        <v/>
      </c>
      <c r="AG96" s="152" t="str">
        <f t="array" ref="AG96">ifna(xlookup(AE90, 'Week 6'!$A:$A, 'Week 6'!$B:$B), "")</f>
        <v/>
      </c>
      <c r="AH96" s="152" t="str">
        <f t="array" ref="AH96">ifna(xlookup(AE90, 'Week 6'!$A:$A, 'Week 6'!$D:$D), "")</f>
        <v/>
      </c>
      <c r="AI96" s="152" t="str">
        <f t="array" ref="AI96">ifna(xlookup(AE90, 'Week 6'!$A:$A, 'Week 6'!$G:$G), "")</f>
        <v/>
      </c>
      <c r="AJ96" s="152" t="str">
        <f t="array" ref="AJ96">ifna(xlookup(AE90, 'Week 6'!$A:$A, 'Week 6'!$H:$H), "")</f>
        <v/>
      </c>
      <c r="AK96" s="152" t="str">
        <f t="array" ref="AK96">ifna(xlookup(AE90, 'Week 6'!$A:$A, 'Week 6'!$E:$E), "")</f>
        <v/>
      </c>
      <c r="AL96" s="152" t="str">
        <f t="array" ref="AL96">ifna(xlookup(AE90, 'Week 6'!$A:$A, 'Week 6'!$F:$F), "")</f>
        <v/>
      </c>
      <c r="AM96" s="152" t="str">
        <f t="array" ref="AM96">ifna(xlookup(AE90, 'Week 6'!$A:$A, 'Week 6'!$I:$I), "")</f>
        <v/>
      </c>
      <c r="AN96" s="153" t="str">
        <f t="shared" si="158"/>
        <v/>
      </c>
      <c r="AO96" s="151" t="s">
        <v>23</v>
      </c>
      <c r="AP96" s="2" t="str">
        <f t="shared" si="159"/>
        <v/>
      </c>
      <c r="AQ96" s="152" t="str">
        <f t="array" ref="AQ96">ifna(xlookup(AO90, 'Week 6'!$A:$A, 'Week 6'!$B:$B), "")</f>
        <v>Win</v>
      </c>
      <c r="AR96" s="152" t="str">
        <f t="array" ref="AR96">ifna(xlookup(AO90, 'Week 6'!$A:$A, 'Week 6'!$D:$D), "")</f>
        <v/>
      </c>
      <c r="AS96" s="152" t="str">
        <f t="array" ref="AS96">ifna(xlookup(AO90, 'Week 6'!$A:$A, 'Week 6'!$G:$G), "")</f>
        <v/>
      </c>
      <c r="AT96" s="152" t="str">
        <f t="array" ref="AT96">ifna(xlookup(AO90, 'Week 6'!$A:$A, 'Week 6'!$H:$H), "")</f>
        <v/>
      </c>
      <c r="AU96" s="152" t="str">
        <f t="array" ref="AU96">ifna(xlookup(AO90, 'Week 6'!$A:$A, 'Week 6'!$E:$E), "")</f>
        <v/>
      </c>
      <c r="AV96" s="152" t="str">
        <f t="array" ref="AV96">ifna(xlookup(AO90, 'Week 6'!$A:$A, 'Week 6'!$F:$F), "")</f>
        <v/>
      </c>
      <c r="AW96" s="152" t="str">
        <f t="array" ref="AW96">ifna(xlookup(AO90, 'Week 6'!$A:$A, 'Week 6'!$I:$I), "")</f>
        <v/>
      </c>
      <c r="AX96" s="153" t="str">
        <f t="shared" si="160"/>
        <v/>
      </c>
      <c r="AY96" s="151" t="s">
        <v>23</v>
      </c>
      <c r="AZ96" s="2" t="str">
        <f t="shared" si="161"/>
        <v/>
      </c>
      <c r="BA96" s="152" t="str">
        <f t="array" ref="BA96">ifna(xlookup(AY90, 'Week 6'!$A:$A, 'Week 6'!$B:$B), "")</f>
        <v/>
      </c>
      <c r="BB96" s="152" t="str">
        <f t="array" ref="BB96">ifna(xlookup(AY90, 'Week 6'!$A:$A, 'Week 6'!$D:$D), "")</f>
        <v/>
      </c>
      <c r="BC96" s="152" t="str">
        <f t="array" ref="BC96">ifna(xlookup(AY90, 'Week 6'!$A:$A, 'Week 6'!$G:$G), "")</f>
        <v/>
      </c>
      <c r="BD96" s="152" t="str">
        <f t="array" ref="BD96">ifna(xlookup(AY90, 'Week 6'!$A:$A, 'Week 6'!$H:$H), "")</f>
        <v/>
      </c>
      <c r="BE96" s="152" t="str">
        <f t="array" ref="BE96">ifna(xlookup(AY90, 'Week 6'!$A:$A, 'Week 6'!$E:$E), "")</f>
        <v/>
      </c>
      <c r="BF96" s="152" t="str">
        <f t="array" ref="BF96">ifna(xlookup(AY90, 'Week 6'!$A:$A, 'Week 6'!$F:$F), "")</f>
        <v/>
      </c>
      <c r="BG96" s="152" t="str">
        <f t="array" ref="BG96">ifna(xlookup(AY90, 'Week 6'!$A:$A, 'Week 6'!$I:$I), "")</f>
        <v/>
      </c>
      <c r="BH96" s="153" t="str">
        <f t="shared" si="162"/>
        <v/>
      </c>
      <c r="BI96" s="8"/>
      <c r="BJ96" s="8"/>
      <c r="BK96" s="8"/>
      <c r="BL96" s="8"/>
    </row>
    <row r="97">
      <c r="A97" s="151" t="s">
        <v>41</v>
      </c>
      <c r="B97" s="2" t="str">
        <f t="shared" si="151"/>
        <v/>
      </c>
      <c r="C97" s="152" t="str">
        <f t="array" ref="C97">ifna(xlookup(A90, 'Week 7'!$A:$A, 'Week 7'!$B:$B), "")</f>
        <v/>
      </c>
      <c r="D97" s="152" t="str">
        <f t="array" ref="D97">ifna(xlookup(A90, 'Week 7'!$A:$A, 'Week 7'!$D:$D), "")</f>
        <v/>
      </c>
      <c r="E97" s="152" t="str">
        <f t="array" ref="E97">ifna(xlookup(A90, 'Week 7'!$A:$A, 'Week 7'!$G:$G), "")</f>
        <v/>
      </c>
      <c r="F97" s="152" t="str">
        <f t="array" ref="F97">ifna(xlookup(A90, 'Week 7'!$A:$A, 'Week 7'!$H:$H), "")</f>
        <v/>
      </c>
      <c r="G97" s="152" t="str">
        <f t="array" ref="G97">ifna(xlookup(A90, 'Week 7'!$A:$A, 'Week 7'!$E:$E), "")</f>
        <v/>
      </c>
      <c r="H97" s="152" t="str">
        <f t="array" ref="H97">ifna(xlookup(A90, 'Week 7'!$A:$A, 'Week 7'!$F:$F), "")</f>
        <v/>
      </c>
      <c r="I97" s="152" t="str">
        <f t="array" ref="I97">ifna(xlookup(A90, 'Week 7'!$A:$A, 'Week 7'!$I:$I), "")</f>
        <v/>
      </c>
      <c r="J97" s="153" t="str">
        <f t="shared" si="152"/>
        <v/>
      </c>
      <c r="K97" s="151" t="s">
        <v>41</v>
      </c>
      <c r="L97" s="2" t="str">
        <f t="shared" si="153"/>
        <v/>
      </c>
      <c r="M97" s="152" t="str">
        <f t="array" ref="M97">ifna(xlookup(K90, 'Week 7'!$A:$A, 'Week 7'!$B:$B), "")</f>
        <v>Win</v>
      </c>
      <c r="N97" s="152" t="str">
        <f t="array" ref="N97">ifna(xlookup(K90, 'Week 7'!$A:$A, 'Week 7'!$D:$D), "")</f>
        <v/>
      </c>
      <c r="O97" s="152" t="str">
        <f t="array" ref="O97">ifna(xlookup(K90, 'Week 7'!$A:$A, 'Week 7'!$G:$G), "")</f>
        <v/>
      </c>
      <c r="P97" s="152" t="str">
        <f t="array" ref="P97">ifna(xlookup(K90, 'Week 7'!$A:$A, 'Week 7'!$H:$H), "")</f>
        <v/>
      </c>
      <c r="Q97" s="152" t="str">
        <f t="array" ref="Q97">ifna(xlookup(K90, 'Week 7'!$A:$A, 'Week 7'!$E:$E), "")</f>
        <v/>
      </c>
      <c r="R97" s="152" t="str">
        <f t="array" ref="R97">ifna(xlookup(K90, 'Week 7'!$A:$A, 'Week 7'!$F:$F), "")</f>
        <v/>
      </c>
      <c r="S97" s="152" t="str">
        <f t="array" ref="S97">ifna(xlookup(K90, 'Week 7'!$A:$A, 'Week 7'!$I:$I), "")</f>
        <v/>
      </c>
      <c r="T97" s="153" t="str">
        <f t="shared" si="154"/>
        <v/>
      </c>
      <c r="U97" s="151" t="s">
        <v>41</v>
      </c>
      <c r="V97" s="2" t="str">
        <f t="shared" si="155"/>
        <v/>
      </c>
      <c r="W97" s="152" t="str">
        <f t="array" ref="W97">ifna(xlookup(U90, 'Week 7'!$A:$A, 'Week 7'!$B:$B), "")</f>
        <v>Loss</v>
      </c>
      <c r="X97" s="152" t="str">
        <f t="array" ref="X97">ifna(xlookup(U90, 'Week 7'!$A:$A, 'Week 7'!$D:$D), "")</f>
        <v/>
      </c>
      <c r="Y97" s="152" t="str">
        <f t="array" ref="Y97">ifna(xlookup(U90, 'Week 7'!$A:$A, 'Week 7'!$G:$G), "")</f>
        <v/>
      </c>
      <c r="Z97" s="152" t="str">
        <f t="array" ref="Z97">ifna(xlookup(U90, 'Week 7'!$A:$A, 'Week 7'!$H:$H), "")</f>
        <v/>
      </c>
      <c r="AA97" s="152" t="str">
        <f t="array" ref="AA97">ifna(xlookup(U90, 'Week 7'!$A:$A, 'Week 7'!$E:$E), "")</f>
        <v/>
      </c>
      <c r="AB97" s="152" t="str">
        <f t="array" ref="AB97">ifna(xlookup(U90, 'Week 7'!$A:$A, 'Week 7'!$F:$F), "")</f>
        <v/>
      </c>
      <c r="AC97" s="152" t="str">
        <f t="array" ref="AC97">ifna(xlookup(U90, 'Week 7'!$A:$A, 'Week 7'!$I:$I), "")</f>
        <v/>
      </c>
      <c r="AD97" s="153" t="str">
        <f t="shared" si="156"/>
        <v/>
      </c>
      <c r="AE97" s="151" t="s">
        <v>41</v>
      </c>
      <c r="AF97" s="2" t="str">
        <f t="shared" si="157"/>
        <v/>
      </c>
      <c r="AG97" s="152" t="str">
        <f t="array" ref="AG97">ifna(xlookup(AE90, 'Week 7'!$A:$A, 'Week 7'!$B:$B), "")</f>
        <v/>
      </c>
      <c r="AH97" s="152" t="str">
        <f t="array" ref="AH97">ifna(xlookup(AE90, 'Week 7'!$A:$A, 'Week 7'!$D:$D), "")</f>
        <v/>
      </c>
      <c r="AI97" s="152" t="str">
        <f t="array" ref="AI97">ifna(xlookup(AE90, 'Week 7'!$A:$A, 'Week 7'!$G:$G), "")</f>
        <v/>
      </c>
      <c r="AJ97" s="152" t="str">
        <f t="array" ref="AJ97">ifna(xlookup(AE90, 'Week 7'!$A:$A, 'Week 7'!$H:$H), "")</f>
        <v/>
      </c>
      <c r="AK97" s="152" t="str">
        <f t="array" ref="AK97">ifna(xlookup(AE90, 'Week 7'!$A:$A, 'Week 7'!$E:$E), "")</f>
        <v/>
      </c>
      <c r="AL97" s="152" t="str">
        <f t="array" ref="AL97">ifna(xlookup(AE90, 'Week 7'!$A:$A, 'Week 7'!$F:$F), "")</f>
        <v/>
      </c>
      <c r="AM97" s="152" t="str">
        <f t="array" ref="AM97">ifna(xlookup(AE90, 'Week 7'!$A:$A, 'Week 7'!$I:$I), "")</f>
        <v/>
      </c>
      <c r="AN97" s="153" t="str">
        <f t="shared" si="158"/>
        <v/>
      </c>
      <c r="AO97" s="151" t="s">
        <v>41</v>
      </c>
      <c r="AP97" s="2" t="str">
        <f t="shared" si="159"/>
        <v/>
      </c>
      <c r="AQ97" s="152" t="str">
        <f t="array" ref="AQ97">ifna(xlookup(AO90, 'Week 7'!$A:$A, 'Week 7'!$B:$B), "")</f>
        <v>Win</v>
      </c>
      <c r="AR97" s="152" t="str">
        <f t="array" ref="AR97">ifna(xlookup(AO90, 'Week 7'!$A:$A, 'Week 7'!$D:$D), "")</f>
        <v/>
      </c>
      <c r="AS97" s="152" t="str">
        <f t="array" ref="AS97">ifna(xlookup(AO90, 'Week 7'!$A:$A, 'Week 7'!$G:$G), "")</f>
        <v/>
      </c>
      <c r="AT97" s="152" t="str">
        <f t="array" ref="AT97">ifna(xlookup(AO90, 'Week 7'!$A:$A, 'Week 7'!$H:$H), "")</f>
        <v/>
      </c>
      <c r="AU97" s="152" t="str">
        <f t="array" ref="AU97">ifna(xlookup(AO90, 'Week 7'!$A:$A, 'Week 7'!$E:$E), "")</f>
        <v/>
      </c>
      <c r="AV97" s="152" t="str">
        <f t="array" ref="AV97">ifna(xlookup(AO90, 'Week 7'!$A:$A, 'Week 7'!$F:$F), "")</f>
        <v/>
      </c>
      <c r="AW97" s="152" t="str">
        <f t="array" ref="AW97">ifna(xlookup(AO90, 'Week 7'!$A:$A, 'Week 7'!$I:$I), "")</f>
        <v/>
      </c>
      <c r="AX97" s="153" t="str">
        <f t="shared" si="160"/>
        <v/>
      </c>
      <c r="AY97" s="151" t="s">
        <v>41</v>
      </c>
      <c r="AZ97" s="2" t="str">
        <f t="shared" si="161"/>
        <v/>
      </c>
      <c r="BA97" s="152" t="str">
        <f t="array" ref="BA97">ifna(xlookup(AY90, 'Week 7'!$A:$A, 'Week 7'!$B:$B), "")</f>
        <v/>
      </c>
      <c r="BB97" s="152" t="str">
        <f t="array" ref="BB97">ifna(xlookup(AY90, 'Week 7'!$A:$A, 'Week 7'!$D:$D), "")</f>
        <v/>
      </c>
      <c r="BC97" s="152" t="str">
        <f t="array" ref="BC97">ifna(xlookup(AY90, 'Week 7'!$A:$A, 'Week 7'!$G:$G), "")</f>
        <v/>
      </c>
      <c r="BD97" s="152" t="str">
        <f t="array" ref="BD97">ifna(xlookup(AY90, 'Week 7'!$A:$A, 'Week 7'!$H:$H), "")</f>
        <v/>
      </c>
      <c r="BE97" s="152" t="str">
        <f t="array" ref="BE97">ifna(xlookup(AY90, 'Week 7'!$A:$A, 'Week 7'!$E:$E), "")</f>
        <v/>
      </c>
      <c r="BF97" s="152" t="str">
        <f t="array" ref="BF97">ifna(xlookup(AY90, 'Week 7'!$A:$A, 'Week 7'!$F:$F), "")</f>
        <v/>
      </c>
      <c r="BG97" s="152" t="str">
        <f t="array" ref="BG97">ifna(xlookup(AY90, 'Week 7'!$A:$A, 'Week 7'!$I:$I), "")</f>
        <v/>
      </c>
      <c r="BH97" s="153" t="str">
        <f t="shared" si="162"/>
        <v/>
      </c>
      <c r="BI97" s="8"/>
      <c r="BJ97" s="8"/>
      <c r="BK97" s="8"/>
      <c r="BL97" s="8"/>
    </row>
    <row r="98">
      <c r="A98" s="151" t="s">
        <v>181</v>
      </c>
      <c r="B98" s="2"/>
      <c r="C98" s="2"/>
      <c r="D98" s="2"/>
      <c r="E98" s="2"/>
      <c r="F98" s="2"/>
      <c r="G98" s="2"/>
      <c r="H98" s="2"/>
      <c r="I98" s="2"/>
      <c r="J98" s="153"/>
      <c r="K98" s="151" t="s">
        <v>181</v>
      </c>
      <c r="L98" s="2"/>
      <c r="M98" s="2"/>
      <c r="N98" s="2"/>
      <c r="O98" s="2"/>
      <c r="P98" s="2"/>
      <c r="Q98" s="2"/>
      <c r="R98" s="2"/>
      <c r="S98" s="2"/>
      <c r="T98" s="153"/>
      <c r="U98" s="151" t="s">
        <v>181</v>
      </c>
      <c r="V98" s="2"/>
      <c r="W98" s="2"/>
      <c r="X98" s="2"/>
      <c r="Y98" s="2"/>
      <c r="Z98" s="2"/>
      <c r="AA98" s="2"/>
      <c r="AB98" s="2"/>
      <c r="AC98" s="2"/>
      <c r="AD98" s="153"/>
      <c r="AE98" s="151" t="s">
        <v>181</v>
      </c>
      <c r="AF98" s="2"/>
      <c r="AG98" s="2"/>
      <c r="AH98" s="2"/>
      <c r="AI98" s="2"/>
      <c r="AJ98" s="2"/>
      <c r="AK98" s="2"/>
      <c r="AL98" s="2"/>
      <c r="AM98" s="2"/>
      <c r="AN98" s="153"/>
      <c r="AO98" s="151" t="s">
        <v>181</v>
      </c>
      <c r="AP98" s="2"/>
      <c r="AQ98" s="2"/>
      <c r="AR98" s="2"/>
      <c r="AS98" s="2"/>
      <c r="AT98" s="2"/>
      <c r="AU98" s="2"/>
      <c r="AV98" s="2"/>
      <c r="AW98" s="2"/>
      <c r="AX98" s="153"/>
      <c r="AY98" s="151" t="s">
        <v>181</v>
      </c>
      <c r="AZ98" s="2"/>
      <c r="BA98" s="2"/>
      <c r="BB98" s="2"/>
      <c r="BC98" s="2"/>
      <c r="BD98" s="2"/>
      <c r="BE98" s="2"/>
      <c r="BF98" s="2"/>
      <c r="BG98" s="2"/>
      <c r="BH98" s="153"/>
      <c r="BI98" s="8"/>
      <c r="BJ98" s="8"/>
      <c r="BK98" s="8"/>
      <c r="BL98" s="8"/>
    </row>
    <row r="99">
      <c r="A99" s="151" t="s">
        <v>182</v>
      </c>
      <c r="B99" s="2"/>
      <c r="C99" s="2"/>
      <c r="D99" s="2"/>
      <c r="E99" s="2"/>
      <c r="F99" s="2"/>
      <c r="G99" s="2"/>
      <c r="H99" s="2"/>
      <c r="I99" s="2"/>
      <c r="J99" s="153"/>
      <c r="K99" s="151" t="s">
        <v>182</v>
      </c>
      <c r="L99" s="2"/>
      <c r="M99" s="2"/>
      <c r="N99" s="2"/>
      <c r="O99" s="2"/>
      <c r="P99" s="2"/>
      <c r="Q99" s="2"/>
      <c r="R99" s="2"/>
      <c r="S99" s="2"/>
      <c r="T99" s="153"/>
      <c r="U99" s="151" t="s">
        <v>182</v>
      </c>
      <c r="V99" s="2"/>
      <c r="W99" s="2"/>
      <c r="X99" s="2"/>
      <c r="Y99" s="2"/>
      <c r="Z99" s="2"/>
      <c r="AA99" s="2"/>
      <c r="AB99" s="2"/>
      <c r="AC99" s="2"/>
      <c r="AD99" s="153"/>
      <c r="AE99" s="151" t="s">
        <v>182</v>
      </c>
      <c r="AF99" s="2"/>
      <c r="AG99" s="2"/>
      <c r="AH99" s="2"/>
      <c r="AI99" s="2"/>
      <c r="AJ99" s="2"/>
      <c r="AK99" s="2"/>
      <c r="AL99" s="2"/>
      <c r="AM99" s="2"/>
      <c r="AN99" s="153"/>
      <c r="AO99" s="151" t="s">
        <v>182</v>
      </c>
      <c r="AP99" s="2"/>
      <c r="AQ99" s="2"/>
      <c r="AR99" s="2"/>
      <c r="AS99" s="2"/>
      <c r="AT99" s="2"/>
      <c r="AU99" s="2"/>
      <c r="AV99" s="2"/>
      <c r="AW99" s="2"/>
      <c r="AX99" s="153"/>
      <c r="AY99" s="151" t="s">
        <v>182</v>
      </c>
      <c r="AZ99" s="2"/>
      <c r="BA99" s="2"/>
      <c r="BB99" s="2"/>
      <c r="BC99" s="2"/>
      <c r="BD99" s="2"/>
      <c r="BE99" s="2"/>
      <c r="BF99" s="2"/>
      <c r="BG99" s="2"/>
      <c r="BH99" s="153"/>
      <c r="BI99" s="8"/>
      <c r="BJ99" s="8"/>
      <c r="BK99" s="8"/>
      <c r="BL99" s="8"/>
    </row>
    <row r="100">
      <c r="A100" s="5" t="s">
        <v>183</v>
      </c>
      <c r="B100" s="154">
        <f>countif(B91:B99, "Yes")</f>
        <v>0</v>
      </c>
      <c r="C100" s="155" t="str">
        <f>IFERROR( COUNTIFS(B91:B97,"Yes", C91:C97,"Win") / COUNTIF(B91:B97,"Yes"), "")</f>
        <v/>
      </c>
      <c r="D100" s="156" t="str">
        <f>if(B100&gt;0, average(D91:D99), "")</f>
        <v/>
      </c>
      <c r="E100" s="156" t="str">
        <f>if(B100&gt;0, average(E91:E99), "")</f>
        <v/>
      </c>
      <c r="F100" s="156" t="str">
        <f>if(B100&gt;0, average(F91:F99), "")</f>
        <v/>
      </c>
      <c r="G100" s="156" t="str">
        <f>if(B100&gt;0, average(G91:G99), "")</f>
        <v/>
      </c>
      <c r="H100" s="156" t="str">
        <f>if(B100&gt;0, average(H91:H99), "")</f>
        <v/>
      </c>
      <c r="I100" s="156" t="str">
        <f>if(B100&gt;0, average(I91:I99), "")</f>
        <v/>
      </c>
      <c r="J100" s="157" t="str">
        <f>if(B100&gt;0, D100/(I100+D100), "")</f>
        <v/>
      </c>
      <c r="K100" s="5" t="s">
        <v>183</v>
      </c>
      <c r="L100" s="154">
        <f>countif(L91:L99, "Yes")</f>
        <v>0</v>
      </c>
      <c r="M100" s="155" t="str">
        <f>IFERROR( COUNTIFS(L91:L97,"Yes", M91:M97,"Win") / COUNTIF(L91:L97,"Yes"), "")</f>
        <v/>
      </c>
      <c r="N100" s="156" t="str">
        <f>if(L100&gt;0, average(N91:N99), "")</f>
        <v/>
      </c>
      <c r="O100" s="156" t="str">
        <f>if(L100&gt;0, average(O91:O99), "")</f>
        <v/>
      </c>
      <c r="P100" s="156" t="str">
        <f>if(L100&gt;0, average(P91:P99), "")</f>
        <v/>
      </c>
      <c r="Q100" s="156" t="str">
        <f>if(L100&gt;0, average(Q91:Q99), "")</f>
        <v/>
      </c>
      <c r="R100" s="156" t="str">
        <f>if(L100&gt;0, average(R91:R99), "")</f>
        <v/>
      </c>
      <c r="S100" s="156" t="str">
        <f>if(L100&gt;0, average(S91:S99), "")</f>
        <v/>
      </c>
      <c r="T100" s="157" t="str">
        <f>if(L100&gt;0, N100/(S100+N100), "")</f>
        <v/>
      </c>
      <c r="U100" s="5" t="s">
        <v>183</v>
      </c>
      <c r="V100" s="154">
        <f>countif(V91:V99, "Yes")</f>
        <v>1</v>
      </c>
      <c r="W100" s="155">
        <f>IFERROR( COUNTIFS(V91:V97,"Yes", W91:W97,"Win") / COUNTIF(V91:V97,"Yes"), "")</f>
        <v>0</v>
      </c>
      <c r="X100" s="156">
        <f>if(V100&gt;0, average(X91:X99), "")</f>
        <v>9</v>
      </c>
      <c r="Y100" s="156">
        <f>if(V100&gt;0, average(Y91:Y99), "")</f>
        <v>7</v>
      </c>
      <c r="Z100" s="156">
        <f>if(V100&gt;0, average(Z91:Z99), "")</f>
        <v>0</v>
      </c>
      <c r="AA100" s="156">
        <f>if(V100&gt;0, average(AA91:AA99), "")</f>
        <v>2</v>
      </c>
      <c r="AB100" s="156">
        <f>if(V100&gt;0, average(AB91:AB99), "")</f>
        <v>0</v>
      </c>
      <c r="AC100" s="156">
        <f>if(V100&gt;0, average(AC91:AC99), "")</f>
        <v>22</v>
      </c>
      <c r="AD100" s="157">
        <f>if(V100&gt;0, X100/(AC100+X100), "")</f>
        <v>0.2903225806</v>
      </c>
      <c r="AE100" s="5" t="s">
        <v>183</v>
      </c>
      <c r="AF100" s="154">
        <f>countif(AF91:AF99, "Yes")</f>
        <v>0</v>
      </c>
      <c r="AG100" s="155" t="str">
        <f>IFERROR( COUNTIFS(AF91:AF97,"Yes", AG91:AG97,"Win") / COUNTIF(AF91:AF97,"Yes"), "")</f>
        <v/>
      </c>
      <c r="AH100" s="156" t="str">
        <f>if(AF100&gt;0, average(AH91:AH99), "")</f>
        <v/>
      </c>
      <c r="AI100" s="156" t="str">
        <f>if(AF100&gt;0, average(AI91:AI99), "")</f>
        <v/>
      </c>
      <c r="AJ100" s="156" t="str">
        <f>if(AF100&gt;0, average(AJ91:AJ99), "")</f>
        <v/>
      </c>
      <c r="AK100" s="156" t="str">
        <f>if(AF100&gt;0, average(AK91:AK99), "")</f>
        <v/>
      </c>
      <c r="AL100" s="156" t="str">
        <f>if(AF100&gt;0, average(AL91:AL99), "")</f>
        <v/>
      </c>
      <c r="AM100" s="156" t="str">
        <f>if(AF100&gt;0, average(AM91:AM99), "")</f>
        <v/>
      </c>
      <c r="AN100" s="157" t="str">
        <f>if(AF100&gt;0, AH100/(AM100+AH100), "")</f>
        <v/>
      </c>
      <c r="AO100" s="5" t="s">
        <v>183</v>
      </c>
      <c r="AP100" s="154">
        <f>countif(AP91:AP99, "Yes")</f>
        <v>0</v>
      </c>
      <c r="AQ100" s="155" t="str">
        <f>IFERROR( COUNTIFS(AP91:AP97,"Yes", AQ91:AQ97,"Win") / COUNTIF(AP91:AP97,"Yes"), "")</f>
        <v/>
      </c>
      <c r="AR100" s="156" t="str">
        <f>if(AP100&gt;0, average(AR91:AR99), "")</f>
        <v/>
      </c>
      <c r="AS100" s="156" t="str">
        <f>if(AP100&gt;0, average(AS91:AS99), "")</f>
        <v/>
      </c>
      <c r="AT100" s="156" t="str">
        <f>if(AP100&gt;0, average(AT91:AT99), "")</f>
        <v/>
      </c>
      <c r="AU100" s="156" t="str">
        <f>if(AP100&gt;0, average(AU91:AU99), "")</f>
        <v/>
      </c>
      <c r="AV100" s="156" t="str">
        <f>if(AP100&gt;0, average(AV91:AV99), "")</f>
        <v/>
      </c>
      <c r="AW100" s="156" t="str">
        <f>if(AP100&gt;0, average(AW91:AW99), "")</f>
        <v/>
      </c>
      <c r="AX100" s="157" t="str">
        <f>if(AP100&gt;0, AR100/(AW100+AR100), "")</f>
        <v/>
      </c>
      <c r="AY100" s="5" t="s">
        <v>183</v>
      </c>
      <c r="AZ100" s="154">
        <f>countif(AZ91:AZ99, "Yes")</f>
        <v>0</v>
      </c>
      <c r="BA100" s="155" t="str">
        <f>IFERROR( COUNTIFS(AZ91:AZ97,"Yes", BA91:BA97,"Win") / COUNTIF(AZ91:AZ97,"Yes"), "")</f>
        <v/>
      </c>
      <c r="BB100" s="156" t="str">
        <f>if(AZ100&gt;0, average(BB91:BB99), "")</f>
        <v/>
      </c>
      <c r="BC100" s="156" t="str">
        <f>if(AZ100&gt;0, average(BC91:BC99), "")</f>
        <v/>
      </c>
      <c r="BD100" s="156" t="str">
        <f>if(AZ100&gt;0, average(BD91:BD99), "")</f>
        <v/>
      </c>
      <c r="BE100" s="156" t="str">
        <f>if(AZ100&gt;0, average(BE91:BE99), "")</f>
        <v/>
      </c>
      <c r="BF100" s="156" t="str">
        <f>if(AZ100&gt;0, average(BF91:BF99), "")</f>
        <v/>
      </c>
      <c r="BG100" s="156" t="str">
        <f>if(AZ100&gt;0, average(BG91:BG99), "")</f>
        <v/>
      </c>
      <c r="BH100" s="157" t="str">
        <f>if(AZ100&gt;0, BB100/(BG100+BB100), "")</f>
        <v/>
      </c>
      <c r="BI100" s="8"/>
      <c r="BJ100" s="8"/>
      <c r="BK100" s="8"/>
      <c r="BL100" s="8"/>
    </row>
    <row r="101">
      <c r="A101" s="158" t="str">
        <f>Draft!B56</f>
        <v>Daniel Mas</v>
      </c>
      <c r="B101" s="129">
        <f t="shared" ref="B101:J101" si="163">B111</f>
        <v>0</v>
      </c>
      <c r="C101" s="143" t="str">
        <f t="shared" si="163"/>
        <v/>
      </c>
      <c r="D101" s="144" t="str">
        <f t="shared" si="163"/>
        <v/>
      </c>
      <c r="E101" s="144" t="str">
        <f t="shared" si="163"/>
        <v/>
      </c>
      <c r="F101" s="144" t="str">
        <f t="shared" si="163"/>
        <v/>
      </c>
      <c r="G101" s="144" t="str">
        <f t="shared" si="163"/>
        <v/>
      </c>
      <c r="H101" s="144" t="str">
        <f t="shared" si="163"/>
        <v/>
      </c>
      <c r="I101" s="144" t="str">
        <f t="shared" si="163"/>
        <v/>
      </c>
      <c r="J101" s="145" t="str">
        <f t="shared" si="163"/>
        <v/>
      </c>
      <c r="K101" s="159" t="str">
        <f>Draft!C56</f>
        <v>Jack Flori</v>
      </c>
      <c r="L101" s="129">
        <f t="shared" ref="L101:T101" si="164">L111</f>
        <v>0</v>
      </c>
      <c r="M101" s="143" t="str">
        <f t="shared" si="164"/>
        <v/>
      </c>
      <c r="N101" s="144" t="str">
        <f t="shared" si="164"/>
        <v/>
      </c>
      <c r="O101" s="144" t="str">
        <f t="shared" si="164"/>
        <v/>
      </c>
      <c r="P101" s="144" t="str">
        <f t="shared" si="164"/>
        <v/>
      </c>
      <c r="Q101" s="144" t="str">
        <f t="shared" si="164"/>
        <v/>
      </c>
      <c r="R101" s="144" t="str">
        <f t="shared" si="164"/>
        <v/>
      </c>
      <c r="S101" s="144" t="str">
        <f t="shared" si="164"/>
        <v/>
      </c>
      <c r="T101" s="145" t="str">
        <f t="shared" si="164"/>
        <v/>
      </c>
      <c r="U101" s="160" t="str">
        <f>Draft!D56</f>
        <v/>
      </c>
      <c r="V101" s="129">
        <f t="shared" ref="V101:AD101" si="165">V111</f>
        <v>0</v>
      </c>
      <c r="W101" s="143" t="str">
        <f t="shared" si="165"/>
        <v/>
      </c>
      <c r="X101" s="144" t="str">
        <f t="shared" si="165"/>
        <v/>
      </c>
      <c r="Y101" s="144" t="str">
        <f t="shared" si="165"/>
        <v/>
      </c>
      <c r="Z101" s="144" t="str">
        <f t="shared" si="165"/>
        <v/>
      </c>
      <c r="AA101" s="144" t="str">
        <f t="shared" si="165"/>
        <v/>
      </c>
      <c r="AB101" s="144" t="str">
        <f t="shared" si="165"/>
        <v/>
      </c>
      <c r="AC101" s="144" t="str">
        <f t="shared" si="165"/>
        <v/>
      </c>
      <c r="AD101" s="145" t="str">
        <f t="shared" si="165"/>
        <v/>
      </c>
      <c r="AE101" s="161" t="str">
        <f>Draft!E56</f>
        <v>David Cerrato</v>
      </c>
      <c r="AF101" s="129">
        <f t="shared" ref="AF101:AN101" si="166">AF111</f>
        <v>0</v>
      </c>
      <c r="AG101" s="143" t="str">
        <f t="shared" si="166"/>
        <v/>
      </c>
      <c r="AH101" s="144" t="str">
        <f t="shared" si="166"/>
        <v/>
      </c>
      <c r="AI101" s="144" t="str">
        <f t="shared" si="166"/>
        <v/>
      </c>
      <c r="AJ101" s="144" t="str">
        <f t="shared" si="166"/>
        <v/>
      </c>
      <c r="AK101" s="144" t="str">
        <f t="shared" si="166"/>
        <v/>
      </c>
      <c r="AL101" s="144" t="str">
        <f t="shared" si="166"/>
        <v/>
      </c>
      <c r="AM101" s="144" t="str">
        <f t="shared" si="166"/>
        <v/>
      </c>
      <c r="AN101" s="145" t="str">
        <f t="shared" si="166"/>
        <v/>
      </c>
      <c r="AO101" s="162" t="str">
        <f>Draft!F56</f>
        <v>Henry</v>
      </c>
      <c r="AP101" s="129">
        <f t="shared" ref="AP101:AX101" si="167">AP111</f>
        <v>0</v>
      </c>
      <c r="AQ101" s="143" t="str">
        <f t="shared" si="167"/>
        <v/>
      </c>
      <c r="AR101" s="144" t="str">
        <f t="shared" si="167"/>
        <v/>
      </c>
      <c r="AS101" s="144" t="str">
        <f t="shared" si="167"/>
        <v/>
      </c>
      <c r="AT101" s="144" t="str">
        <f t="shared" si="167"/>
        <v/>
      </c>
      <c r="AU101" s="144" t="str">
        <f t="shared" si="167"/>
        <v/>
      </c>
      <c r="AV101" s="144" t="str">
        <f t="shared" si="167"/>
        <v/>
      </c>
      <c r="AW101" s="144" t="str">
        <f t="shared" si="167"/>
        <v/>
      </c>
      <c r="AX101" s="145" t="str">
        <f t="shared" si="167"/>
        <v/>
      </c>
      <c r="AY101" s="163" t="str">
        <f>Draft!G56</f>
        <v>Ted</v>
      </c>
      <c r="AZ101" s="129">
        <f t="shared" ref="AZ101:BH101" si="168">AZ111</f>
        <v>2</v>
      </c>
      <c r="BA101" s="143">
        <f t="shared" si="168"/>
        <v>0</v>
      </c>
      <c r="BB101" s="144">
        <f t="shared" si="168"/>
        <v>9</v>
      </c>
      <c r="BC101" s="144">
        <f t="shared" si="168"/>
        <v>5</v>
      </c>
      <c r="BD101" s="144">
        <f t="shared" si="168"/>
        <v>0</v>
      </c>
      <c r="BE101" s="144">
        <f t="shared" si="168"/>
        <v>3.5</v>
      </c>
      <c r="BF101" s="144">
        <f t="shared" si="168"/>
        <v>0.5</v>
      </c>
      <c r="BG101" s="144">
        <f t="shared" si="168"/>
        <v>29.5</v>
      </c>
      <c r="BH101" s="145">
        <f t="shared" si="168"/>
        <v>0.2337662338</v>
      </c>
      <c r="BI101" s="8"/>
      <c r="BJ101" s="8"/>
      <c r="BK101" s="8"/>
      <c r="BL101" s="8"/>
    </row>
    <row r="102">
      <c r="A102" s="151" t="s">
        <v>5</v>
      </c>
      <c r="B102" s="2" t="str">
        <f t="shared" ref="B102:B108" si="169">ifna(if(I102&lt;&gt;"", "Yes", ""), "")</f>
        <v/>
      </c>
      <c r="C102" s="152" t="str">
        <f t="array" ref="C102">ifna(xlookup(A101, 'Week 1'!$A:$A, 'Week 1'!$B:$B), "")</f>
        <v/>
      </c>
      <c r="D102" s="152" t="str">
        <f t="array" ref="D102">ifna(xlookup(A101, 'Week 1'!$A:$A, 'Week 1'!$D:$D), "")</f>
        <v/>
      </c>
      <c r="E102" s="152" t="str">
        <f t="array" ref="E102">ifna(xlookup(A101, 'Week 1'!$A:$A, 'Week 1'!$G:$G), "")</f>
        <v/>
      </c>
      <c r="F102" s="152" t="str">
        <f t="array" ref="F102">ifna(xlookup(A101, 'Week 1'!$A:$A, 'Week 1'!$H:$H), "")</f>
        <v/>
      </c>
      <c r="G102" s="152" t="str">
        <f t="array" ref="G102">ifna(xlookup(A101, 'Week 1'!$A:$A, 'Week 1'!$E:$E), "")</f>
        <v/>
      </c>
      <c r="H102" s="152" t="str">
        <f t="array" ref="H102">ifna(xlookup(A101, 'Week 1'!$A:$A, 'Week 1'!$F:$F), "")</f>
        <v/>
      </c>
      <c r="I102" s="152" t="str">
        <f t="array" ref="I102">ifna(xlookup(A101, 'Week 1'!$A:$A, 'Week 1'!$I:$I), "")</f>
        <v/>
      </c>
      <c r="J102" s="153" t="str">
        <f t="shared" ref="J102:J108" si="170">iferror(IF(D102&gt;0, (D102/(D102+I102)), ""),"")</f>
        <v/>
      </c>
      <c r="K102" s="151" t="s">
        <v>5</v>
      </c>
      <c r="L102" s="2" t="str">
        <f t="shared" ref="L102:L108" si="171">ifna(if(S102&lt;&gt;"", "Yes", ""), "")</f>
        <v/>
      </c>
      <c r="M102" s="152" t="str">
        <f t="array" ref="M102">ifna(xlookup(K101, 'Week 1'!$A:$A, 'Week 1'!$B:$B), "")</f>
        <v/>
      </c>
      <c r="N102" s="152" t="str">
        <f t="array" ref="N102">ifna(xlookup(K101, 'Week 1'!$A:$A, 'Week 1'!$D:$D), "")</f>
        <v/>
      </c>
      <c r="O102" s="152" t="str">
        <f t="array" ref="O102">ifna(xlookup(K101, 'Week 1'!$A:$A, 'Week 1'!$G:$G), "")</f>
        <v/>
      </c>
      <c r="P102" s="152" t="str">
        <f t="array" ref="P102">ifna(xlookup(K101, 'Week 1'!$A:$A, 'Week 1'!$H:$H), "")</f>
        <v/>
      </c>
      <c r="Q102" s="152" t="str">
        <f t="array" ref="Q102">ifna(xlookup(K101, 'Week 1'!$A:$A, 'Week 1'!$E:$E), "")</f>
        <v/>
      </c>
      <c r="R102" s="152" t="str">
        <f t="array" ref="R102">ifna(xlookup(K101, 'Week 1'!$A:$A, 'Week 1'!$F:$F), "")</f>
        <v/>
      </c>
      <c r="S102" s="152" t="str">
        <f t="array" ref="S102">ifna(xlookup(K101, 'Week 1'!$A:$A, 'Week 1'!$I:$I), "")</f>
        <v/>
      </c>
      <c r="T102" s="153" t="str">
        <f t="shared" ref="T102:T108" si="172">iferror(IF(N102&gt;0, (N102/(N102+S102)), ""),"")</f>
        <v/>
      </c>
      <c r="U102" s="151" t="s">
        <v>5</v>
      </c>
      <c r="V102" s="2" t="str">
        <f t="shared" ref="V102:V108" si="173">ifna(if(AC102&lt;&gt;"", "Yes", ""), "")</f>
        <v/>
      </c>
      <c r="W102" s="152" t="str">
        <f t="array" ref="W102">ifna(xlookup(U101, 'Week 1'!$A:$A, 'Week 1'!$B:$B), "")</f>
        <v/>
      </c>
      <c r="X102" s="152" t="str">
        <f t="array" ref="X102">ifna(xlookup(U101, 'Week 1'!$A:$A, 'Week 1'!$D:$D), "")</f>
        <v/>
      </c>
      <c r="Y102" s="152" t="str">
        <f t="array" ref="Y102">ifna(xlookup(U101, 'Week 1'!$A:$A, 'Week 1'!$G:$G), "")</f>
        <v/>
      </c>
      <c r="Z102" s="152" t="str">
        <f t="array" ref="Z102">ifna(xlookup(U101, 'Week 1'!$A:$A, 'Week 1'!$H:$H), "")</f>
        <v/>
      </c>
      <c r="AA102" s="152" t="str">
        <f t="array" ref="AA102">ifna(xlookup(U101, 'Week 1'!$A:$A, 'Week 1'!$E:$E), "")</f>
        <v/>
      </c>
      <c r="AB102" s="152" t="str">
        <f t="array" ref="AB102">ifna(xlookup(U101, 'Week 1'!$A:$A, 'Week 1'!$F:$F), "")</f>
        <v/>
      </c>
      <c r="AC102" s="152" t="str">
        <f t="array" ref="AC102">ifna(xlookup(U101, 'Week 1'!$A:$A, 'Week 1'!$I:$I), "")</f>
        <v/>
      </c>
      <c r="AD102" s="153" t="str">
        <f t="shared" ref="AD102:AD108" si="174">iferror(IF(X102&gt;0, (X102/(X102+AC102)), ""),"")</f>
        <v/>
      </c>
      <c r="AE102" s="151" t="s">
        <v>5</v>
      </c>
      <c r="AF102" s="2" t="str">
        <f t="shared" ref="AF102:AF108" si="175">ifna(if(AM102&lt;&gt;"", "Yes", ""), "")</f>
        <v/>
      </c>
      <c r="AG102" s="152" t="str">
        <f t="array" ref="AG102">ifna(xlookup(AE101, 'Week 1'!$A:$A, 'Week 1'!$B:$B), "")</f>
        <v/>
      </c>
      <c r="AH102" s="152" t="str">
        <f t="array" ref="AH102">ifna(xlookup(AE101, 'Week 1'!$A:$A, 'Week 1'!$D:$D), "")</f>
        <v/>
      </c>
      <c r="AI102" s="152" t="str">
        <f t="array" ref="AI102">ifna(xlookup(AE101, 'Week 1'!$A:$A, 'Week 1'!$G:$G), "")</f>
        <v/>
      </c>
      <c r="AJ102" s="152" t="str">
        <f t="array" ref="AJ102">ifna(xlookup(AE101, 'Week 1'!$A:$A, 'Week 1'!$H:$H), "")</f>
        <v/>
      </c>
      <c r="AK102" s="152" t="str">
        <f t="array" ref="AK102">ifna(xlookup(AE101, 'Week 1'!$A:$A, 'Week 1'!$E:$E), "")</f>
        <v/>
      </c>
      <c r="AL102" s="152" t="str">
        <f t="array" ref="AL102">ifna(xlookup(AE101, 'Week 1'!$A:$A, 'Week 1'!$F:$F), "")</f>
        <v/>
      </c>
      <c r="AM102" s="152" t="str">
        <f t="array" ref="AM102">ifna(xlookup(AE101, 'Week 1'!$A:$A, 'Week 1'!$I:$I), "")</f>
        <v/>
      </c>
      <c r="AN102" s="153" t="str">
        <f t="shared" ref="AN102:AN108" si="176">iferror(IF(AH102&gt;0, (AH102/(AH102+AM102)), ""),"")</f>
        <v/>
      </c>
      <c r="AO102" s="151" t="s">
        <v>5</v>
      </c>
      <c r="AP102" s="2" t="str">
        <f t="shared" ref="AP102:AP108" si="177">ifna(if(AW102&lt;&gt;"", "Yes", ""), "")</f>
        <v/>
      </c>
      <c r="AQ102" s="152" t="str">
        <f t="array" ref="AQ102">ifna(xlookup(AO101, 'Week 1'!$A:$A, 'Week 1'!$B:$B), "")</f>
        <v>Loss</v>
      </c>
      <c r="AR102" s="152" t="str">
        <f t="array" ref="AR102">ifna(xlookup(AO101, 'Week 1'!$A:$A, 'Week 1'!$D:$D), "")</f>
        <v/>
      </c>
      <c r="AS102" s="152" t="str">
        <f t="array" ref="AS102">ifna(xlookup(AO101, 'Week 1'!$A:$A, 'Week 1'!$G:$G), "")</f>
        <v/>
      </c>
      <c r="AT102" s="152" t="str">
        <f t="array" ref="AT102">ifna(xlookup(AO101, 'Week 1'!$A:$A, 'Week 1'!$H:$H), "")</f>
        <v/>
      </c>
      <c r="AU102" s="152" t="str">
        <f t="array" ref="AU102">ifna(xlookup(AO101, 'Week 1'!$A:$A, 'Week 1'!$E:$E), "")</f>
        <v/>
      </c>
      <c r="AV102" s="152" t="str">
        <f t="array" ref="AV102">ifna(xlookup(AO101, 'Week 1'!$A:$A, 'Week 1'!$F:$F), "")</f>
        <v/>
      </c>
      <c r="AW102" s="152" t="str">
        <f t="array" ref="AW102">ifna(xlookup(AO101, 'Week 1'!$A:$A, 'Week 1'!$I:$I), "")</f>
        <v/>
      </c>
      <c r="AX102" s="153" t="str">
        <f t="shared" ref="AX102:AX108" si="178">iferror(IF(AR102&gt;0, (AR102/(AR102+AW102)), ""),"")</f>
        <v/>
      </c>
      <c r="AY102" s="151" t="s">
        <v>5</v>
      </c>
      <c r="AZ102" s="2" t="str">
        <f t="shared" ref="AZ102:AZ108" si="179">ifna(if(BG102&lt;&gt;"", "Yes", ""), "")</f>
        <v/>
      </c>
      <c r="BA102" s="152" t="str">
        <f t="array" ref="BA102">ifna(xlookup(AY101, 'Week 1'!$A:$A, 'Week 1'!$B:$B), "")</f>
        <v>Win</v>
      </c>
      <c r="BB102" s="152" t="str">
        <f t="array" ref="BB102">ifna(xlookup(AY101, 'Week 1'!$A:$A, 'Week 1'!$D:$D), "")</f>
        <v/>
      </c>
      <c r="BC102" s="152" t="str">
        <f t="array" ref="BC102">ifna(xlookup(AY101, 'Week 1'!$A:$A, 'Week 1'!$G:$G), "")</f>
        <v/>
      </c>
      <c r="BD102" s="152" t="str">
        <f t="array" ref="BD102">ifna(xlookup(AY101, 'Week 1'!$A:$A, 'Week 1'!$H:$H), "")</f>
        <v/>
      </c>
      <c r="BE102" s="152" t="str">
        <f t="array" ref="BE102">ifna(xlookup(AY101, 'Week 1'!$A:$A, 'Week 1'!$E:$E), "")</f>
        <v/>
      </c>
      <c r="BF102" s="152" t="str">
        <f t="array" ref="BF102">ifna(xlookup(AY101, 'Week 1'!$A:$A, 'Week 1'!$F:$F), "")</f>
        <v/>
      </c>
      <c r="BG102" s="152" t="str">
        <f t="array" ref="BG102">ifna(xlookup(AY101, 'Week 1'!$A:$A, 'Week 1'!$I:$I), "")</f>
        <v/>
      </c>
      <c r="BH102" s="153" t="str">
        <f t="shared" ref="BH102:BH108" si="180">iferror(IF(BB102&gt;0, (BB102/(BB102+BG102)), ""),"")</f>
        <v/>
      </c>
      <c r="BI102" s="8"/>
      <c r="BJ102" s="8"/>
      <c r="BK102" s="8"/>
      <c r="BL102" s="8"/>
    </row>
    <row r="103">
      <c r="A103" s="151" t="s">
        <v>7</v>
      </c>
      <c r="B103" s="2" t="str">
        <f t="shared" si="169"/>
        <v/>
      </c>
      <c r="C103" s="152" t="str">
        <f t="array" ref="C103">ifna(xlookup(A101, 'Week 2'!$A:$A, 'Week 2'!$B:$B), "")</f>
        <v/>
      </c>
      <c r="D103" s="152" t="str">
        <f t="array" ref="D103">ifna(xlookup(A101, 'Week 2'!$A:$A, 'Week 2'!$D:$D), "")</f>
        <v/>
      </c>
      <c r="E103" s="152" t="str">
        <f t="array" ref="E103">ifna(xlookup(A101, 'Week 2'!$A:$A, 'Week 2'!$G:$G), "")</f>
        <v/>
      </c>
      <c r="F103" s="152" t="str">
        <f t="array" ref="F103">ifna(xlookup(A101, 'Week 2'!$A:$A, 'Week 2'!$H:$H), "")</f>
        <v/>
      </c>
      <c r="G103" s="152" t="str">
        <f t="array" ref="G103">ifna(xlookup(A101, 'Week 2'!$A:$A, 'Week 2'!$E:$E), "")</f>
        <v/>
      </c>
      <c r="H103" s="152" t="str">
        <f t="array" ref="H103">ifna(xlookup(A101, 'Week 2'!$A:$A, 'Week 2'!$F:$F), "")</f>
        <v/>
      </c>
      <c r="I103" s="152" t="str">
        <f t="array" ref="I103">ifna(xlookup(A101, 'Week 2'!$A:$A, 'Week 2'!$I:$I), "")</f>
        <v/>
      </c>
      <c r="J103" s="153" t="str">
        <f t="shared" si="170"/>
        <v/>
      </c>
      <c r="K103" s="151" t="s">
        <v>7</v>
      </c>
      <c r="L103" s="2" t="str">
        <f t="shared" si="171"/>
        <v/>
      </c>
      <c r="M103" s="152" t="str">
        <f t="array" ref="M103">ifna(xlookup(K101, 'Week 2'!$A:$A, 'Week 2'!$B:$B), "")</f>
        <v/>
      </c>
      <c r="N103" s="152" t="str">
        <f t="array" ref="N103">ifna(xlookup(K101, 'Week 2'!$A:$A, 'Week 2'!$D:$D), "")</f>
        <v/>
      </c>
      <c r="O103" s="152" t="str">
        <f t="array" ref="O103">ifna(xlookup(K101, 'Week 2'!$A:$A, 'Week 2'!$G:$G), "")</f>
        <v/>
      </c>
      <c r="P103" s="152" t="str">
        <f t="array" ref="P103">ifna(xlookup(K101, 'Week 2'!$A:$A, 'Week 2'!$H:$H), "")</f>
        <v/>
      </c>
      <c r="Q103" s="152" t="str">
        <f t="array" ref="Q103">ifna(xlookup(K101, 'Week 2'!$A:$A, 'Week 2'!$E:$E), "")</f>
        <v/>
      </c>
      <c r="R103" s="152" t="str">
        <f t="array" ref="R103">ifna(xlookup(K101, 'Week 2'!$A:$A, 'Week 2'!$F:$F), "")</f>
        <v/>
      </c>
      <c r="S103" s="152" t="str">
        <f t="array" ref="S103">ifna(xlookup(K101, 'Week 2'!$A:$A, 'Week 2'!$I:$I), "")</f>
        <v/>
      </c>
      <c r="T103" s="153" t="str">
        <f t="shared" si="172"/>
        <v/>
      </c>
      <c r="U103" s="151" t="s">
        <v>7</v>
      </c>
      <c r="V103" s="2" t="str">
        <f t="shared" si="173"/>
        <v/>
      </c>
      <c r="W103" s="152" t="str">
        <f t="array" ref="W103">ifna(xlookup(U101, 'Week 2'!$A:$A, 'Week 2'!$B:$B), "")</f>
        <v/>
      </c>
      <c r="X103" s="152" t="str">
        <f t="array" ref="X103">ifna(xlookup(U101, 'Week 2'!$A:$A, 'Week 2'!$D:$D), "")</f>
        <v/>
      </c>
      <c r="Y103" s="152" t="str">
        <f t="array" ref="Y103">ifna(xlookup(U101, 'Week 2'!$A:$A, 'Week 2'!$G:$G), "")</f>
        <v/>
      </c>
      <c r="Z103" s="152" t="str">
        <f t="array" ref="Z103">ifna(xlookup(U101, 'Week 2'!$A:$A, 'Week 2'!$H:$H), "")</f>
        <v/>
      </c>
      <c r="AA103" s="152" t="str">
        <f t="array" ref="AA103">ifna(xlookup(U101, 'Week 2'!$A:$A, 'Week 2'!$E:$E), "")</f>
        <v/>
      </c>
      <c r="AB103" s="152" t="str">
        <f t="array" ref="AB103">ifna(xlookup(U101, 'Week 2'!$A:$A, 'Week 2'!$F:$F), "")</f>
        <v/>
      </c>
      <c r="AC103" s="152" t="str">
        <f t="array" ref="AC103">ifna(xlookup(U101, 'Week 2'!$A:$A, 'Week 2'!$I:$I), "")</f>
        <v/>
      </c>
      <c r="AD103" s="153" t="str">
        <f t="shared" si="174"/>
        <v/>
      </c>
      <c r="AE103" s="151" t="s">
        <v>7</v>
      </c>
      <c r="AF103" s="2" t="str">
        <f t="shared" si="175"/>
        <v/>
      </c>
      <c r="AG103" s="152" t="str">
        <f t="array" ref="AG103">ifna(xlookup(AE101, 'Week 2'!$A:$A, 'Week 2'!$B:$B), "")</f>
        <v/>
      </c>
      <c r="AH103" s="152" t="str">
        <f t="array" ref="AH103">ifna(xlookup(AE101, 'Week 2'!$A:$A, 'Week 2'!$D:$D), "")</f>
        <v/>
      </c>
      <c r="AI103" s="152" t="str">
        <f t="array" ref="AI103">ifna(xlookup(AE101, 'Week 2'!$A:$A, 'Week 2'!$G:$G), "")</f>
        <v/>
      </c>
      <c r="AJ103" s="152" t="str">
        <f t="array" ref="AJ103">ifna(xlookup(AE101, 'Week 2'!$A:$A, 'Week 2'!$H:$H), "")</f>
        <v/>
      </c>
      <c r="AK103" s="152" t="str">
        <f t="array" ref="AK103">ifna(xlookup(AE101, 'Week 2'!$A:$A, 'Week 2'!$E:$E), "")</f>
        <v/>
      </c>
      <c r="AL103" s="152" t="str">
        <f t="array" ref="AL103">ifna(xlookup(AE101, 'Week 2'!$A:$A, 'Week 2'!$F:$F), "")</f>
        <v/>
      </c>
      <c r="AM103" s="152" t="str">
        <f t="array" ref="AM103">ifna(xlookup(AE101, 'Week 2'!$A:$A, 'Week 2'!$I:$I), "")</f>
        <v/>
      </c>
      <c r="AN103" s="153" t="str">
        <f t="shared" si="176"/>
        <v/>
      </c>
      <c r="AO103" s="151" t="s">
        <v>7</v>
      </c>
      <c r="AP103" s="2" t="str">
        <f t="shared" si="177"/>
        <v/>
      </c>
      <c r="AQ103" s="152" t="str">
        <f t="array" ref="AQ103">ifna(xlookup(AO101, 'Week 2'!$A:$A, 'Week 2'!$B:$B), "")</f>
        <v>Win</v>
      </c>
      <c r="AR103" s="152" t="str">
        <f t="array" ref="AR103">ifna(xlookup(AO101, 'Week 2'!$A:$A, 'Week 2'!$D:$D), "")</f>
        <v/>
      </c>
      <c r="AS103" s="152" t="str">
        <f t="array" ref="AS103">ifna(xlookup(AO101, 'Week 2'!$A:$A, 'Week 2'!$G:$G), "")</f>
        <v/>
      </c>
      <c r="AT103" s="152" t="str">
        <f t="array" ref="AT103">ifna(xlookup(AO101, 'Week 2'!$A:$A, 'Week 2'!$H:$H), "")</f>
        <v/>
      </c>
      <c r="AU103" s="152" t="str">
        <f t="array" ref="AU103">ifna(xlookup(AO101, 'Week 2'!$A:$A, 'Week 2'!$E:$E), "")</f>
        <v/>
      </c>
      <c r="AV103" s="152" t="str">
        <f t="array" ref="AV103">ifna(xlookup(AO101, 'Week 2'!$A:$A, 'Week 2'!$F:$F), "")</f>
        <v/>
      </c>
      <c r="AW103" s="152" t="str">
        <f t="array" ref="AW103">ifna(xlookup(AO101, 'Week 2'!$A:$A, 'Week 2'!$I:$I), "")</f>
        <v/>
      </c>
      <c r="AX103" s="153" t="str">
        <f t="shared" si="178"/>
        <v/>
      </c>
      <c r="AY103" s="151" t="s">
        <v>7</v>
      </c>
      <c r="AZ103" s="2" t="str">
        <f t="shared" si="179"/>
        <v/>
      </c>
      <c r="BA103" s="152" t="str">
        <f t="array" ref="BA103">ifna(xlookup(AY101, 'Week 2'!$A:$A, 'Week 2'!$B:$B), "")</f>
        <v>Win</v>
      </c>
      <c r="BB103" s="152" t="str">
        <f t="array" ref="BB103">ifna(xlookup(AY101, 'Week 2'!$A:$A, 'Week 2'!$D:$D), "")</f>
        <v/>
      </c>
      <c r="BC103" s="152" t="str">
        <f t="array" ref="BC103">ifna(xlookup(AY101, 'Week 2'!$A:$A, 'Week 2'!$G:$G), "")</f>
        <v/>
      </c>
      <c r="BD103" s="152" t="str">
        <f t="array" ref="BD103">ifna(xlookup(AY101, 'Week 2'!$A:$A, 'Week 2'!$H:$H), "")</f>
        <v/>
      </c>
      <c r="BE103" s="152" t="str">
        <f t="array" ref="BE103">ifna(xlookup(AY101, 'Week 2'!$A:$A, 'Week 2'!$E:$E), "")</f>
        <v/>
      </c>
      <c r="BF103" s="152" t="str">
        <f t="array" ref="BF103">ifna(xlookup(AY101, 'Week 2'!$A:$A, 'Week 2'!$F:$F), "")</f>
        <v/>
      </c>
      <c r="BG103" s="152" t="str">
        <f t="array" ref="BG103">ifna(xlookup(AY101, 'Week 2'!$A:$A, 'Week 2'!$I:$I), "")</f>
        <v/>
      </c>
      <c r="BH103" s="153" t="str">
        <f t="shared" si="180"/>
        <v/>
      </c>
      <c r="BI103" s="8"/>
      <c r="BJ103" s="8"/>
      <c r="BK103" s="8"/>
      <c r="BL103" s="8"/>
    </row>
    <row r="104">
      <c r="A104" s="151" t="s">
        <v>12</v>
      </c>
      <c r="B104" s="2" t="str">
        <f t="shared" si="169"/>
        <v/>
      </c>
      <c r="C104" s="152" t="str">
        <f t="array" ref="C104">ifna(xlookup(A101, 'Week 3'!$A:$A, 'Week 3'!$B:$B), "")</f>
        <v/>
      </c>
      <c r="D104" s="152" t="str">
        <f t="array" ref="D104">ifna(xlookup(A101, 'Week 3'!$A:$A, 'Week 3'!$D:$D), "")</f>
        <v/>
      </c>
      <c r="E104" s="152" t="str">
        <f t="array" ref="E104">ifna(xlookup(A101, 'Week 3'!$A:$A, 'Week 3'!$G:$G), "")</f>
        <v/>
      </c>
      <c r="F104" s="152" t="str">
        <f t="array" ref="F104">ifna(xlookup(A101, 'Week 3'!$A:$A, 'Week 3'!$H:$H), "")</f>
        <v/>
      </c>
      <c r="G104" s="152" t="str">
        <f t="array" ref="G104">ifna(xlookup(A101, 'Week 3'!$A:$A, 'Week 3'!$E:$E), "")</f>
        <v/>
      </c>
      <c r="H104" s="152" t="str">
        <f t="array" ref="H104">ifna(xlookup(A101, 'Week 3'!$A:$A, 'Week 3'!$F:$F), "")</f>
        <v/>
      </c>
      <c r="I104" s="152" t="str">
        <f t="array" ref="I104">ifna(xlookup(A101, 'Week 3'!$A:$A, 'Week 3'!$I:$I), "")</f>
        <v/>
      </c>
      <c r="J104" s="153" t="str">
        <f t="shared" si="170"/>
        <v/>
      </c>
      <c r="K104" s="151" t="s">
        <v>12</v>
      </c>
      <c r="L104" s="2" t="str">
        <f t="shared" si="171"/>
        <v/>
      </c>
      <c r="M104" s="152" t="str">
        <f t="array" ref="M104">ifna(xlookup(K101, 'Week 3'!$A:$A, 'Week 3'!$B:$B), "")</f>
        <v/>
      </c>
      <c r="N104" s="152" t="str">
        <f t="array" ref="N104">ifna(xlookup(K101, 'Week 3'!$A:$A, 'Week 3'!$D:$D), "")</f>
        <v/>
      </c>
      <c r="O104" s="152" t="str">
        <f t="array" ref="O104">ifna(xlookup(K101, 'Week 3'!$A:$A, 'Week 3'!$G:$G), "")</f>
        <v/>
      </c>
      <c r="P104" s="152" t="str">
        <f t="array" ref="P104">ifna(xlookup(K101, 'Week 3'!$A:$A, 'Week 3'!$H:$H), "")</f>
        <v/>
      </c>
      <c r="Q104" s="152" t="str">
        <f t="array" ref="Q104">ifna(xlookup(K101, 'Week 3'!$A:$A, 'Week 3'!$E:$E), "")</f>
        <v/>
      </c>
      <c r="R104" s="152" t="str">
        <f t="array" ref="R104">ifna(xlookup(K101, 'Week 3'!$A:$A, 'Week 3'!$F:$F), "")</f>
        <v/>
      </c>
      <c r="S104" s="152" t="str">
        <f t="array" ref="S104">ifna(xlookup(K101, 'Week 3'!$A:$A, 'Week 3'!$I:$I), "")</f>
        <v/>
      </c>
      <c r="T104" s="153" t="str">
        <f t="shared" si="172"/>
        <v/>
      </c>
      <c r="U104" s="151" t="s">
        <v>12</v>
      </c>
      <c r="V104" s="2" t="str">
        <f t="shared" si="173"/>
        <v/>
      </c>
      <c r="W104" s="152" t="str">
        <f t="array" ref="W104">ifna(xlookup(U101, 'Week 3'!$A:$A, 'Week 3'!$B:$B), "")</f>
        <v/>
      </c>
      <c r="X104" s="152" t="str">
        <f t="array" ref="X104">ifna(xlookup(U101, 'Week 3'!$A:$A, 'Week 3'!$D:$D), "")</f>
        <v/>
      </c>
      <c r="Y104" s="152" t="str">
        <f t="array" ref="Y104">ifna(xlookup(U101, 'Week 3'!$A:$A, 'Week 3'!$G:$G), "")</f>
        <v/>
      </c>
      <c r="Z104" s="152" t="str">
        <f t="array" ref="Z104">ifna(xlookup(U101, 'Week 3'!$A:$A, 'Week 3'!$H:$H), "")</f>
        <v/>
      </c>
      <c r="AA104" s="152" t="str">
        <f t="array" ref="AA104">ifna(xlookup(U101, 'Week 3'!$A:$A, 'Week 3'!$E:$E), "")</f>
        <v/>
      </c>
      <c r="AB104" s="152" t="str">
        <f t="array" ref="AB104">ifna(xlookup(U101, 'Week 3'!$A:$A, 'Week 3'!$F:$F), "")</f>
        <v/>
      </c>
      <c r="AC104" s="152" t="str">
        <f t="array" ref="AC104">ifna(xlookup(U101, 'Week 3'!$A:$A, 'Week 3'!$I:$I), "")</f>
        <v/>
      </c>
      <c r="AD104" s="153" t="str">
        <f t="shared" si="174"/>
        <v/>
      </c>
      <c r="AE104" s="151" t="s">
        <v>12</v>
      </c>
      <c r="AF104" s="2" t="str">
        <f t="shared" si="175"/>
        <v/>
      </c>
      <c r="AG104" s="152" t="str">
        <f t="array" ref="AG104">ifna(xlookup(AE101, 'Week 3'!$A:$A, 'Week 3'!$B:$B), "")</f>
        <v/>
      </c>
      <c r="AH104" s="152" t="str">
        <f t="array" ref="AH104">ifna(xlookup(AE101, 'Week 3'!$A:$A, 'Week 3'!$D:$D), "")</f>
        <v/>
      </c>
      <c r="AI104" s="152" t="str">
        <f t="array" ref="AI104">ifna(xlookup(AE101, 'Week 3'!$A:$A, 'Week 3'!$G:$G), "")</f>
        <v/>
      </c>
      <c r="AJ104" s="152" t="str">
        <f t="array" ref="AJ104">ifna(xlookup(AE101, 'Week 3'!$A:$A, 'Week 3'!$H:$H), "")</f>
        <v/>
      </c>
      <c r="AK104" s="152" t="str">
        <f t="array" ref="AK104">ifna(xlookup(AE101, 'Week 3'!$A:$A, 'Week 3'!$E:$E), "")</f>
        <v/>
      </c>
      <c r="AL104" s="152" t="str">
        <f t="array" ref="AL104">ifna(xlookup(AE101, 'Week 3'!$A:$A, 'Week 3'!$F:$F), "")</f>
        <v/>
      </c>
      <c r="AM104" s="152" t="str">
        <f t="array" ref="AM104">ifna(xlookup(AE101, 'Week 3'!$A:$A, 'Week 3'!$I:$I), "")</f>
        <v/>
      </c>
      <c r="AN104" s="153" t="str">
        <f t="shared" si="176"/>
        <v/>
      </c>
      <c r="AO104" s="151" t="s">
        <v>12</v>
      </c>
      <c r="AP104" s="2" t="str">
        <f t="shared" si="177"/>
        <v/>
      </c>
      <c r="AQ104" s="152" t="str">
        <f t="array" ref="AQ104">ifna(xlookup(AO101, 'Week 3'!$A:$A, 'Week 3'!$B:$B), "")</f>
        <v>Win</v>
      </c>
      <c r="AR104" s="152" t="str">
        <f t="array" ref="AR104">ifna(xlookup(AO101, 'Week 3'!$A:$A, 'Week 3'!$D:$D), "")</f>
        <v/>
      </c>
      <c r="AS104" s="152" t="str">
        <f t="array" ref="AS104">ifna(xlookup(AO101, 'Week 3'!$A:$A, 'Week 3'!$G:$G), "")</f>
        <v/>
      </c>
      <c r="AT104" s="152" t="str">
        <f t="array" ref="AT104">ifna(xlookup(AO101, 'Week 3'!$A:$A, 'Week 3'!$H:$H), "")</f>
        <v/>
      </c>
      <c r="AU104" s="152" t="str">
        <f t="array" ref="AU104">ifna(xlookup(AO101, 'Week 3'!$A:$A, 'Week 3'!$E:$E), "")</f>
        <v/>
      </c>
      <c r="AV104" s="152" t="str">
        <f t="array" ref="AV104">ifna(xlookup(AO101, 'Week 3'!$A:$A, 'Week 3'!$F:$F), "")</f>
        <v/>
      </c>
      <c r="AW104" s="152" t="str">
        <f t="array" ref="AW104">ifna(xlookup(AO101, 'Week 3'!$A:$A, 'Week 3'!$I:$I), "")</f>
        <v/>
      </c>
      <c r="AX104" s="153" t="str">
        <f t="shared" si="178"/>
        <v/>
      </c>
      <c r="AY104" s="151" t="s">
        <v>12</v>
      </c>
      <c r="AZ104" s="2" t="str">
        <f t="shared" si="179"/>
        <v>Yes</v>
      </c>
      <c r="BA104" s="152" t="str">
        <f t="array" ref="BA104">ifna(xlookup(AY101, 'Week 3'!$A:$A, 'Week 3'!$B:$B), "")</f>
        <v>Loss</v>
      </c>
      <c r="BB104" s="152">
        <f t="array" ref="BB104">ifna(xlookup(AY101, 'Week 3'!$A:$A, 'Week 3'!$D:$D), "")</f>
        <v>11</v>
      </c>
      <c r="BC104" s="152">
        <f t="array" ref="BC104">ifna(xlookup(AY101, 'Week 3'!$A:$A, 'Week 3'!$G:$G), "")</f>
        <v>4</v>
      </c>
      <c r="BD104" s="152">
        <f t="array" ref="BD104">ifna(xlookup(AY101, 'Week 3'!$A:$A, 'Week 3'!$H:$H), "")</f>
        <v>0</v>
      </c>
      <c r="BE104" s="152">
        <f t="array" ref="BE104">ifna(xlookup(AY101, 'Week 3'!$A:$A, 'Week 3'!$E:$E), "")</f>
        <v>6</v>
      </c>
      <c r="BF104" s="152">
        <f t="array" ref="BF104">ifna(xlookup(AY101, 'Week 3'!$A:$A, 'Week 3'!$F:$F), "")</f>
        <v>1</v>
      </c>
      <c r="BG104" s="152">
        <f t="array" ref="BG104">ifna(xlookup(AY101, 'Week 3'!$A:$A, 'Week 3'!$I:$I), "")</f>
        <v>26</v>
      </c>
      <c r="BH104" s="153">
        <f t="shared" si="180"/>
        <v>0.2972972973</v>
      </c>
      <c r="BI104" s="8"/>
      <c r="BJ104" s="8"/>
      <c r="BK104" s="8"/>
      <c r="BL104" s="8"/>
    </row>
    <row r="105">
      <c r="A105" s="151" t="s">
        <v>17</v>
      </c>
      <c r="B105" s="2" t="str">
        <f t="shared" si="169"/>
        <v/>
      </c>
      <c r="C105" s="152" t="str">
        <f t="array" ref="C105">ifna(xlookup(A101, 'Week 4'!$A:$A, 'Week 4'!$B:$B), "")</f>
        <v/>
      </c>
      <c r="D105" s="152" t="str">
        <f t="array" ref="D105">ifna(xlookup(A101, 'Week 4'!$A:$A, 'Week 4'!$D:$D), "")</f>
        <v/>
      </c>
      <c r="E105" s="152" t="str">
        <f t="array" ref="E105">ifna(xlookup(A101, 'Week 4'!$A:$A, 'Week 4'!$G:$G), "")</f>
        <v/>
      </c>
      <c r="F105" s="152" t="str">
        <f t="array" ref="F105">ifna(xlookup(A101, 'Week 4'!$A:$A, 'Week 4'!$H:$H), "")</f>
        <v/>
      </c>
      <c r="G105" s="152" t="str">
        <f t="array" ref="G105">ifna(xlookup(A101, 'Week 4'!$A:$A, 'Week 4'!$E:$E), "")</f>
        <v/>
      </c>
      <c r="H105" s="152" t="str">
        <f t="array" ref="H105">ifna(xlookup(A101, 'Week 4'!$A:$A, 'Week 4'!$F:$F), "")</f>
        <v/>
      </c>
      <c r="I105" s="152" t="str">
        <f t="array" ref="I105">ifna(xlookup(A101, 'Week 4'!$A:$A, 'Week 4'!$I:$I), "")</f>
        <v/>
      </c>
      <c r="J105" s="153" t="str">
        <f t="shared" si="170"/>
        <v/>
      </c>
      <c r="K105" s="151" t="s">
        <v>17</v>
      </c>
      <c r="L105" s="2" t="str">
        <f t="shared" si="171"/>
        <v/>
      </c>
      <c r="M105" s="152" t="str">
        <f t="array" ref="M105">ifna(xlookup(K101, 'Week 4'!$A:$A, 'Week 4'!$B:$B), "")</f>
        <v/>
      </c>
      <c r="N105" s="152" t="str">
        <f t="array" ref="N105">ifna(xlookup(K101, 'Week 4'!$A:$A, 'Week 4'!$D:$D), "")</f>
        <v/>
      </c>
      <c r="O105" s="152" t="str">
        <f t="array" ref="O105">ifna(xlookup(K101, 'Week 4'!$A:$A, 'Week 4'!$G:$G), "")</f>
        <v/>
      </c>
      <c r="P105" s="152" t="str">
        <f t="array" ref="P105">ifna(xlookup(K101, 'Week 4'!$A:$A, 'Week 4'!$H:$H), "")</f>
        <v/>
      </c>
      <c r="Q105" s="152" t="str">
        <f t="array" ref="Q105">ifna(xlookup(K101, 'Week 4'!$A:$A, 'Week 4'!$E:$E), "")</f>
        <v/>
      </c>
      <c r="R105" s="152" t="str">
        <f t="array" ref="R105">ifna(xlookup(K101, 'Week 4'!$A:$A, 'Week 4'!$F:$F), "")</f>
        <v/>
      </c>
      <c r="S105" s="152" t="str">
        <f t="array" ref="S105">ifna(xlookup(K101, 'Week 4'!$A:$A, 'Week 4'!$I:$I), "")</f>
        <v/>
      </c>
      <c r="T105" s="153" t="str">
        <f t="shared" si="172"/>
        <v/>
      </c>
      <c r="U105" s="151" t="s">
        <v>17</v>
      </c>
      <c r="V105" s="2" t="str">
        <f t="shared" si="173"/>
        <v/>
      </c>
      <c r="W105" s="152" t="str">
        <f t="array" ref="W105">ifna(xlookup(U101, 'Week 4'!$A:$A, 'Week 4'!$B:$B), "")</f>
        <v/>
      </c>
      <c r="X105" s="152" t="str">
        <f t="array" ref="X105">ifna(xlookup(U101, 'Week 4'!$A:$A, 'Week 4'!$D:$D), "")</f>
        <v/>
      </c>
      <c r="Y105" s="152" t="str">
        <f t="array" ref="Y105">ifna(xlookup(U101, 'Week 4'!$A:$A, 'Week 4'!$G:$G), "")</f>
        <v/>
      </c>
      <c r="Z105" s="152" t="str">
        <f t="array" ref="Z105">ifna(xlookup(U101, 'Week 4'!$A:$A, 'Week 4'!$H:$H), "")</f>
        <v/>
      </c>
      <c r="AA105" s="152" t="str">
        <f t="array" ref="AA105">ifna(xlookup(U101, 'Week 4'!$A:$A, 'Week 4'!$E:$E), "")</f>
        <v/>
      </c>
      <c r="AB105" s="152" t="str">
        <f t="array" ref="AB105">ifna(xlookup(U101, 'Week 4'!$A:$A, 'Week 4'!$F:$F), "")</f>
        <v/>
      </c>
      <c r="AC105" s="152" t="str">
        <f t="array" ref="AC105">ifna(xlookup(U101, 'Week 4'!$A:$A, 'Week 4'!$I:$I), "")</f>
        <v/>
      </c>
      <c r="AD105" s="153" t="str">
        <f t="shared" si="174"/>
        <v/>
      </c>
      <c r="AE105" s="151" t="s">
        <v>17</v>
      </c>
      <c r="AF105" s="2" t="str">
        <f t="shared" si="175"/>
        <v/>
      </c>
      <c r="AG105" s="152" t="str">
        <f t="array" ref="AG105">ifna(xlookup(AE101, 'Week 4'!$A:$A, 'Week 4'!$B:$B), "")</f>
        <v/>
      </c>
      <c r="AH105" s="152" t="str">
        <f t="array" ref="AH105">ifna(xlookup(AE101, 'Week 4'!$A:$A, 'Week 4'!$D:$D), "")</f>
        <v/>
      </c>
      <c r="AI105" s="152" t="str">
        <f t="array" ref="AI105">ifna(xlookup(AE101, 'Week 4'!$A:$A, 'Week 4'!$G:$G), "")</f>
        <v/>
      </c>
      <c r="AJ105" s="152" t="str">
        <f t="array" ref="AJ105">ifna(xlookup(AE101, 'Week 4'!$A:$A, 'Week 4'!$H:$H), "")</f>
        <v/>
      </c>
      <c r="AK105" s="152" t="str">
        <f t="array" ref="AK105">ifna(xlookup(AE101, 'Week 4'!$A:$A, 'Week 4'!$E:$E), "")</f>
        <v/>
      </c>
      <c r="AL105" s="152" t="str">
        <f t="array" ref="AL105">ifna(xlookup(AE101, 'Week 4'!$A:$A, 'Week 4'!$F:$F), "")</f>
        <v/>
      </c>
      <c r="AM105" s="152" t="str">
        <f t="array" ref="AM105">ifna(xlookup(AE101, 'Week 4'!$A:$A, 'Week 4'!$I:$I), "")</f>
        <v/>
      </c>
      <c r="AN105" s="153" t="str">
        <f t="shared" si="176"/>
        <v/>
      </c>
      <c r="AO105" s="151" t="s">
        <v>17</v>
      </c>
      <c r="AP105" s="2" t="str">
        <f t="shared" si="177"/>
        <v/>
      </c>
      <c r="AQ105" s="152" t="str">
        <f t="array" ref="AQ105">ifna(xlookup(AO101, 'Week 4'!$A:$A, 'Week 4'!$B:$B), "")</f>
        <v>Win</v>
      </c>
      <c r="AR105" s="152" t="str">
        <f t="array" ref="AR105">ifna(xlookup(AO101, 'Week 4'!$A:$A, 'Week 4'!$D:$D), "")</f>
        <v/>
      </c>
      <c r="AS105" s="152" t="str">
        <f t="array" ref="AS105">ifna(xlookup(AO101, 'Week 4'!$A:$A, 'Week 4'!$G:$G), "")</f>
        <v/>
      </c>
      <c r="AT105" s="152" t="str">
        <f t="array" ref="AT105">ifna(xlookup(AO101, 'Week 4'!$A:$A, 'Week 4'!$H:$H), "")</f>
        <v/>
      </c>
      <c r="AU105" s="152" t="str">
        <f t="array" ref="AU105">ifna(xlookup(AO101, 'Week 4'!$A:$A, 'Week 4'!$E:$E), "")</f>
        <v/>
      </c>
      <c r="AV105" s="152" t="str">
        <f t="array" ref="AV105">ifna(xlookup(AO101, 'Week 4'!$A:$A, 'Week 4'!$F:$F), "")</f>
        <v/>
      </c>
      <c r="AW105" s="152" t="str">
        <f t="array" ref="AW105">ifna(xlookup(AO101, 'Week 4'!$A:$A, 'Week 4'!$I:$I), "")</f>
        <v/>
      </c>
      <c r="AX105" s="153" t="str">
        <f t="shared" si="178"/>
        <v/>
      </c>
      <c r="AY105" s="151" t="s">
        <v>17</v>
      </c>
      <c r="AZ105" s="2" t="str">
        <f t="shared" si="179"/>
        <v/>
      </c>
      <c r="BA105" s="152" t="str">
        <f t="array" ref="BA105">ifna(xlookup(AY101, 'Week 4'!$A:$A, 'Week 4'!$B:$B), "")</f>
        <v>Loss</v>
      </c>
      <c r="BB105" s="152" t="str">
        <f t="array" ref="BB105">ifna(xlookup(AY101, 'Week 4'!$A:$A, 'Week 4'!$D:$D), "")</f>
        <v/>
      </c>
      <c r="BC105" s="152" t="str">
        <f t="array" ref="BC105">ifna(xlookup(AY101, 'Week 4'!$A:$A, 'Week 4'!$G:$G), "")</f>
        <v/>
      </c>
      <c r="BD105" s="152" t="str">
        <f t="array" ref="BD105">ifna(xlookup(AY101, 'Week 4'!$A:$A, 'Week 4'!$H:$H), "")</f>
        <v/>
      </c>
      <c r="BE105" s="152" t="str">
        <f t="array" ref="BE105">ifna(xlookup(AY101, 'Week 4'!$A:$A, 'Week 4'!$E:$E), "")</f>
        <v/>
      </c>
      <c r="BF105" s="152" t="str">
        <f t="array" ref="BF105">ifna(xlookup(AY101, 'Week 4'!$A:$A, 'Week 4'!$F:$F), "")</f>
        <v/>
      </c>
      <c r="BG105" s="152" t="str">
        <f t="array" ref="BG105">ifna(xlookup(AY101, 'Week 4'!$A:$A, 'Week 4'!$I:$I), "")</f>
        <v/>
      </c>
      <c r="BH105" s="153" t="str">
        <f t="shared" si="180"/>
        <v/>
      </c>
      <c r="BI105" s="8"/>
      <c r="BJ105" s="8"/>
      <c r="BK105" s="8"/>
      <c r="BL105" s="8"/>
    </row>
    <row r="106">
      <c r="A106" s="151" t="s">
        <v>20</v>
      </c>
      <c r="B106" s="2" t="str">
        <f t="shared" si="169"/>
        <v/>
      </c>
      <c r="C106" s="152" t="str">
        <f t="array" ref="C106">ifna(xlookup(A101, 'Week 5'!$A:$A, 'Week 5'!$B:$B), "")</f>
        <v/>
      </c>
      <c r="D106" s="152" t="str">
        <f t="array" ref="D106">ifna(xlookup(A101, 'Week 5'!$A:$A, 'Week 5'!$D:$D), "")</f>
        <v/>
      </c>
      <c r="E106" s="152" t="str">
        <f t="array" ref="E106">ifna(xlookup(A101, 'Week 5'!$A:$A, 'Week 5'!$G:$G), "")</f>
        <v/>
      </c>
      <c r="F106" s="152" t="str">
        <f t="array" ref="F106">ifna(xlookup(A101, 'Week 5'!$A:$A, 'Week 5'!$H:$H), "")</f>
        <v/>
      </c>
      <c r="G106" s="152" t="str">
        <f t="array" ref="G106">ifna(xlookup(A101, 'Week 5'!$A:$A, 'Week 5'!$E:$E), "")</f>
        <v/>
      </c>
      <c r="H106" s="152" t="str">
        <f t="array" ref="H106">ifna(xlookup(A101, 'Week 5'!$A:$A, 'Week 5'!$F:$F), "")</f>
        <v/>
      </c>
      <c r="I106" s="152" t="str">
        <f t="array" ref="I106">ifna(xlookup(A101, 'Week 5'!$A:$A, 'Week 5'!$I:$I), "")</f>
        <v/>
      </c>
      <c r="J106" s="153" t="str">
        <f t="shared" si="170"/>
        <v/>
      </c>
      <c r="K106" s="151" t="s">
        <v>20</v>
      </c>
      <c r="L106" s="2" t="str">
        <f t="shared" si="171"/>
        <v/>
      </c>
      <c r="M106" s="152" t="str">
        <f t="array" ref="M106">ifna(xlookup(K101, 'Week 5'!$A:$A, 'Week 5'!$B:$B), "")</f>
        <v/>
      </c>
      <c r="N106" s="152" t="str">
        <f t="array" ref="N106">ifna(xlookup(K101, 'Week 5'!$A:$A, 'Week 5'!$D:$D), "")</f>
        <v/>
      </c>
      <c r="O106" s="152" t="str">
        <f t="array" ref="O106">ifna(xlookup(K101, 'Week 5'!$A:$A, 'Week 5'!$G:$G), "")</f>
        <v/>
      </c>
      <c r="P106" s="152" t="str">
        <f t="array" ref="P106">ifna(xlookup(K101, 'Week 5'!$A:$A, 'Week 5'!$H:$H), "")</f>
        <v/>
      </c>
      <c r="Q106" s="152" t="str">
        <f t="array" ref="Q106">ifna(xlookup(K101, 'Week 5'!$A:$A, 'Week 5'!$E:$E), "")</f>
        <v/>
      </c>
      <c r="R106" s="152" t="str">
        <f t="array" ref="R106">ifna(xlookup(K101, 'Week 5'!$A:$A, 'Week 5'!$F:$F), "")</f>
        <v/>
      </c>
      <c r="S106" s="152" t="str">
        <f t="array" ref="S106">ifna(xlookup(K101, 'Week 5'!$A:$A, 'Week 5'!$I:$I), "")</f>
        <v/>
      </c>
      <c r="T106" s="153" t="str">
        <f t="shared" si="172"/>
        <v/>
      </c>
      <c r="U106" s="151" t="s">
        <v>20</v>
      </c>
      <c r="V106" s="2" t="str">
        <f t="shared" si="173"/>
        <v/>
      </c>
      <c r="W106" s="152" t="str">
        <f t="array" ref="W106">ifna(xlookup(U101, 'Week 5'!$A:$A, 'Week 5'!$B:$B), "")</f>
        <v/>
      </c>
      <c r="X106" s="152" t="str">
        <f t="array" ref="X106">ifna(xlookup(U101, 'Week 5'!$A:$A, 'Week 5'!$D:$D), "")</f>
        <v/>
      </c>
      <c r="Y106" s="152" t="str">
        <f t="array" ref="Y106">ifna(xlookup(U101, 'Week 5'!$A:$A, 'Week 5'!$G:$G), "")</f>
        <v/>
      </c>
      <c r="Z106" s="152" t="str">
        <f t="array" ref="Z106">ifna(xlookup(U101, 'Week 5'!$A:$A, 'Week 5'!$H:$H), "")</f>
        <v/>
      </c>
      <c r="AA106" s="152" t="str">
        <f t="array" ref="AA106">ifna(xlookup(U101, 'Week 5'!$A:$A, 'Week 5'!$E:$E), "")</f>
        <v/>
      </c>
      <c r="AB106" s="152" t="str">
        <f t="array" ref="AB106">ifna(xlookup(U101, 'Week 5'!$A:$A, 'Week 5'!$F:$F), "")</f>
        <v/>
      </c>
      <c r="AC106" s="152" t="str">
        <f t="array" ref="AC106">ifna(xlookup(U101, 'Week 5'!$A:$A, 'Week 5'!$I:$I), "")</f>
        <v/>
      </c>
      <c r="AD106" s="153" t="str">
        <f t="shared" si="174"/>
        <v/>
      </c>
      <c r="AE106" s="151" t="s">
        <v>20</v>
      </c>
      <c r="AF106" s="2" t="str">
        <f t="shared" si="175"/>
        <v/>
      </c>
      <c r="AG106" s="152" t="str">
        <f t="array" ref="AG106">ifna(xlookup(AE101, 'Week 5'!$A:$A, 'Week 5'!$B:$B), "")</f>
        <v/>
      </c>
      <c r="AH106" s="152" t="str">
        <f t="array" ref="AH106">ifna(xlookup(AE101, 'Week 5'!$A:$A, 'Week 5'!$D:$D), "")</f>
        <v/>
      </c>
      <c r="AI106" s="152" t="str">
        <f t="array" ref="AI106">ifna(xlookup(AE101, 'Week 5'!$A:$A, 'Week 5'!$G:$G), "")</f>
        <v/>
      </c>
      <c r="AJ106" s="152" t="str">
        <f t="array" ref="AJ106">ifna(xlookup(AE101, 'Week 5'!$A:$A, 'Week 5'!$H:$H), "")</f>
        <v/>
      </c>
      <c r="AK106" s="152" t="str">
        <f t="array" ref="AK106">ifna(xlookup(AE101, 'Week 5'!$A:$A, 'Week 5'!$E:$E), "")</f>
        <v/>
      </c>
      <c r="AL106" s="152" t="str">
        <f t="array" ref="AL106">ifna(xlookup(AE101, 'Week 5'!$A:$A, 'Week 5'!$F:$F), "")</f>
        <v/>
      </c>
      <c r="AM106" s="152" t="str">
        <f t="array" ref="AM106">ifna(xlookup(AE101, 'Week 5'!$A:$A, 'Week 5'!$I:$I), "")</f>
        <v/>
      </c>
      <c r="AN106" s="153" t="str">
        <f t="shared" si="176"/>
        <v/>
      </c>
      <c r="AO106" s="151" t="s">
        <v>20</v>
      </c>
      <c r="AP106" s="2" t="str">
        <f t="shared" si="177"/>
        <v/>
      </c>
      <c r="AQ106" s="152" t="str">
        <f t="array" ref="AQ106">ifna(xlookup(AO101, 'Week 5'!$A:$A, 'Week 5'!$B:$B), "")</f>
        <v>Win</v>
      </c>
      <c r="AR106" s="152" t="str">
        <f t="array" ref="AR106">ifna(xlookup(AO101, 'Week 5'!$A:$A, 'Week 5'!$D:$D), "")</f>
        <v/>
      </c>
      <c r="AS106" s="152" t="str">
        <f t="array" ref="AS106">ifna(xlookup(AO101, 'Week 5'!$A:$A, 'Week 5'!$G:$G), "")</f>
        <v/>
      </c>
      <c r="AT106" s="152" t="str">
        <f t="array" ref="AT106">ifna(xlookup(AO101, 'Week 5'!$A:$A, 'Week 5'!$H:$H), "")</f>
        <v/>
      </c>
      <c r="AU106" s="152" t="str">
        <f t="array" ref="AU106">ifna(xlookup(AO101, 'Week 5'!$A:$A, 'Week 5'!$E:$E), "")</f>
        <v/>
      </c>
      <c r="AV106" s="152" t="str">
        <f t="array" ref="AV106">ifna(xlookup(AO101, 'Week 5'!$A:$A, 'Week 5'!$F:$F), "")</f>
        <v/>
      </c>
      <c r="AW106" s="152" t="str">
        <f t="array" ref="AW106">ifna(xlookup(AO101, 'Week 5'!$A:$A, 'Week 5'!$I:$I), "")</f>
        <v/>
      </c>
      <c r="AX106" s="153" t="str">
        <f t="shared" si="178"/>
        <v/>
      </c>
      <c r="AY106" s="151" t="s">
        <v>20</v>
      </c>
      <c r="AZ106" s="2" t="str">
        <f t="shared" si="179"/>
        <v>Yes</v>
      </c>
      <c r="BA106" s="152" t="str">
        <f t="array" ref="BA106">ifna(xlookup(AY101, 'Week 5'!$A:$A, 'Week 5'!$B:$B), "")</f>
        <v>Loss</v>
      </c>
      <c r="BB106" s="152">
        <f t="array" ref="BB106">ifna(xlookup(AY101, 'Week 5'!$A:$A, 'Week 5'!$D:$D), "")</f>
        <v>7</v>
      </c>
      <c r="BC106" s="152">
        <f t="array" ref="BC106">ifna(xlookup(AY101, 'Week 5'!$A:$A, 'Week 5'!$G:$G), "")</f>
        <v>6</v>
      </c>
      <c r="BD106" s="152">
        <f t="array" ref="BD106">ifna(xlookup(AY101, 'Week 5'!$A:$A, 'Week 5'!$H:$H), "")</f>
        <v>0</v>
      </c>
      <c r="BE106" s="152">
        <f t="array" ref="BE106">ifna(xlookup(AY101, 'Week 5'!$A:$A, 'Week 5'!$E:$E), "")</f>
        <v>1</v>
      </c>
      <c r="BF106" s="152">
        <f t="array" ref="BF106">ifna(xlookup(AY101, 'Week 5'!$A:$A, 'Week 5'!$F:$F), "")</f>
        <v>0</v>
      </c>
      <c r="BG106" s="152">
        <f t="array" ref="BG106">ifna(xlookup(AY101, 'Week 5'!$A:$A, 'Week 5'!$I:$I), "")</f>
        <v>33</v>
      </c>
      <c r="BH106" s="153">
        <f t="shared" si="180"/>
        <v>0.175</v>
      </c>
      <c r="BI106" s="8"/>
      <c r="BJ106" s="8"/>
      <c r="BK106" s="8"/>
      <c r="BL106" s="8"/>
    </row>
    <row r="107">
      <c r="A107" s="151" t="s">
        <v>23</v>
      </c>
      <c r="B107" s="2" t="str">
        <f t="shared" si="169"/>
        <v/>
      </c>
      <c r="C107" s="152" t="str">
        <f t="array" ref="C107">ifna(xlookup(A101, 'Week 6'!$A:$A, 'Week 6'!$B:$B), "")</f>
        <v/>
      </c>
      <c r="D107" s="152" t="str">
        <f t="array" ref="D107">ifna(xlookup(A101, 'Week 6'!$A:$A, 'Week 6'!$D:$D), "")</f>
        <v/>
      </c>
      <c r="E107" s="152" t="str">
        <f t="array" ref="E107">ifna(xlookup(A101, 'Week 6'!$A:$A, 'Week 6'!$G:$G), "")</f>
        <v/>
      </c>
      <c r="F107" s="152" t="str">
        <f t="array" ref="F107">ifna(xlookup(A101, 'Week 6'!$A:$A, 'Week 6'!$H:$H), "")</f>
        <v/>
      </c>
      <c r="G107" s="152" t="str">
        <f t="array" ref="G107">ifna(xlookup(A101, 'Week 6'!$A:$A, 'Week 6'!$E:$E), "")</f>
        <v/>
      </c>
      <c r="H107" s="152" t="str">
        <f t="array" ref="H107">ifna(xlookup(A101, 'Week 6'!$A:$A, 'Week 6'!$F:$F), "")</f>
        <v/>
      </c>
      <c r="I107" s="152" t="str">
        <f t="array" ref="I107">ifna(xlookup(A101, 'Week 6'!$A:$A, 'Week 6'!$I:$I), "")</f>
        <v/>
      </c>
      <c r="J107" s="153" t="str">
        <f t="shared" si="170"/>
        <v/>
      </c>
      <c r="K107" s="151" t="s">
        <v>23</v>
      </c>
      <c r="L107" s="2" t="str">
        <f t="shared" si="171"/>
        <v/>
      </c>
      <c r="M107" s="152" t="str">
        <f t="array" ref="M107">ifna(xlookup(K101, 'Week 6'!$A:$A, 'Week 6'!$B:$B), "")</f>
        <v/>
      </c>
      <c r="N107" s="152" t="str">
        <f t="array" ref="N107">ifna(xlookup(K101, 'Week 6'!$A:$A, 'Week 6'!$D:$D), "")</f>
        <v/>
      </c>
      <c r="O107" s="152" t="str">
        <f t="array" ref="O107">ifna(xlookup(K101, 'Week 6'!$A:$A, 'Week 6'!$G:$G), "")</f>
        <v/>
      </c>
      <c r="P107" s="152" t="str">
        <f t="array" ref="P107">ifna(xlookup(K101, 'Week 6'!$A:$A, 'Week 6'!$H:$H), "")</f>
        <v/>
      </c>
      <c r="Q107" s="152" t="str">
        <f t="array" ref="Q107">ifna(xlookup(K101, 'Week 6'!$A:$A, 'Week 6'!$E:$E), "")</f>
        <v/>
      </c>
      <c r="R107" s="152" t="str">
        <f t="array" ref="R107">ifna(xlookup(K101, 'Week 6'!$A:$A, 'Week 6'!$F:$F), "")</f>
        <v/>
      </c>
      <c r="S107" s="152" t="str">
        <f t="array" ref="S107">ifna(xlookup(K101, 'Week 6'!$A:$A, 'Week 6'!$I:$I), "")</f>
        <v/>
      </c>
      <c r="T107" s="153" t="str">
        <f t="shared" si="172"/>
        <v/>
      </c>
      <c r="U107" s="151" t="s">
        <v>23</v>
      </c>
      <c r="V107" s="2" t="str">
        <f t="shared" si="173"/>
        <v/>
      </c>
      <c r="W107" s="152" t="str">
        <f t="array" ref="W107">ifna(xlookup(U101, 'Week 6'!$A:$A, 'Week 6'!$B:$B), "")</f>
        <v/>
      </c>
      <c r="X107" s="152" t="str">
        <f t="array" ref="X107">ifna(xlookup(U101, 'Week 6'!$A:$A, 'Week 6'!$D:$D), "")</f>
        <v/>
      </c>
      <c r="Y107" s="152" t="str">
        <f t="array" ref="Y107">ifna(xlookup(U101, 'Week 6'!$A:$A, 'Week 6'!$G:$G), "")</f>
        <v/>
      </c>
      <c r="Z107" s="152" t="str">
        <f t="array" ref="Z107">ifna(xlookup(U101, 'Week 6'!$A:$A, 'Week 6'!$H:$H), "")</f>
        <v/>
      </c>
      <c r="AA107" s="152" t="str">
        <f t="array" ref="AA107">ifna(xlookup(U101, 'Week 6'!$A:$A, 'Week 6'!$E:$E), "")</f>
        <v/>
      </c>
      <c r="AB107" s="152" t="str">
        <f t="array" ref="AB107">ifna(xlookup(U101, 'Week 6'!$A:$A, 'Week 6'!$F:$F), "")</f>
        <v/>
      </c>
      <c r="AC107" s="152" t="str">
        <f t="array" ref="AC107">ifna(xlookup(U101, 'Week 6'!$A:$A, 'Week 6'!$I:$I), "")</f>
        <v/>
      </c>
      <c r="AD107" s="153" t="str">
        <f t="shared" si="174"/>
        <v/>
      </c>
      <c r="AE107" s="151" t="s">
        <v>23</v>
      </c>
      <c r="AF107" s="2" t="str">
        <f t="shared" si="175"/>
        <v/>
      </c>
      <c r="AG107" s="152" t="str">
        <f t="array" ref="AG107">ifna(xlookup(AE101, 'Week 6'!$A:$A, 'Week 6'!$B:$B), "")</f>
        <v/>
      </c>
      <c r="AH107" s="152" t="str">
        <f t="array" ref="AH107">ifna(xlookup(AE101, 'Week 6'!$A:$A, 'Week 6'!$D:$D), "")</f>
        <v/>
      </c>
      <c r="AI107" s="152" t="str">
        <f t="array" ref="AI107">ifna(xlookup(AE101, 'Week 6'!$A:$A, 'Week 6'!$G:$G), "")</f>
        <v/>
      </c>
      <c r="AJ107" s="152" t="str">
        <f t="array" ref="AJ107">ifna(xlookup(AE101, 'Week 6'!$A:$A, 'Week 6'!$H:$H), "")</f>
        <v/>
      </c>
      <c r="AK107" s="152" t="str">
        <f t="array" ref="AK107">ifna(xlookup(AE101, 'Week 6'!$A:$A, 'Week 6'!$E:$E), "")</f>
        <v/>
      </c>
      <c r="AL107" s="152" t="str">
        <f t="array" ref="AL107">ifna(xlookup(AE101, 'Week 6'!$A:$A, 'Week 6'!$F:$F), "")</f>
        <v/>
      </c>
      <c r="AM107" s="152" t="str">
        <f t="array" ref="AM107">ifna(xlookup(AE101, 'Week 6'!$A:$A, 'Week 6'!$I:$I), "")</f>
        <v/>
      </c>
      <c r="AN107" s="153" t="str">
        <f t="shared" si="176"/>
        <v/>
      </c>
      <c r="AO107" s="151" t="s">
        <v>23</v>
      </c>
      <c r="AP107" s="2" t="str">
        <f t="shared" si="177"/>
        <v/>
      </c>
      <c r="AQ107" s="152" t="str">
        <f t="array" ref="AQ107">ifna(xlookup(AO101, 'Week 6'!$A:$A, 'Week 6'!$B:$B), "")</f>
        <v>Win</v>
      </c>
      <c r="AR107" s="152" t="str">
        <f t="array" ref="AR107">ifna(xlookup(AO101, 'Week 6'!$A:$A, 'Week 6'!$D:$D), "")</f>
        <v/>
      </c>
      <c r="AS107" s="152" t="str">
        <f t="array" ref="AS107">ifna(xlookup(AO101, 'Week 6'!$A:$A, 'Week 6'!$G:$G), "")</f>
        <v/>
      </c>
      <c r="AT107" s="152" t="str">
        <f t="array" ref="AT107">ifna(xlookup(AO101, 'Week 6'!$A:$A, 'Week 6'!$H:$H), "")</f>
        <v/>
      </c>
      <c r="AU107" s="152" t="str">
        <f t="array" ref="AU107">ifna(xlookup(AO101, 'Week 6'!$A:$A, 'Week 6'!$E:$E), "")</f>
        <v/>
      </c>
      <c r="AV107" s="152" t="str">
        <f t="array" ref="AV107">ifna(xlookup(AO101, 'Week 6'!$A:$A, 'Week 6'!$F:$F), "")</f>
        <v/>
      </c>
      <c r="AW107" s="152" t="str">
        <f t="array" ref="AW107">ifna(xlookup(AO101, 'Week 6'!$A:$A, 'Week 6'!$I:$I), "")</f>
        <v/>
      </c>
      <c r="AX107" s="153" t="str">
        <f t="shared" si="178"/>
        <v/>
      </c>
      <c r="AY107" s="151" t="s">
        <v>23</v>
      </c>
      <c r="AZ107" s="2" t="str">
        <f t="shared" si="179"/>
        <v/>
      </c>
      <c r="BA107" s="152" t="str">
        <f t="array" ref="BA107">ifna(xlookup(AY101, 'Week 6'!$A:$A, 'Week 6'!$B:$B), "")</f>
        <v>Win</v>
      </c>
      <c r="BB107" s="152" t="str">
        <f t="array" ref="BB107">ifna(xlookup(AY101, 'Week 6'!$A:$A, 'Week 6'!$D:$D), "")</f>
        <v/>
      </c>
      <c r="BC107" s="152" t="str">
        <f t="array" ref="BC107">ifna(xlookup(AY101, 'Week 6'!$A:$A, 'Week 6'!$G:$G), "")</f>
        <v/>
      </c>
      <c r="BD107" s="152" t="str">
        <f t="array" ref="BD107">ifna(xlookup(AY101, 'Week 6'!$A:$A, 'Week 6'!$H:$H), "")</f>
        <v/>
      </c>
      <c r="BE107" s="152" t="str">
        <f t="array" ref="BE107">ifna(xlookup(AY101, 'Week 6'!$A:$A, 'Week 6'!$E:$E), "")</f>
        <v/>
      </c>
      <c r="BF107" s="152" t="str">
        <f t="array" ref="BF107">ifna(xlookup(AY101, 'Week 6'!$A:$A, 'Week 6'!$F:$F), "")</f>
        <v/>
      </c>
      <c r="BG107" s="152" t="str">
        <f t="array" ref="BG107">ifna(xlookup(AY101, 'Week 6'!$A:$A, 'Week 6'!$I:$I), "")</f>
        <v/>
      </c>
      <c r="BH107" s="153" t="str">
        <f t="shared" si="180"/>
        <v/>
      </c>
      <c r="BI107" s="8"/>
      <c r="BJ107" s="8"/>
      <c r="BK107" s="8"/>
      <c r="BL107" s="8"/>
    </row>
    <row r="108">
      <c r="A108" s="151" t="s">
        <v>41</v>
      </c>
      <c r="B108" s="2" t="str">
        <f t="shared" si="169"/>
        <v/>
      </c>
      <c r="C108" s="152" t="str">
        <f t="array" ref="C108">ifna(xlookup(A101, 'Week 7'!$A:$A, 'Week 7'!$B:$B), "")</f>
        <v/>
      </c>
      <c r="D108" s="152" t="str">
        <f t="array" ref="D108">ifna(xlookup(A101, 'Week 7'!$A:$A, 'Week 7'!$D:$D), "")</f>
        <v/>
      </c>
      <c r="E108" s="152" t="str">
        <f t="array" ref="E108">ifna(xlookup(A101, 'Week 7'!$A:$A, 'Week 7'!$G:$G), "")</f>
        <v/>
      </c>
      <c r="F108" s="152" t="str">
        <f t="array" ref="F108">ifna(xlookup(A101, 'Week 7'!$A:$A, 'Week 7'!$H:$H), "")</f>
        <v/>
      </c>
      <c r="G108" s="152" t="str">
        <f t="array" ref="G108">ifna(xlookup(A101, 'Week 7'!$A:$A, 'Week 7'!$E:$E), "")</f>
        <v/>
      </c>
      <c r="H108" s="152" t="str">
        <f t="array" ref="H108">ifna(xlookup(A101, 'Week 7'!$A:$A, 'Week 7'!$F:$F), "")</f>
        <v/>
      </c>
      <c r="I108" s="152" t="str">
        <f t="array" ref="I108">ifna(xlookup(A101, 'Week 7'!$A:$A, 'Week 7'!$I:$I), "")</f>
        <v/>
      </c>
      <c r="J108" s="153" t="str">
        <f t="shared" si="170"/>
        <v/>
      </c>
      <c r="K108" s="151" t="s">
        <v>41</v>
      </c>
      <c r="L108" s="2" t="str">
        <f t="shared" si="171"/>
        <v/>
      </c>
      <c r="M108" s="152" t="str">
        <f t="array" ref="M108">ifna(xlookup(K101, 'Week 7'!$A:$A, 'Week 7'!$B:$B), "")</f>
        <v/>
      </c>
      <c r="N108" s="152" t="str">
        <f t="array" ref="N108">ifna(xlookup(K101, 'Week 7'!$A:$A, 'Week 7'!$D:$D), "")</f>
        <v/>
      </c>
      <c r="O108" s="152" t="str">
        <f t="array" ref="O108">ifna(xlookup(K101, 'Week 7'!$A:$A, 'Week 7'!$G:$G), "")</f>
        <v/>
      </c>
      <c r="P108" s="152" t="str">
        <f t="array" ref="P108">ifna(xlookup(K101, 'Week 7'!$A:$A, 'Week 7'!$H:$H), "")</f>
        <v/>
      </c>
      <c r="Q108" s="152" t="str">
        <f t="array" ref="Q108">ifna(xlookup(K101, 'Week 7'!$A:$A, 'Week 7'!$E:$E), "")</f>
        <v/>
      </c>
      <c r="R108" s="152" t="str">
        <f t="array" ref="R108">ifna(xlookup(K101, 'Week 7'!$A:$A, 'Week 7'!$F:$F), "")</f>
        <v/>
      </c>
      <c r="S108" s="152" t="str">
        <f t="array" ref="S108">ifna(xlookup(K101, 'Week 7'!$A:$A, 'Week 7'!$I:$I), "")</f>
        <v/>
      </c>
      <c r="T108" s="153" t="str">
        <f t="shared" si="172"/>
        <v/>
      </c>
      <c r="U108" s="151" t="s">
        <v>41</v>
      </c>
      <c r="V108" s="2" t="str">
        <f t="shared" si="173"/>
        <v/>
      </c>
      <c r="W108" s="152" t="str">
        <f t="array" ref="W108">ifna(xlookup(U101, 'Week 7'!$A:$A, 'Week 7'!$B:$B), "")</f>
        <v/>
      </c>
      <c r="X108" s="152" t="str">
        <f t="array" ref="X108">ifna(xlookup(U101, 'Week 7'!$A:$A, 'Week 7'!$D:$D), "")</f>
        <v/>
      </c>
      <c r="Y108" s="152" t="str">
        <f t="array" ref="Y108">ifna(xlookup(U101, 'Week 7'!$A:$A, 'Week 7'!$G:$G), "")</f>
        <v/>
      </c>
      <c r="Z108" s="152" t="str">
        <f t="array" ref="Z108">ifna(xlookup(U101, 'Week 7'!$A:$A, 'Week 7'!$H:$H), "")</f>
        <v/>
      </c>
      <c r="AA108" s="152" t="str">
        <f t="array" ref="AA108">ifna(xlookup(U101, 'Week 7'!$A:$A, 'Week 7'!$E:$E), "")</f>
        <v/>
      </c>
      <c r="AB108" s="152" t="str">
        <f t="array" ref="AB108">ifna(xlookup(U101, 'Week 7'!$A:$A, 'Week 7'!$F:$F), "")</f>
        <v/>
      </c>
      <c r="AC108" s="152" t="str">
        <f t="array" ref="AC108">ifna(xlookup(U101, 'Week 7'!$A:$A, 'Week 7'!$I:$I), "")</f>
        <v/>
      </c>
      <c r="AD108" s="153" t="str">
        <f t="shared" si="174"/>
        <v/>
      </c>
      <c r="AE108" s="151" t="s">
        <v>41</v>
      </c>
      <c r="AF108" s="2" t="str">
        <f t="shared" si="175"/>
        <v/>
      </c>
      <c r="AG108" s="152" t="str">
        <f t="array" ref="AG108">ifna(xlookup(AE101, 'Week 7'!$A:$A, 'Week 7'!$B:$B), "")</f>
        <v/>
      </c>
      <c r="AH108" s="152" t="str">
        <f t="array" ref="AH108">ifna(xlookup(AE101, 'Week 7'!$A:$A, 'Week 7'!$D:$D), "")</f>
        <v/>
      </c>
      <c r="AI108" s="152" t="str">
        <f t="array" ref="AI108">ifna(xlookup(AE101, 'Week 7'!$A:$A, 'Week 7'!$G:$G), "")</f>
        <v/>
      </c>
      <c r="AJ108" s="152" t="str">
        <f t="array" ref="AJ108">ifna(xlookup(AE101, 'Week 7'!$A:$A, 'Week 7'!$H:$H), "")</f>
        <v/>
      </c>
      <c r="AK108" s="152" t="str">
        <f t="array" ref="AK108">ifna(xlookup(AE101, 'Week 7'!$A:$A, 'Week 7'!$E:$E), "")</f>
        <v/>
      </c>
      <c r="AL108" s="152" t="str">
        <f t="array" ref="AL108">ifna(xlookup(AE101, 'Week 7'!$A:$A, 'Week 7'!$F:$F), "")</f>
        <v/>
      </c>
      <c r="AM108" s="152" t="str">
        <f t="array" ref="AM108">ifna(xlookup(AE101, 'Week 7'!$A:$A, 'Week 7'!$I:$I), "")</f>
        <v/>
      </c>
      <c r="AN108" s="153" t="str">
        <f t="shared" si="176"/>
        <v/>
      </c>
      <c r="AO108" s="151" t="s">
        <v>41</v>
      </c>
      <c r="AP108" s="2" t="str">
        <f t="shared" si="177"/>
        <v/>
      </c>
      <c r="AQ108" s="152" t="str">
        <f t="array" ref="AQ108">ifna(xlookup(AO101, 'Week 7'!$A:$A, 'Week 7'!$B:$B), "")</f>
        <v>Win</v>
      </c>
      <c r="AR108" s="152" t="str">
        <f t="array" ref="AR108">ifna(xlookup(AO101, 'Week 7'!$A:$A, 'Week 7'!$D:$D), "")</f>
        <v/>
      </c>
      <c r="AS108" s="152" t="str">
        <f t="array" ref="AS108">ifna(xlookup(AO101, 'Week 7'!$A:$A, 'Week 7'!$G:$G), "")</f>
        <v/>
      </c>
      <c r="AT108" s="152" t="str">
        <f t="array" ref="AT108">ifna(xlookup(AO101, 'Week 7'!$A:$A, 'Week 7'!$H:$H), "")</f>
        <v/>
      </c>
      <c r="AU108" s="152" t="str">
        <f t="array" ref="AU108">ifna(xlookup(AO101, 'Week 7'!$A:$A, 'Week 7'!$E:$E), "")</f>
        <v/>
      </c>
      <c r="AV108" s="152" t="str">
        <f t="array" ref="AV108">ifna(xlookup(AO101, 'Week 7'!$A:$A, 'Week 7'!$F:$F), "")</f>
        <v/>
      </c>
      <c r="AW108" s="152" t="str">
        <f t="array" ref="AW108">ifna(xlookup(AO101, 'Week 7'!$A:$A, 'Week 7'!$I:$I), "")</f>
        <v/>
      </c>
      <c r="AX108" s="153" t="str">
        <f t="shared" si="178"/>
        <v/>
      </c>
      <c r="AY108" s="151" t="s">
        <v>41</v>
      </c>
      <c r="AZ108" s="2" t="str">
        <f t="shared" si="179"/>
        <v/>
      </c>
      <c r="BA108" s="152" t="str">
        <f t="array" ref="BA108">ifna(xlookup(AY101, 'Week 7'!$A:$A, 'Week 7'!$B:$B), "")</f>
        <v>Loss</v>
      </c>
      <c r="BB108" s="152" t="str">
        <f t="array" ref="BB108">ifna(xlookup(AY101, 'Week 7'!$A:$A, 'Week 7'!$D:$D), "")</f>
        <v/>
      </c>
      <c r="BC108" s="152" t="str">
        <f t="array" ref="BC108">ifna(xlookup(AY101, 'Week 7'!$A:$A, 'Week 7'!$G:$G), "")</f>
        <v/>
      </c>
      <c r="BD108" s="152" t="str">
        <f t="array" ref="BD108">ifna(xlookup(AY101, 'Week 7'!$A:$A, 'Week 7'!$H:$H), "")</f>
        <v/>
      </c>
      <c r="BE108" s="152" t="str">
        <f t="array" ref="BE108">ifna(xlookup(AY101, 'Week 7'!$A:$A, 'Week 7'!$E:$E), "")</f>
        <v/>
      </c>
      <c r="BF108" s="152" t="str">
        <f t="array" ref="BF108">ifna(xlookup(AY101, 'Week 7'!$A:$A, 'Week 7'!$F:$F), "")</f>
        <v/>
      </c>
      <c r="BG108" s="152" t="str">
        <f t="array" ref="BG108">ifna(xlookup(AY101, 'Week 7'!$A:$A, 'Week 7'!$I:$I), "")</f>
        <v/>
      </c>
      <c r="BH108" s="153" t="str">
        <f t="shared" si="180"/>
        <v/>
      </c>
      <c r="BI108" s="8"/>
      <c r="BJ108" s="8"/>
      <c r="BK108" s="8"/>
      <c r="BL108" s="8"/>
    </row>
    <row r="109">
      <c r="A109" s="151" t="s">
        <v>181</v>
      </c>
      <c r="B109" s="2"/>
      <c r="C109" s="2"/>
      <c r="D109" s="2"/>
      <c r="E109" s="2"/>
      <c r="F109" s="2"/>
      <c r="G109" s="2"/>
      <c r="H109" s="2"/>
      <c r="I109" s="2"/>
      <c r="J109" s="153"/>
      <c r="K109" s="151" t="s">
        <v>181</v>
      </c>
      <c r="L109" s="2"/>
      <c r="M109" s="2"/>
      <c r="N109" s="2"/>
      <c r="O109" s="2"/>
      <c r="P109" s="2"/>
      <c r="Q109" s="2"/>
      <c r="R109" s="2"/>
      <c r="S109" s="2"/>
      <c r="T109" s="153"/>
      <c r="U109" s="151" t="s">
        <v>181</v>
      </c>
      <c r="V109" s="2"/>
      <c r="W109" s="2"/>
      <c r="X109" s="2"/>
      <c r="Y109" s="2"/>
      <c r="Z109" s="2"/>
      <c r="AA109" s="2"/>
      <c r="AB109" s="2"/>
      <c r="AC109" s="2"/>
      <c r="AD109" s="153"/>
      <c r="AE109" s="151" t="s">
        <v>181</v>
      </c>
      <c r="AF109" s="2"/>
      <c r="AG109" s="2"/>
      <c r="AH109" s="2"/>
      <c r="AI109" s="2"/>
      <c r="AJ109" s="2"/>
      <c r="AK109" s="2"/>
      <c r="AL109" s="2"/>
      <c r="AM109" s="2"/>
      <c r="AN109" s="153"/>
      <c r="AO109" s="151" t="s">
        <v>181</v>
      </c>
      <c r="AP109" s="2"/>
      <c r="AQ109" s="2"/>
      <c r="AR109" s="2"/>
      <c r="AS109" s="2"/>
      <c r="AT109" s="2"/>
      <c r="AU109" s="2"/>
      <c r="AV109" s="2"/>
      <c r="AW109" s="2"/>
      <c r="AX109" s="153"/>
      <c r="AY109" s="151" t="s">
        <v>181</v>
      </c>
      <c r="AZ109" s="2"/>
      <c r="BA109" s="2"/>
      <c r="BB109" s="2"/>
      <c r="BC109" s="2"/>
      <c r="BD109" s="2"/>
      <c r="BE109" s="2"/>
      <c r="BF109" s="2"/>
      <c r="BG109" s="2"/>
      <c r="BH109" s="153"/>
      <c r="BI109" s="8"/>
      <c r="BJ109" s="8"/>
      <c r="BK109" s="8"/>
      <c r="BL109" s="8"/>
    </row>
    <row r="110">
      <c r="A110" s="151" t="s">
        <v>182</v>
      </c>
      <c r="B110" s="2"/>
      <c r="C110" s="2"/>
      <c r="D110" s="2"/>
      <c r="E110" s="2"/>
      <c r="F110" s="2"/>
      <c r="G110" s="2"/>
      <c r="H110" s="2"/>
      <c r="I110" s="2"/>
      <c r="J110" s="153"/>
      <c r="K110" s="151" t="s">
        <v>182</v>
      </c>
      <c r="L110" s="2"/>
      <c r="M110" s="2"/>
      <c r="N110" s="2"/>
      <c r="O110" s="2"/>
      <c r="P110" s="2"/>
      <c r="Q110" s="2"/>
      <c r="R110" s="2"/>
      <c r="S110" s="2"/>
      <c r="T110" s="153"/>
      <c r="U110" s="151" t="s">
        <v>182</v>
      </c>
      <c r="V110" s="2"/>
      <c r="W110" s="2"/>
      <c r="X110" s="2"/>
      <c r="Y110" s="2"/>
      <c r="Z110" s="2"/>
      <c r="AA110" s="2"/>
      <c r="AB110" s="2"/>
      <c r="AC110" s="2"/>
      <c r="AD110" s="153"/>
      <c r="AE110" s="151" t="s">
        <v>182</v>
      </c>
      <c r="AF110" s="2"/>
      <c r="AG110" s="2"/>
      <c r="AH110" s="2"/>
      <c r="AI110" s="2"/>
      <c r="AJ110" s="2"/>
      <c r="AK110" s="2"/>
      <c r="AL110" s="2"/>
      <c r="AM110" s="2"/>
      <c r="AN110" s="153"/>
      <c r="AO110" s="151" t="s">
        <v>182</v>
      </c>
      <c r="AP110" s="2"/>
      <c r="AQ110" s="2"/>
      <c r="AR110" s="2"/>
      <c r="AS110" s="2"/>
      <c r="AT110" s="2"/>
      <c r="AU110" s="2"/>
      <c r="AV110" s="2"/>
      <c r="AW110" s="2"/>
      <c r="AX110" s="153"/>
      <c r="AY110" s="151" t="s">
        <v>182</v>
      </c>
      <c r="AZ110" s="2"/>
      <c r="BA110" s="2"/>
      <c r="BB110" s="2"/>
      <c r="BC110" s="2"/>
      <c r="BD110" s="2"/>
      <c r="BE110" s="2"/>
      <c r="BF110" s="2"/>
      <c r="BG110" s="2"/>
      <c r="BH110" s="153"/>
      <c r="BI110" s="8"/>
      <c r="BJ110" s="8"/>
      <c r="BK110" s="8"/>
      <c r="BL110" s="8"/>
    </row>
    <row r="111">
      <c r="A111" s="5" t="s">
        <v>183</v>
      </c>
      <c r="B111" s="154">
        <f>countif(B102:B110, "Yes")</f>
        <v>0</v>
      </c>
      <c r="C111" s="155" t="str">
        <f>IFERROR( COUNTIFS(B102:B108,"Yes", C102:C108,"Win") / COUNTIF(B102:B108,"Yes"), "")</f>
        <v/>
      </c>
      <c r="D111" s="156" t="str">
        <f>if(B111&gt;0, average(D102:D110), "")</f>
        <v/>
      </c>
      <c r="E111" s="156" t="str">
        <f>if(B111&gt;0, average(E102:E110), "")</f>
        <v/>
      </c>
      <c r="F111" s="156" t="str">
        <f>if(B111&gt;0, average(F102:F110), "")</f>
        <v/>
      </c>
      <c r="G111" s="156" t="str">
        <f>if(B111&gt;0, average(G102:G110), "")</f>
        <v/>
      </c>
      <c r="H111" s="156" t="str">
        <f>if(B111&gt;0, average(H102:H110), "")</f>
        <v/>
      </c>
      <c r="I111" s="156" t="str">
        <f>if(B111&gt;0, average(I102:I110), "")</f>
        <v/>
      </c>
      <c r="J111" s="157" t="str">
        <f>if(B111&gt;0, D111/(I111+D111), "")</f>
        <v/>
      </c>
      <c r="K111" s="5" t="s">
        <v>183</v>
      </c>
      <c r="L111" s="154">
        <f>countif(L102:L110, "Yes")</f>
        <v>0</v>
      </c>
      <c r="M111" s="155" t="str">
        <f>IFERROR( COUNTIFS(L102:L108,"Yes", M102:M108,"Win") / COUNTIF(L102:L108,"Yes"), "")</f>
        <v/>
      </c>
      <c r="N111" s="156" t="str">
        <f>if(L111&gt;0, average(N102:N110), "")</f>
        <v/>
      </c>
      <c r="O111" s="156" t="str">
        <f>if(L111&gt;0, average(O102:O110), "")</f>
        <v/>
      </c>
      <c r="P111" s="156" t="str">
        <f>if(L111&gt;0, average(P102:P110), "")</f>
        <v/>
      </c>
      <c r="Q111" s="156" t="str">
        <f>if(L111&gt;0, average(Q102:Q110), "")</f>
        <v/>
      </c>
      <c r="R111" s="156" t="str">
        <f>if(L111&gt;0, average(R102:R110), "")</f>
        <v/>
      </c>
      <c r="S111" s="156" t="str">
        <f>if(L111&gt;0, average(S102:S110), "")</f>
        <v/>
      </c>
      <c r="T111" s="157" t="str">
        <f>if(L111&gt;0, N111/(S111+N111), "")</f>
        <v/>
      </c>
      <c r="U111" s="5" t="s">
        <v>183</v>
      </c>
      <c r="V111" s="154">
        <f>countif(V102:V110, "Yes")</f>
        <v>0</v>
      </c>
      <c r="W111" s="155" t="str">
        <f>IFERROR( COUNTIFS(V102:V108,"Yes", W102:W108,"Win") / COUNTIF(V102:V108,"Yes"), "")</f>
        <v/>
      </c>
      <c r="X111" s="156" t="str">
        <f>if(V111&gt;0, average(X102:X110), "")</f>
        <v/>
      </c>
      <c r="Y111" s="156" t="str">
        <f>if(V111&gt;0, average(Y102:Y110), "")</f>
        <v/>
      </c>
      <c r="Z111" s="156" t="str">
        <f>if(V111&gt;0, average(Z102:Z110), "")</f>
        <v/>
      </c>
      <c r="AA111" s="156" t="str">
        <f>if(V111&gt;0, average(AA102:AA110), "")</f>
        <v/>
      </c>
      <c r="AB111" s="156" t="str">
        <f>if(V111&gt;0, average(AB102:AB110), "")</f>
        <v/>
      </c>
      <c r="AC111" s="156" t="str">
        <f>if(V111&gt;0, average(AC102:AC110), "")</f>
        <v/>
      </c>
      <c r="AD111" s="157" t="str">
        <f>if(V111&gt;0, X111/(AC111+X111), "")</f>
        <v/>
      </c>
      <c r="AE111" s="5" t="s">
        <v>183</v>
      </c>
      <c r="AF111" s="154">
        <f>countif(AF102:AF110, "Yes")</f>
        <v>0</v>
      </c>
      <c r="AG111" s="155" t="str">
        <f>IFERROR( COUNTIFS(AF102:AF108,"Yes", AG102:AG108,"Win") / COUNTIF(AF102:AF108,"Yes"), "")</f>
        <v/>
      </c>
      <c r="AH111" s="156" t="str">
        <f>if(AF111&gt;0, average(AH102:AH110), "")</f>
        <v/>
      </c>
      <c r="AI111" s="156" t="str">
        <f>if(AF111&gt;0, average(AI102:AI110), "")</f>
        <v/>
      </c>
      <c r="AJ111" s="156" t="str">
        <f>if(AF111&gt;0, average(AJ102:AJ110), "")</f>
        <v/>
      </c>
      <c r="AK111" s="156" t="str">
        <f>if(AF111&gt;0, average(AK102:AK110), "")</f>
        <v/>
      </c>
      <c r="AL111" s="156" t="str">
        <f>if(AF111&gt;0, average(AL102:AL110), "")</f>
        <v/>
      </c>
      <c r="AM111" s="156" t="str">
        <f>if(AF111&gt;0, average(AM102:AM110), "")</f>
        <v/>
      </c>
      <c r="AN111" s="157" t="str">
        <f>if(AF111&gt;0, AH111/(AM111+AH111), "")</f>
        <v/>
      </c>
      <c r="AO111" s="5" t="s">
        <v>183</v>
      </c>
      <c r="AP111" s="154">
        <f>countif(AP102:AP110, "Yes")</f>
        <v>0</v>
      </c>
      <c r="AQ111" s="155" t="str">
        <f>IFERROR( COUNTIFS(AP102:AP108,"Yes", AQ102:AQ108,"Win") / COUNTIF(AP102:AP108,"Yes"), "")</f>
        <v/>
      </c>
      <c r="AR111" s="156" t="str">
        <f>if(AP111&gt;0, average(AR102:AR110), "")</f>
        <v/>
      </c>
      <c r="AS111" s="156" t="str">
        <f>if(AP111&gt;0, average(AS102:AS110), "")</f>
        <v/>
      </c>
      <c r="AT111" s="156" t="str">
        <f>if(AP111&gt;0, average(AT102:AT110), "")</f>
        <v/>
      </c>
      <c r="AU111" s="156" t="str">
        <f>if(AP111&gt;0, average(AU102:AU110), "")</f>
        <v/>
      </c>
      <c r="AV111" s="156" t="str">
        <f>if(AP111&gt;0, average(AV102:AV110), "")</f>
        <v/>
      </c>
      <c r="AW111" s="156" t="str">
        <f>if(AP111&gt;0, average(AW102:AW110), "")</f>
        <v/>
      </c>
      <c r="AX111" s="157" t="str">
        <f>if(AP111&gt;0, AR111/(AW111+AR111), "")</f>
        <v/>
      </c>
      <c r="AY111" s="5" t="s">
        <v>183</v>
      </c>
      <c r="AZ111" s="154">
        <f>countif(AZ102:AZ110, "Yes")</f>
        <v>2</v>
      </c>
      <c r="BA111" s="155">
        <f>IFERROR( COUNTIFS(AZ102:AZ108,"Yes", BA102:BA108,"Win") / COUNTIF(AZ102:AZ108,"Yes"), "")</f>
        <v>0</v>
      </c>
      <c r="BB111" s="156">
        <f>if(AZ111&gt;0, average(BB102:BB110), "")</f>
        <v>9</v>
      </c>
      <c r="BC111" s="156">
        <f>if(AZ111&gt;0, average(BC102:BC110), "")</f>
        <v>5</v>
      </c>
      <c r="BD111" s="156">
        <f>if(AZ111&gt;0, average(BD102:BD110), "")</f>
        <v>0</v>
      </c>
      <c r="BE111" s="156">
        <f>if(AZ111&gt;0, average(BE102:BE110), "")</f>
        <v>3.5</v>
      </c>
      <c r="BF111" s="156">
        <f>if(AZ111&gt;0, average(BF102:BF110), "")</f>
        <v>0.5</v>
      </c>
      <c r="BG111" s="156">
        <f>if(AZ111&gt;0, average(BG102:BG110), "")</f>
        <v>29.5</v>
      </c>
      <c r="BH111" s="157">
        <f>if(AZ111&gt;0, BB111/(BG111+BB111), "")</f>
        <v>0.2337662338</v>
      </c>
      <c r="BI111" s="8"/>
      <c r="BJ111" s="8"/>
      <c r="BK111" s="8"/>
      <c r="BL111" s="8"/>
    </row>
    <row r="112">
      <c r="A112" s="158" t="str">
        <f>Draft!B57</f>
        <v/>
      </c>
      <c r="B112" s="129">
        <f t="shared" ref="B112:J112" si="181">B122</f>
        <v>0</v>
      </c>
      <c r="C112" s="143" t="str">
        <f t="shared" si="181"/>
        <v/>
      </c>
      <c r="D112" s="144" t="str">
        <f t="shared" si="181"/>
        <v/>
      </c>
      <c r="E112" s="144" t="str">
        <f t="shared" si="181"/>
        <v/>
      </c>
      <c r="F112" s="144" t="str">
        <f t="shared" si="181"/>
        <v/>
      </c>
      <c r="G112" s="144" t="str">
        <f t="shared" si="181"/>
        <v/>
      </c>
      <c r="H112" s="144" t="str">
        <f t="shared" si="181"/>
        <v/>
      </c>
      <c r="I112" s="144" t="str">
        <f t="shared" si="181"/>
        <v/>
      </c>
      <c r="J112" s="145" t="str">
        <f t="shared" si="181"/>
        <v/>
      </c>
      <c r="K112" s="159" t="str">
        <f>Draft!C57</f>
        <v/>
      </c>
      <c r="L112" s="129">
        <f t="shared" ref="L112:T112" si="182">L122</f>
        <v>0</v>
      </c>
      <c r="M112" s="143" t="str">
        <f t="shared" si="182"/>
        <v/>
      </c>
      <c r="N112" s="144" t="str">
        <f t="shared" si="182"/>
        <v/>
      </c>
      <c r="O112" s="144" t="str">
        <f t="shared" si="182"/>
        <v/>
      </c>
      <c r="P112" s="144" t="str">
        <f t="shared" si="182"/>
        <v/>
      </c>
      <c r="Q112" s="144" t="str">
        <f t="shared" si="182"/>
        <v/>
      </c>
      <c r="R112" s="144" t="str">
        <f t="shared" si="182"/>
        <v/>
      </c>
      <c r="S112" s="144" t="str">
        <f t="shared" si="182"/>
        <v/>
      </c>
      <c r="T112" s="145" t="str">
        <f t="shared" si="182"/>
        <v/>
      </c>
      <c r="U112" s="160" t="str">
        <f>Draft!D57</f>
        <v/>
      </c>
      <c r="V112" s="129">
        <f t="shared" ref="V112:AD112" si="183">V122</f>
        <v>0</v>
      </c>
      <c r="W112" s="143" t="str">
        <f t="shared" si="183"/>
        <v/>
      </c>
      <c r="X112" s="144" t="str">
        <f t="shared" si="183"/>
        <v/>
      </c>
      <c r="Y112" s="144" t="str">
        <f t="shared" si="183"/>
        <v/>
      </c>
      <c r="Z112" s="144" t="str">
        <f t="shared" si="183"/>
        <v/>
      </c>
      <c r="AA112" s="144" t="str">
        <f t="shared" si="183"/>
        <v/>
      </c>
      <c r="AB112" s="144" t="str">
        <f t="shared" si="183"/>
        <v/>
      </c>
      <c r="AC112" s="144" t="str">
        <f t="shared" si="183"/>
        <v/>
      </c>
      <c r="AD112" s="145" t="str">
        <f t="shared" si="183"/>
        <v/>
      </c>
      <c r="AE112" s="161" t="str">
        <f>Draft!E57</f>
        <v>Will He</v>
      </c>
      <c r="AF112" s="129">
        <f t="shared" ref="AF112:AN112" si="184">AF122</f>
        <v>0</v>
      </c>
      <c r="AG112" s="143" t="str">
        <f t="shared" si="184"/>
        <v/>
      </c>
      <c r="AH112" s="144" t="str">
        <f t="shared" si="184"/>
        <v/>
      </c>
      <c r="AI112" s="144" t="str">
        <f t="shared" si="184"/>
        <v/>
      </c>
      <c r="AJ112" s="144" t="str">
        <f t="shared" si="184"/>
        <v/>
      </c>
      <c r="AK112" s="144" t="str">
        <f t="shared" si="184"/>
        <v/>
      </c>
      <c r="AL112" s="144" t="str">
        <f t="shared" si="184"/>
        <v/>
      </c>
      <c r="AM112" s="144" t="str">
        <f t="shared" si="184"/>
        <v/>
      </c>
      <c r="AN112" s="145" t="str">
        <f t="shared" si="184"/>
        <v/>
      </c>
      <c r="AO112" s="162" t="str">
        <f>Draft!F57</f>
        <v>Ayush</v>
      </c>
      <c r="AP112" s="129">
        <f t="shared" ref="AP112:AX112" si="185">AP122</f>
        <v>0</v>
      </c>
      <c r="AQ112" s="143" t="str">
        <f t="shared" si="185"/>
        <v/>
      </c>
      <c r="AR112" s="144" t="str">
        <f t="shared" si="185"/>
        <v/>
      </c>
      <c r="AS112" s="144" t="str">
        <f t="shared" si="185"/>
        <v/>
      </c>
      <c r="AT112" s="144" t="str">
        <f t="shared" si="185"/>
        <v/>
      </c>
      <c r="AU112" s="144" t="str">
        <f t="shared" si="185"/>
        <v/>
      </c>
      <c r="AV112" s="144" t="str">
        <f t="shared" si="185"/>
        <v/>
      </c>
      <c r="AW112" s="144" t="str">
        <f t="shared" si="185"/>
        <v/>
      </c>
      <c r="AX112" s="145" t="str">
        <f t="shared" si="185"/>
        <v/>
      </c>
      <c r="AY112" s="163" t="str">
        <f>Draft!G57</f>
        <v>Gio</v>
      </c>
      <c r="AZ112" s="129">
        <f t="shared" ref="AZ112:BH112" si="186">AZ122</f>
        <v>0</v>
      </c>
      <c r="BA112" s="143" t="str">
        <f t="shared" si="186"/>
        <v/>
      </c>
      <c r="BB112" s="144" t="str">
        <f t="shared" si="186"/>
        <v/>
      </c>
      <c r="BC112" s="144" t="str">
        <f t="shared" si="186"/>
        <v/>
      </c>
      <c r="BD112" s="144" t="str">
        <f t="shared" si="186"/>
        <v/>
      </c>
      <c r="BE112" s="144" t="str">
        <f t="shared" si="186"/>
        <v/>
      </c>
      <c r="BF112" s="144" t="str">
        <f t="shared" si="186"/>
        <v/>
      </c>
      <c r="BG112" s="144" t="str">
        <f t="shared" si="186"/>
        <v/>
      </c>
      <c r="BH112" s="145" t="str">
        <f t="shared" si="186"/>
        <v/>
      </c>
      <c r="BI112" s="8"/>
      <c r="BJ112" s="8"/>
      <c r="BK112" s="8"/>
      <c r="BL112" s="8"/>
    </row>
    <row r="113">
      <c r="A113" s="151" t="s">
        <v>5</v>
      </c>
      <c r="B113" s="2" t="str">
        <f t="shared" ref="B113:B119" si="187">ifna(if(I113&lt;&gt;"", "Yes", ""), "")</f>
        <v/>
      </c>
      <c r="C113" s="152" t="str">
        <f t="array" ref="C113">ifna(xlookup(A112, 'Week 1'!$A:$A, 'Week 1'!$B:$B), "")</f>
        <v/>
      </c>
      <c r="D113" s="152" t="str">
        <f t="array" ref="D113">ifna(xlookup(A112, 'Week 1'!$A:$A, 'Week 1'!$D:$D), "")</f>
        <v/>
      </c>
      <c r="E113" s="152" t="str">
        <f t="array" ref="E113">ifna(xlookup(A112, 'Week 1'!$A:$A, 'Week 1'!$G:$G), "")</f>
        <v/>
      </c>
      <c r="F113" s="152" t="str">
        <f t="array" ref="F113">ifna(xlookup(A112, 'Week 1'!$A:$A, 'Week 1'!$H:$H), "")</f>
        <v/>
      </c>
      <c r="G113" s="152" t="str">
        <f t="array" ref="G113">ifna(xlookup(A112, 'Week 1'!$A:$A, 'Week 1'!$E:$E), "")</f>
        <v/>
      </c>
      <c r="H113" s="152" t="str">
        <f t="array" ref="H113">ifna(xlookup(A112, 'Week 1'!$A:$A, 'Week 1'!$F:$F), "")</f>
        <v/>
      </c>
      <c r="I113" s="152" t="str">
        <f t="array" ref="I113">ifna(xlookup(A112, 'Week 1'!$A:$A, 'Week 1'!$I:$I), "")</f>
        <v/>
      </c>
      <c r="J113" s="153" t="str">
        <f t="shared" ref="J113:J119" si="188">iferror(IF(D113&gt;0, (D113/(D113+I113)), ""),"")</f>
        <v/>
      </c>
      <c r="K113" s="151" t="s">
        <v>5</v>
      </c>
      <c r="L113" s="2" t="str">
        <f t="shared" ref="L113:L119" si="189">ifna(if(S113&lt;&gt;"", "Yes", ""), "")</f>
        <v/>
      </c>
      <c r="M113" s="152" t="str">
        <f t="array" ref="M113">ifna(xlookup(K112, 'Week 1'!$A:$A, 'Week 1'!$B:$B), "")</f>
        <v/>
      </c>
      <c r="N113" s="152" t="str">
        <f t="array" ref="N113">ifna(xlookup(K112, 'Week 1'!$A:$A, 'Week 1'!$D:$D), "")</f>
        <v/>
      </c>
      <c r="O113" s="152" t="str">
        <f t="array" ref="O113">ifna(xlookup(K112, 'Week 1'!$A:$A, 'Week 1'!$G:$G), "")</f>
        <v/>
      </c>
      <c r="P113" s="152" t="str">
        <f t="array" ref="P113">ifna(xlookup(K112, 'Week 1'!$A:$A, 'Week 1'!$H:$H), "")</f>
        <v/>
      </c>
      <c r="Q113" s="152" t="str">
        <f t="array" ref="Q113">ifna(xlookup(K112, 'Week 1'!$A:$A, 'Week 1'!$E:$E), "")</f>
        <v/>
      </c>
      <c r="R113" s="152" t="str">
        <f t="array" ref="R113">ifna(xlookup(K112, 'Week 1'!$A:$A, 'Week 1'!$F:$F), "")</f>
        <v/>
      </c>
      <c r="S113" s="152" t="str">
        <f t="array" ref="S113">ifna(xlookup(K112, 'Week 1'!$A:$A, 'Week 1'!$I:$I), "")</f>
        <v/>
      </c>
      <c r="T113" s="153" t="str">
        <f t="shared" ref="T113:T119" si="190">iferror(IF(N113&gt;0, (N113/(N113+S113)), ""),"")</f>
        <v/>
      </c>
      <c r="U113" s="151" t="s">
        <v>5</v>
      </c>
      <c r="V113" s="2" t="str">
        <f t="shared" ref="V113:V119" si="191">ifna(if(AC113&lt;&gt;"", "Yes", ""), "")</f>
        <v/>
      </c>
      <c r="W113" s="152" t="str">
        <f t="array" ref="W113">ifna(xlookup(U112, 'Week 1'!$A:$A, 'Week 1'!$B:$B), "")</f>
        <v/>
      </c>
      <c r="X113" s="152" t="str">
        <f t="array" ref="X113">ifna(xlookup(U112, 'Week 1'!$A:$A, 'Week 1'!$D:$D), "")</f>
        <v/>
      </c>
      <c r="Y113" s="152" t="str">
        <f t="array" ref="Y113">ifna(xlookup(U112, 'Week 1'!$A:$A, 'Week 1'!$G:$G), "")</f>
        <v/>
      </c>
      <c r="Z113" s="152" t="str">
        <f t="array" ref="Z113">ifna(xlookup(U112, 'Week 1'!$A:$A, 'Week 1'!$H:$H), "")</f>
        <v/>
      </c>
      <c r="AA113" s="152" t="str">
        <f t="array" ref="AA113">ifna(xlookup(U112, 'Week 1'!$A:$A, 'Week 1'!$E:$E), "")</f>
        <v/>
      </c>
      <c r="AB113" s="152" t="str">
        <f t="array" ref="AB113">ifna(xlookup(U112, 'Week 1'!$A:$A, 'Week 1'!$F:$F), "")</f>
        <v/>
      </c>
      <c r="AC113" s="152" t="str">
        <f t="array" ref="AC113">ifna(xlookup(U112, 'Week 1'!$A:$A, 'Week 1'!$I:$I), "")</f>
        <v/>
      </c>
      <c r="AD113" s="153" t="str">
        <f t="shared" ref="AD113:AD119" si="192">iferror(IF(X113&gt;0, (X113/(X113+AC113)), ""),"")</f>
        <v/>
      </c>
      <c r="AE113" s="151" t="s">
        <v>5</v>
      </c>
      <c r="AF113" s="2" t="str">
        <f t="shared" ref="AF113:AF119" si="193">ifna(if(AM113&lt;&gt;"", "Yes", ""), "")</f>
        <v/>
      </c>
      <c r="AG113" s="152" t="str">
        <f t="array" ref="AG113">ifna(xlookup(AE112, 'Week 1'!$A:$A, 'Week 1'!$B:$B), "")</f>
        <v/>
      </c>
      <c r="AH113" s="152" t="str">
        <f t="array" ref="AH113">ifna(xlookup(AE112, 'Week 1'!$A:$A, 'Week 1'!$D:$D), "")</f>
        <v/>
      </c>
      <c r="AI113" s="152" t="str">
        <f t="array" ref="AI113">ifna(xlookup(AE112, 'Week 1'!$A:$A, 'Week 1'!$G:$G), "")</f>
        <v/>
      </c>
      <c r="AJ113" s="152" t="str">
        <f t="array" ref="AJ113">ifna(xlookup(AE112, 'Week 1'!$A:$A, 'Week 1'!$H:$H), "")</f>
        <v/>
      </c>
      <c r="AK113" s="152" t="str">
        <f t="array" ref="AK113">ifna(xlookup(AE112, 'Week 1'!$A:$A, 'Week 1'!$E:$E), "")</f>
        <v/>
      </c>
      <c r="AL113" s="152" t="str">
        <f t="array" ref="AL113">ifna(xlookup(AE112, 'Week 1'!$A:$A, 'Week 1'!$F:$F), "")</f>
        <v/>
      </c>
      <c r="AM113" s="152" t="str">
        <f t="array" ref="AM113">ifna(xlookup(AE112, 'Week 1'!$A:$A, 'Week 1'!$I:$I), "")</f>
        <v/>
      </c>
      <c r="AN113" s="153" t="str">
        <f t="shared" ref="AN113:AN119" si="194">iferror(IF(AH113&gt;0, (AH113/(AH113+AM113)), ""),"")</f>
        <v/>
      </c>
      <c r="AO113" s="151" t="s">
        <v>5</v>
      </c>
      <c r="AP113" s="2" t="str">
        <f t="shared" ref="AP113:AP119" si="195">ifna(if(AW113&lt;&gt;"", "Yes", ""), "")</f>
        <v/>
      </c>
      <c r="AQ113" s="152" t="str">
        <f t="array" ref="AQ113">ifna(xlookup(AO112, 'Week 1'!$A:$A, 'Week 1'!$B:$B), "")</f>
        <v>Loss</v>
      </c>
      <c r="AR113" s="152" t="str">
        <f t="array" ref="AR113">ifna(xlookup(AO112, 'Week 1'!$A:$A, 'Week 1'!$D:$D), "")</f>
        <v/>
      </c>
      <c r="AS113" s="152" t="str">
        <f t="array" ref="AS113">ifna(xlookup(AO112, 'Week 1'!$A:$A, 'Week 1'!$G:$G), "")</f>
        <v/>
      </c>
      <c r="AT113" s="152" t="str">
        <f t="array" ref="AT113">ifna(xlookup(AO112, 'Week 1'!$A:$A, 'Week 1'!$H:$H), "")</f>
        <v/>
      </c>
      <c r="AU113" s="152" t="str">
        <f t="array" ref="AU113">ifna(xlookup(AO112, 'Week 1'!$A:$A, 'Week 1'!$E:$E), "")</f>
        <v/>
      </c>
      <c r="AV113" s="152" t="str">
        <f t="array" ref="AV113">ifna(xlookup(AO112, 'Week 1'!$A:$A, 'Week 1'!$F:$F), "")</f>
        <v/>
      </c>
      <c r="AW113" s="152" t="str">
        <f t="array" ref="AW113">ifna(xlookup(AO112, 'Week 1'!$A:$A, 'Week 1'!$I:$I), "")</f>
        <v/>
      </c>
      <c r="AX113" s="153" t="str">
        <f t="shared" ref="AX113:AX119" si="196">iferror(IF(AR113&gt;0, (AR113/(AR113+AW113)), ""),"")</f>
        <v/>
      </c>
      <c r="AY113" s="151" t="s">
        <v>5</v>
      </c>
      <c r="AZ113" s="2" t="str">
        <f t="shared" ref="AZ113:AZ119" si="197">ifna(if(BG113&lt;&gt;"", "Yes", ""), "")</f>
        <v/>
      </c>
      <c r="BA113" s="152" t="str">
        <f t="array" ref="BA113">ifna(xlookup(AY112, 'Week 1'!$A:$A, 'Week 1'!$B:$B), "")</f>
        <v>Win</v>
      </c>
      <c r="BB113" s="152" t="str">
        <f t="array" ref="BB113">ifna(xlookup(AY112, 'Week 1'!$A:$A, 'Week 1'!$D:$D), "")</f>
        <v/>
      </c>
      <c r="BC113" s="152" t="str">
        <f t="array" ref="BC113">ifna(xlookup(AY112, 'Week 1'!$A:$A, 'Week 1'!$G:$G), "")</f>
        <v/>
      </c>
      <c r="BD113" s="152" t="str">
        <f t="array" ref="BD113">ifna(xlookup(AY112, 'Week 1'!$A:$A, 'Week 1'!$H:$H), "")</f>
        <v/>
      </c>
      <c r="BE113" s="152" t="str">
        <f t="array" ref="BE113">ifna(xlookup(AY112, 'Week 1'!$A:$A, 'Week 1'!$E:$E), "")</f>
        <v/>
      </c>
      <c r="BF113" s="152" t="str">
        <f t="array" ref="BF113">ifna(xlookup(AY112, 'Week 1'!$A:$A, 'Week 1'!$F:$F), "")</f>
        <v/>
      </c>
      <c r="BG113" s="152" t="str">
        <f t="array" ref="BG113">ifna(xlookup(AY112, 'Week 1'!$A:$A, 'Week 1'!$I:$I), "")</f>
        <v/>
      </c>
      <c r="BH113" s="153" t="str">
        <f t="shared" ref="BH113:BH119" si="198">iferror(IF(BB113&gt;0, (BB113/(BB113+BG113)), ""),"")</f>
        <v/>
      </c>
      <c r="BI113" s="8"/>
      <c r="BJ113" s="8"/>
      <c r="BK113" s="8"/>
      <c r="BL113" s="8"/>
    </row>
    <row r="114">
      <c r="A114" s="151" t="s">
        <v>7</v>
      </c>
      <c r="B114" s="2" t="str">
        <f t="shared" si="187"/>
        <v/>
      </c>
      <c r="C114" s="152" t="str">
        <f t="array" ref="C114">ifna(xlookup(A112, 'Week 2'!$A:$A, 'Week 2'!$B:$B), "")</f>
        <v/>
      </c>
      <c r="D114" s="152" t="str">
        <f t="array" ref="D114">ifna(xlookup(A112, 'Week 2'!$A:$A, 'Week 2'!$D:$D), "")</f>
        <v/>
      </c>
      <c r="E114" s="152" t="str">
        <f t="array" ref="E114">ifna(xlookup(A112, 'Week 2'!$A:$A, 'Week 2'!$G:$G), "")</f>
        <v/>
      </c>
      <c r="F114" s="152" t="str">
        <f t="array" ref="F114">ifna(xlookup(A112, 'Week 2'!$A:$A, 'Week 2'!$H:$H), "")</f>
        <v/>
      </c>
      <c r="G114" s="152" t="str">
        <f t="array" ref="G114">ifna(xlookup(A112, 'Week 2'!$A:$A, 'Week 2'!$E:$E), "")</f>
        <v/>
      </c>
      <c r="H114" s="152" t="str">
        <f t="array" ref="H114">ifna(xlookup(A112, 'Week 2'!$A:$A, 'Week 2'!$F:$F), "")</f>
        <v/>
      </c>
      <c r="I114" s="152" t="str">
        <f t="array" ref="I114">ifna(xlookup(A112, 'Week 2'!$A:$A, 'Week 2'!$I:$I), "")</f>
        <v/>
      </c>
      <c r="J114" s="153" t="str">
        <f t="shared" si="188"/>
        <v/>
      </c>
      <c r="K114" s="151" t="s">
        <v>7</v>
      </c>
      <c r="L114" s="2" t="str">
        <f t="shared" si="189"/>
        <v/>
      </c>
      <c r="M114" s="152" t="str">
        <f t="array" ref="M114">ifna(xlookup(K112, 'Week 2'!$A:$A, 'Week 2'!$B:$B), "")</f>
        <v/>
      </c>
      <c r="N114" s="152" t="str">
        <f t="array" ref="N114">ifna(xlookup(K112, 'Week 2'!$A:$A, 'Week 2'!$D:$D), "")</f>
        <v/>
      </c>
      <c r="O114" s="152" t="str">
        <f t="array" ref="O114">ifna(xlookup(K112, 'Week 2'!$A:$A, 'Week 2'!$G:$G), "")</f>
        <v/>
      </c>
      <c r="P114" s="152" t="str">
        <f t="array" ref="P114">ifna(xlookup(K112, 'Week 2'!$A:$A, 'Week 2'!$H:$H), "")</f>
        <v/>
      </c>
      <c r="Q114" s="152" t="str">
        <f t="array" ref="Q114">ifna(xlookup(K112, 'Week 2'!$A:$A, 'Week 2'!$E:$E), "")</f>
        <v/>
      </c>
      <c r="R114" s="152" t="str">
        <f t="array" ref="R114">ifna(xlookup(K112, 'Week 2'!$A:$A, 'Week 2'!$F:$F), "")</f>
        <v/>
      </c>
      <c r="S114" s="152" t="str">
        <f t="array" ref="S114">ifna(xlookup(K112, 'Week 2'!$A:$A, 'Week 2'!$I:$I), "")</f>
        <v/>
      </c>
      <c r="T114" s="153" t="str">
        <f t="shared" si="190"/>
        <v/>
      </c>
      <c r="U114" s="151" t="s">
        <v>7</v>
      </c>
      <c r="V114" s="2" t="str">
        <f t="shared" si="191"/>
        <v/>
      </c>
      <c r="W114" s="152" t="str">
        <f t="array" ref="W114">ifna(xlookup(U112, 'Week 2'!$A:$A, 'Week 2'!$B:$B), "")</f>
        <v/>
      </c>
      <c r="X114" s="152" t="str">
        <f t="array" ref="X114">ifna(xlookup(U112, 'Week 2'!$A:$A, 'Week 2'!$D:$D), "")</f>
        <v/>
      </c>
      <c r="Y114" s="152" t="str">
        <f t="array" ref="Y114">ifna(xlookup(U112, 'Week 2'!$A:$A, 'Week 2'!$G:$G), "")</f>
        <v/>
      </c>
      <c r="Z114" s="152" t="str">
        <f t="array" ref="Z114">ifna(xlookup(U112, 'Week 2'!$A:$A, 'Week 2'!$H:$H), "")</f>
        <v/>
      </c>
      <c r="AA114" s="152" t="str">
        <f t="array" ref="AA114">ifna(xlookup(U112, 'Week 2'!$A:$A, 'Week 2'!$E:$E), "")</f>
        <v/>
      </c>
      <c r="AB114" s="152" t="str">
        <f t="array" ref="AB114">ifna(xlookup(U112, 'Week 2'!$A:$A, 'Week 2'!$F:$F), "")</f>
        <v/>
      </c>
      <c r="AC114" s="152" t="str">
        <f t="array" ref="AC114">ifna(xlookup(U112, 'Week 2'!$A:$A, 'Week 2'!$I:$I), "")</f>
        <v/>
      </c>
      <c r="AD114" s="153" t="str">
        <f t="shared" si="192"/>
        <v/>
      </c>
      <c r="AE114" s="151" t="s">
        <v>7</v>
      </c>
      <c r="AF114" s="2" t="str">
        <f t="shared" si="193"/>
        <v/>
      </c>
      <c r="AG114" s="152" t="str">
        <f t="array" ref="AG114">ifna(xlookup(AE112, 'Week 2'!$A:$A, 'Week 2'!$B:$B), "")</f>
        <v/>
      </c>
      <c r="AH114" s="152" t="str">
        <f t="array" ref="AH114">ifna(xlookup(AE112, 'Week 2'!$A:$A, 'Week 2'!$D:$D), "")</f>
        <v/>
      </c>
      <c r="AI114" s="152" t="str">
        <f t="array" ref="AI114">ifna(xlookup(AE112, 'Week 2'!$A:$A, 'Week 2'!$G:$G), "")</f>
        <v/>
      </c>
      <c r="AJ114" s="152" t="str">
        <f t="array" ref="AJ114">ifna(xlookup(AE112, 'Week 2'!$A:$A, 'Week 2'!$H:$H), "")</f>
        <v/>
      </c>
      <c r="AK114" s="152" t="str">
        <f t="array" ref="AK114">ifna(xlookup(AE112, 'Week 2'!$A:$A, 'Week 2'!$E:$E), "")</f>
        <v/>
      </c>
      <c r="AL114" s="152" t="str">
        <f t="array" ref="AL114">ifna(xlookup(AE112, 'Week 2'!$A:$A, 'Week 2'!$F:$F), "")</f>
        <v/>
      </c>
      <c r="AM114" s="152" t="str">
        <f t="array" ref="AM114">ifna(xlookup(AE112, 'Week 2'!$A:$A, 'Week 2'!$I:$I), "")</f>
        <v/>
      </c>
      <c r="AN114" s="153" t="str">
        <f t="shared" si="194"/>
        <v/>
      </c>
      <c r="AO114" s="151" t="s">
        <v>7</v>
      </c>
      <c r="AP114" s="2" t="str">
        <f t="shared" si="195"/>
        <v/>
      </c>
      <c r="AQ114" s="152" t="str">
        <f t="array" ref="AQ114">ifna(xlookup(AO112, 'Week 2'!$A:$A, 'Week 2'!$B:$B), "")</f>
        <v>Win</v>
      </c>
      <c r="AR114" s="152" t="str">
        <f t="array" ref="AR114">ifna(xlookup(AO112, 'Week 2'!$A:$A, 'Week 2'!$D:$D), "")</f>
        <v/>
      </c>
      <c r="AS114" s="152" t="str">
        <f t="array" ref="AS114">ifna(xlookup(AO112, 'Week 2'!$A:$A, 'Week 2'!$G:$G), "")</f>
        <v/>
      </c>
      <c r="AT114" s="152" t="str">
        <f t="array" ref="AT114">ifna(xlookup(AO112, 'Week 2'!$A:$A, 'Week 2'!$H:$H), "")</f>
        <v/>
      </c>
      <c r="AU114" s="152" t="str">
        <f t="array" ref="AU114">ifna(xlookup(AO112, 'Week 2'!$A:$A, 'Week 2'!$E:$E), "")</f>
        <v/>
      </c>
      <c r="AV114" s="152" t="str">
        <f t="array" ref="AV114">ifna(xlookup(AO112, 'Week 2'!$A:$A, 'Week 2'!$F:$F), "")</f>
        <v/>
      </c>
      <c r="AW114" s="152" t="str">
        <f t="array" ref="AW114">ifna(xlookup(AO112, 'Week 2'!$A:$A, 'Week 2'!$I:$I), "")</f>
        <v/>
      </c>
      <c r="AX114" s="153" t="str">
        <f t="shared" si="196"/>
        <v/>
      </c>
      <c r="AY114" s="151" t="s">
        <v>7</v>
      </c>
      <c r="AZ114" s="2" t="str">
        <f t="shared" si="197"/>
        <v/>
      </c>
      <c r="BA114" s="152" t="str">
        <f t="array" ref="BA114">ifna(xlookup(AY112, 'Week 2'!$A:$A, 'Week 2'!$B:$B), "")</f>
        <v>Win</v>
      </c>
      <c r="BB114" s="152" t="str">
        <f t="array" ref="BB114">ifna(xlookup(AY112, 'Week 2'!$A:$A, 'Week 2'!$D:$D), "")</f>
        <v/>
      </c>
      <c r="BC114" s="152" t="str">
        <f t="array" ref="BC114">ifna(xlookup(AY112, 'Week 2'!$A:$A, 'Week 2'!$G:$G), "")</f>
        <v/>
      </c>
      <c r="BD114" s="152" t="str">
        <f t="array" ref="BD114">ifna(xlookup(AY112, 'Week 2'!$A:$A, 'Week 2'!$H:$H), "")</f>
        <v/>
      </c>
      <c r="BE114" s="152" t="str">
        <f t="array" ref="BE114">ifna(xlookup(AY112, 'Week 2'!$A:$A, 'Week 2'!$E:$E), "")</f>
        <v/>
      </c>
      <c r="BF114" s="152" t="str">
        <f t="array" ref="BF114">ifna(xlookup(AY112, 'Week 2'!$A:$A, 'Week 2'!$F:$F), "")</f>
        <v/>
      </c>
      <c r="BG114" s="152" t="str">
        <f t="array" ref="BG114">ifna(xlookup(AY112, 'Week 2'!$A:$A, 'Week 2'!$I:$I), "")</f>
        <v/>
      </c>
      <c r="BH114" s="153" t="str">
        <f t="shared" si="198"/>
        <v/>
      </c>
      <c r="BI114" s="8"/>
      <c r="BJ114" s="8"/>
      <c r="BK114" s="8"/>
      <c r="BL114" s="8"/>
    </row>
    <row r="115">
      <c r="A115" s="151" t="s">
        <v>12</v>
      </c>
      <c r="B115" s="2" t="str">
        <f t="shared" si="187"/>
        <v/>
      </c>
      <c r="C115" s="152" t="str">
        <f t="array" ref="C115">ifna(xlookup(A112, 'Week 3'!$A:$A, 'Week 3'!$B:$B), "")</f>
        <v/>
      </c>
      <c r="D115" s="152" t="str">
        <f t="array" ref="D115">ifna(xlookup(A112, 'Week 3'!$A:$A, 'Week 3'!$D:$D), "")</f>
        <v/>
      </c>
      <c r="E115" s="152" t="str">
        <f t="array" ref="E115">ifna(xlookup(A112, 'Week 3'!$A:$A, 'Week 3'!$G:$G), "")</f>
        <v/>
      </c>
      <c r="F115" s="152" t="str">
        <f t="array" ref="F115">ifna(xlookup(A112, 'Week 3'!$A:$A, 'Week 3'!$H:$H), "")</f>
        <v/>
      </c>
      <c r="G115" s="152" t="str">
        <f t="array" ref="G115">ifna(xlookup(A112, 'Week 3'!$A:$A, 'Week 3'!$E:$E), "")</f>
        <v/>
      </c>
      <c r="H115" s="152" t="str">
        <f t="array" ref="H115">ifna(xlookup(A112, 'Week 3'!$A:$A, 'Week 3'!$F:$F), "")</f>
        <v/>
      </c>
      <c r="I115" s="152" t="str">
        <f t="array" ref="I115">ifna(xlookup(A112, 'Week 3'!$A:$A, 'Week 3'!$I:$I), "")</f>
        <v/>
      </c>
      <c r="J115" s="153" t="str">
        <f t="shared" si="188"/>
        <v/>
      </c>
      <c r="K115" s="151" t="s">
        <v>12</v>
      </c>
      <c r="L115" s="2" t="str">
        <f t="shared" si="189"/>
        <v/>
      </c>
      <c r="M115" s="152" t="str">
        <f t="array" ref="M115">ifna(xlookup(K112, 'Week 3'!$A:$A, 'Week 3'!$B:$B), "")</f>
        <v/>
      </c>
      <c r="N115" s="152" t="str">
        <f t="array" ref="N115">ifna(xlookup(K112, 'Week 3'!$A:$A, 'Week 3'!$D:$D), "")</f>
        <v/>
      </c>
      <c r="O115" s="152" t="str">
        <f t="array" ref="O115">ifna(xlookup(K112, 'Week 3'!$A:$A, 'Week 3'!$G:$G), "")</f>
        <v/>
      </c>
      <c r="P115" s="152" t="str">
        <f t="array" ref="P115">ifna(xlookup(K112, 'Week 3'!$A:$A, 'Week 3'!$H:$H), "")</f>
        <v/>
      </c>
      <c r="Q115" s="152" t="str">
        <f t="array" ref="Q115">ifna(xlookup(K112, 'Week 3'!$A:$A, 'Week 3'!$E:$E), "")</f>
        <v/>
      </c>
      <c r="R115" s="152" t="str">
        <f t="array" ref="R115">ifna(xlookup(K112, 'Week 3'!$A:$A, 'Week 3'!$F:$F), "")</f>
        <v/>
      </c>
      <c r="S115" s="152" t="str">
        <f t="array" ref="S115">ifna(xlookup(K112, 'Week 3'!$A:$A, 'Week 3'!$I:$I), "")</f>
        <v/>
      </c>
      <c r="T115" s="153" t="str">
        <f t="shared" si="190"/>
        <v/>
      </c>
      <c r="U115" s="151" t="s">
        <v>12</v>
      </c>
      <c r="V115" s="2" t="str">
        <f t="shared" si="191"/>
        <v/>
      </c>
      <c r="W115" s="152" t="str">
        <f t="array" ref="W115">ifna(xlookup(U112, 'Week 3'!$A:$A, 'Week 3'!$B:$B), "")</f>
        <v/>
      </c>
      <c r="X115" s="152" t="str">
        <f t="array" ref="X115">ifna(xlookup(U112, 'Week 3'!$A:$A, 'Week 3'!$D:$D), "")</f>
        <v/>
      </c>
      <c r="Y115" s="152" t="str">
        <f t="array" ref="Y115">ifna(xlookup(U112, 'Week 3'!$A:$A, 'Week 3'!$G:$G), "")</f>
        <v/>
      </c>
      <c r="Z115" s="152" t="str">
        <f t="array" ref="Z115">ifna(xlookup(U112, 'Week 3'!$A:$A, 'Week 3'!$H:$H), "")</f>
        <v/>
      </c>
      <c r="AA115" s="152" t="str">
        <f t="array" ref="AA115">ifna(xlookup(U112, 'Week 3'!$A:$A, 'Week 3'!$E:$E), "")</f>
        <v/>
      </c>
      <c r="AB115" s="152" t="str">
        <f t="array" ref="AB115">ifna(xlookup(U112, 'Week 3'!$A:$A, 'Week 3'!$F:$F), "")</f>
        <v/>
      </c>
      <c r="AC115" s="152" t="str">
        <f t="array" ref="AC115">ifna(xlookup(U112, 'Week 3'!$A:$A, 'Week 3'!$I:$I), "")</f>
        <v/>
      </c>
      <c r="AD115" s="153" t="str">
        <f t="shared" si="192"/>
        <v/>
      </c>
      <c r="AE115" s="151" t="s">
        <v>12</v>
      </c>
      <c r="AF115" s="2" t="str">
        <f t="shared" si="193"/>
        <v/>
      </c>
      <c r="AG115" s="152" t="str">
        <f t="array" ref="AG115">ifna(xlookup(AE112, 'Week 3'!$A:$A, 'Week 3'!$B:$B), "")</f>
        <v/>
      </c>
      <c r="AH115" s="152" t="str">
        <f t="array" ref="AH115">ifna(xlookup(AE112, 'Week 3'!$A:$A, 'Week 3'!$D:$D), "")</f>
        <v/>
      </c>
      <c r="AI115" s="152" t="str">
        <f t="array" ref="AI115">ifna(xlookup(AE112, 'Week 3'!$A:$A, 'Week 3'!$G:$G), "")</f>
        <v/>
      </c>
      <c r="AJ115" s="152" t="str">
        <f t="array" ref="AJ115">ifna(xlookup(AE112, 'Week 3'!$A:$A, 'Week 3'!$H:$H), "")</f>
        <v/>
      </c>
      <c r="AK115" s="152" t="str">
        <f t="array" ref="AK115">ifna(xlookup(AE112, 'Week 3'!$A:$A, 'Week 3'!$E:$E), "")</f>
        <v/>
      </c>
      <c r="AL115" s="152" t="str">
        <f t="array" ref="AL115">ifna(xlookup(AE112, 'Week 3'!$A:$A, 'Week 3'!$F:$F), "")</f>
        <v/>
      </c>
      <c r="AM115" s="152" t="str">
        <f t="array" ref="AM115">ifna(xlookup(AE112, 'Week 3'!$A:$A, 'Week 3'!$I:$I), "")</f>
        <v/>
      </c>
      <c r="AN115" s="153" t="str">
        <f t="shared" si="194"/>
        <v/>
      </c>
      <c r="AO115" s="151" t="s">
        <v>12</v>
      </c>
      <c r="AP115" s="2" t="str">
        <f t="shared" si="195"/>
        <v/>
      </c>
      <c r="AQ115" s="152" t="str">
        <f t="array" ref="AQ115">ifna(xlookup(AO112, 'Week 3'!$A:$A, 'Week 3'!$B:$B), "")</f>
        <v>Win</v>
      </c>
      <c r="AR115" s="152" t="str">
        <f t="array" ref="AR115">ifna(xlookup(AO112, 'Week 3'!$A:$A, 'Week 3'!$D:$D), "")</f>
        <v/>
      </c>
      <c r="AS115" s="152" t="str">
        <f t="array" ref="AS115">ifna(xlookup(AO112, 'Week 3'!$A:$A, 'Week 3'!$G:$G), "")</f>
        <v/>
      </c>
      <c r="AT115" s="152" t="str">
        <f t="array" ref="AT115">ifna(xlookup(AO112, 'Week 3'!$A:$A, 'Week 3'!$H:$H), "")</f>
        <v/>
      </c>
      <c r="AU115" s="152" t="str">
        <f t="array" ref="AU115">ifna(xlookup(AO112, 'Week 3'!$A:$A, 'Week 3'!$E:$E), "")</f>
        <v/>
      </c>
      <c r="AV115" s="152" t="str">
        <f t="array" ref="AV115">ifna(xlookup(AO112, 'Week 3'!$A:$A, 'Week 3'!$F:$F), "")</f>
        <v/>
      </c>
      <c r="AW115" s="152" t="str">
        <f t="array" ref="AW115">ifna(xlookup(AO112, 'Week 3'!$A:$A, 'Week 3'!$I:$I), "")</f>
        <v/>
      </c>
      <c r="AX115" s="153" t="str">
        <f t="shared" si="196"/>
        <v/>
      </c>
      <c r="AY115" s="151" t="s">
        <v>12</v>
      </c>
      <c r="AZ115" s="2" t="str">
        <f t="shared" si="197"/>
        <v/>
      </c>
      <c r="BA115" s="152" t="str">
        <f t="array" ref="BA115">ifna(xlookup(AY112, 'Week 3'!$A:$A, 'Week 3'!$B:$B), "")</f>
        <v>Loss</v>
      </c>
      <c r="BB115" s="152" t="str">
        <f t="array" ref="BB115">ifna(xlookup(AY112, 'Week 3'!$A:$A, 'Week 3'!$D:$D), "")</f>
        <v/>
      </c>
      <c r="BC115" s="152" t="str">
        <f t="array" ref="BC115">ifna(xlookup(AY112, 'Week 3'!$A:$A, 'Week 3'!$G:$G), "")</f>
        <v/>
      </c>
      <c r="BD115" s="152" t="str">
        <f t="array" ref="BD115">ifna(xlookup(AY112, 'Week 3'!$A:$A, 'Week 3'!$H:$H), "")</f>
        <v/>
      </c>
      <c r="BE115" s="152" t="str">
        <f t="array" ref="BE115">ifna(xlookup(AY112, 'Week 3'!$A:$A, 'Week 3'!$E:$E), "")</f>
        <v/>
      </c>
      <c r="BF115" s="152" t="str">
        <f t="array" ref="BF115">ifna(xlookup(AY112, 'Week 3'!$A:$A, 'Week 3'!$F:$F), "")</f>
        <v/>
      </c>
      <c r="BG115" s="152" t="str">
        <f t="array" ref="BG115">ifna(xlookup(AY112, 'Week 3'!$A:$A, 'Week 3'!$I:$I), "")</f>
        <v/>
      </c>
      <c r="BH115" s="153" t="str">
        <f t="shared" si="198"/>
        <v/>
      </c>
      <c r="BI115" s="8"/>
      <c r="BJ115" s="8"/>
      <c r="BK115" s="8"/>
      <c r="BL115" s="8"/>
    </row>
    <row r="116">
      <c r="A116" s="151" t="s">
        <v>17</v>
      </c>
      <c r="B116" s="2" t="str">
        <f t="shared" si="187"/>
        <v/>
      </c>
      <c r="C116" s="152" t="str">
        <f t="array" ref="C116">ifna(xlookup(A112, 'Week 4'!$A:$A, 'Week 4'!$B:$B), "")</f>
        <v/>
      </c>
      <c r="D116" s="152" t="str">
        <f t="array" ref="D116">ifna(xlookup(A112, 'Week 4'!$A:$A, 'Week 4'!$D:$D), "")</f>
        <v/>
      </c>
      <c r="E116" s="152" t="str">
        <f t="array" ref="E116">ifna(xlookup(A112, 'Week 4'!$A:$A, 'Week 4'!$G:$G), "")</f>
        <v/>
      </c>
      <c r="F116" s="152" t="str">
        <f t="array" ref="F116">ifna(xlookup(A112, 'Week 4'!$A:$A, 'Week 4'!$H:$H), "")</f>
        <v/>
      </c>
      <c r="G116" s="152" t="str">
        <f t="array" ref="G116">ifna(xlookup(A112, 'Week 4'!$A:$A, 'Week 4'!$E:$E), "")</f>
        <v/>
      </c>
      <c r="H116" s="152" t="str">
        <f t="array" ref="H116">ifna(xlookup(A112, 'Week 4'!$A:$A, 'Week 4'!$F:$F), "")</f>
        <v/>
      </c>
      <c r="I116" s="152" t="str">
        <f t="array" ref="I116">ifna(xlookup(A112, 'Week 4'!$A:$A, 'Week 4'!$I:$I), "")</f>
        <v/>
      </c>
      <c r="J116" s="153" t="str">
        <f t="shared" si="188"/>
        <v/>
      </c>
      <c r="K116" s="151" t="s">
        <v>17</v>
      </c>
      <c r="L116" s="2" t="str">
        <f t="shared" si="189"/>
        <v/>
      </c>
      <c r="M116" s="152" t="str">
        <f t="array" ref="M116">ifna(xlookup(K112, 'Week 4'!$A:$A, 'Week 4'!$B:$B), "")</f>
        <v/>
      </c>
      <c r="N116" s="152" t="str">
        <f t="array" ref="N116">ifna(xlookup(K112, 'Week 4'!$A:$A, 'Week 4'!$D:$D), "")</f>
        <v/>
      </c>
      <c r="O116" s="152" t="str">
        <f t="array" ref="O116">ifna(xlookup(K112, 'Week 4'!$A:$A, 'Week 4'!$G:$G), "")</f>
        <v/>
      </c>
      <c r="P116" s="152" t="str">
        <f t="array" ref="P116">ifna(xlookup(K112, 'Week 4'!$A:$A, 'Week 4'!$H:$H), "")</f>
        <v/>
      </c>
      <c r="Q116" s="152" t="str">
        <f t="array" ref="Q116">ifna(xlookup(K112, 'Week 4'!$A:$A, 'Week 4'!$E:$E), "")</f>
        <v/>
      </c>
      <c r="R116" s="152" t="str">
        <f t="array" ref="R116">ifna(xlookup(K112, 'Week 4'!$A:$A, 'Week 4'!$F:$F), "")</f>
        <v/>
      </c>
      <c r="S116" s="152" t="str">
        <f t="array" ref="S116">ifna(xlookup(K112, 'Week 4'!$A:$A, 'Week 4'!$I:$I), "")</f>
        <v/>
      </c>
      <c r="T116" s="153" t="str">
        <f t="shared" si="190"/>
        <v/>
      </c>
      <c r="U116" s="151" t="s">
        <v>17</v>
      </c>
      <c r="V116" s="2" t="str">
        <f t="shared" si="191"/>
        <v/>
      </c>
      <c r="W116" s="152" t="str">
        <f t="array" ref="W116">ifna(xlookup(U112, 'Week 4'!$A:$A, 'Week 4'!$B:$B), "")</f>
        <v/>
      </c>
      <c r="X116" s="152" t="str">
        <f t="array" ref="X116">ifna(xlookup(U112, 'Week 4'!$A:$A, 'Week 4'!$D:$D), "")</f>
        <v/>
      </c>
      <c r="Y116" s="152" t="str">
        <f t="array" ref="Y116">ifna(xlookup(U112, 'Week 4'!$A:$A, 'Week 4'!$G:$G), "")</f>
        <v/>
      </c>
      <c r="Z116" s="152" t="str">
        <f t="array" ref="Z116">ifna(xlookup(U112, 'Week 4'!$A:$A, 'Week 4'!$H:$H), "")</f>
        <v/>
      </c>
      <c r="AA116" s="152" t="str">
        <f t="array" ref="AA116">ifna(xlookup(U112, 'Week 4'!$A:$A, 'Week 4'!$E:$E), "")</f>
        <v/>
      </c>
      <c r="AB116" s="152" t="str">
        <f t="array" ref="AB116">ifna(xlookup(U112, 'Week 4'!$A:$A, 'Week 4'!$F:$F), "")</f>
        <v/>
      </c>
      <c r="AC116" s="152" t="str">
        <f t="array" ref="AC116">ifna(xlookup(U112, 'Week 4'!$A:$A, 'Week 4'!$I:$I), "")</f>
        <v/>
      </c>
      <c r="AD116" s="153" t="str">
        <f t="shared" si="192"/>
        <v/>
      </c>
      <c r="AE116" s="151" t="s">
        <v>17</v>
      </c>
      <c r="AF116" s="2" t="str">
        <f t="shared" si="193"/>
        <v/>
      </c>
      <c r="AG116" s="152" t="str">
        <f t="array" ref="AG116">ifna(xlookup(AE112, 'Week 4'!$A:$A, 'Week 4'!$B:$B), "")</f>
        <v/>
      </c>
      <c r="AH116" s="152" t="str">
        <f t="array" ref="AH116">ifna(xlookup(AE112, 'Week 4'!$A:$A, 'Week 4'!$D:$D), "")</f>
        <v/>
      </c>
      <c r="AI116" s="152" t="str">
        <f t="array" ref="AI116">ifna(xlookup(AE112, 'Week 4'!$A:$A, 'Week 4'!$G:$G), "")</f>
        <v/>
      </c>
      <c r="AJ116" s="152" t="str">
        <f t="array" ref="AJ116">ifna(xlookup(AE112, 'Week 4'!$A:$A, 'Week 4'!$H:$H), "")</f>
        <v/>
      </c>
      <c r="AK116" s="152" t="str">
        <f t="array" ref="AK116">ifna(xlookup(AE112, 'Week 4'!$A:$A, 'Week 4'!$E:$E), "")</f>
        <v/>
      </c>
      <c r="AL116" s="152" t="str">
        <f t="array" ref="AL116">ifna(xlookup(AE112, 'Week 4'!$A:$A, 'Week 4'!$F:$F), "")</f>
        <v/>
      </c>
      <c r="AM116" s="152" t="str">
        <f t="array" ref="AM116">ifna(xlookup(AE112, 'Week 4'!$A:$A, 'Week 4'!$I:$I), "")</f>
        <v/>
      </c>
      <c r="AN116" s="153" t="str">
        <f t="shared" si="194"/>
        <v/>
      </c>
      <c r="AO116" s="151" t="s">
        <v>17</v>
      </c>
      <c r="AP116" s="2" t="str">
        <f t="shared" si="195"/>
        <v/>
      </c>
      <c r="AQ116" s="152" t="str">
        <f t="array" ref="AQ116">ifna(xlookup(AO112, 'Week 4'!$A:$A, 'Week 4'!$B:$B), "")</f>
        <v>Win</v>
      </c>
      <c r="AR116" s="152" t="str">
        <f t="array" ref="AR116">ifna(xlookup(AO112, 'Week 4'!$A:$A, 'Week 4'!$D:$D), "")</f>
        <v/>
      </c>
      <c r="AS116" s="152" t="str">
        <f t="array" ref="AS116">ifna(xlookup(AO112, 'Week 4'!$A:$A, 'Week 4'!$G:$G), "")</f>
        <v/>
      </c>
      <c r="AT116" s="152" t="str">
        <f t="array" ref="AT116">ifna(xlookup(AO112, 'Week 4'!$A:$A, 'Week 4'!$H:$H), "")</f>
        <v/>
      </c>
      <c r="AU116" s="152" t="str">
        <f t="array" ref="AU116">ifna(xlookup(AO112, 'Week 4'!$A:$A, 'Week 4'!$E:$E), "")</f>
        <v/>
      </c>
      <c r="AV116" s="152" t="str">
        <f t="array" ref="AV116">ifna(xlookup(AO112, 'Week 4'!$A:$A, 'Week 4'!$F:$F), "")</f>
        <v/>
      </c>
      <c r="AW116" s="152" t="str">
        <f t="array" ref="AW116">ifna(xlookup(AO112, 'Week 4'!$A:$A, 'Week 4'!$I:$I), "")</f>
        <v/>
      </c>
      <c r="AX116" s="153" t="str">
        <f t="shared" si="196"/>
        <v/>
      </c>
      <c r="AY116" s="151" t="s">
        <v>17</v>
      </c>
      <c r="AZ116" s="2" t="str">
        <f t="shared" si="197"/>
        <v/>
      </c>
      <c r="BA116" s="152" t="str">
        <f t="array" ref="BA116">ifna(xlookup(AY112, 'Week 4'!$A:$A, 'Week 4'!$B:$B), "")</f>
        <v>Loss</v>
      </c>
      <c r="BB116" s="152" t="str">
        <f t="array" ref="BB116">ifna(xlookup(AY112, 'Week 4'!$A:$A, 'Week 4'!$D:$D), "")</f>
        <v/>
      </c>
      <c r="BC116" s="152" t="str">
        <f t="array" ref="BC116">ifna(xlookup(AY112, 'Week 4'!$A:$A, 'Week 4'!$G:$G), "")</f>
        <v/>
      </c>
      <c r="BD116" s="152" t="str">
        <f t="array" ref="BD116">ifna(xlookup(AY112, 'Week 4'!$A:$A, 'Week 4'!$H:$H), "")</f>
        <v/>
      </c>
      <c r="BE116" s="152" t="str">
        <f t="array" ref="BE116">ifna(xlookup(AY112, 'Week 4'!$A:$A, 'Week 4'!$E:$E), "")</f>
        <v/>
      </c>
      <c r="BF116" s="152" t="str">
        <f t="array" ref="BF116">ifna(xlookup(AY112, 'Week 4'!$A:$A, 'Week 4'!$F:$F), "")</f>
        <v/>
      </c>
      <c r="BG116" s="152" t="str">
        <f t="array" ref="BG116">ifna(xlookup(AY112, 'Week 4'!$A:$A, 'Week 4'!$I:$I), "")</f>
        <v/>
      </c>
      <c r="BH116" s="153" t="str">
        <f t="shared" si="198"/>
        <v/>
      </c>
      <c r="BI116" s="8"/>
      <c r="BJ116" s="8"/>
      <c r="BK116" s="8"/>
      <c r="BL116" s="8"/>
    </row>
    <row r="117">
      <c r="A117" s="151" t="s">
        <v>20</v>
      </c>
      <c r="B117" s="2" t="str">
        <f t="shared" si="187"/>
        <v/>
      </c>
      <c r="C117" s="152" t="str">
        <f t="array" ref="C117">ifna(xlookup(A112, 'Week 5'!$A:$A, 'Week 5'!$B:$B), "")</f>
        <v/>
      </c>
      <c r="D117" s="152" t="str">
        <f t="array" ref="D117">ifna(xlookup(A112, 'Week 5'!$A:$A, 'Week 5'!$D:$D), "")</f>
        <v/>
      </c>
      <c r="E117" s="152" t="str">
        <f t="array" ref="E117">ifna(xlookup(A112, 'Week 5'!$A:$A, 'Week 5'!$G:$G), "")</f>
        <v/>
      </c>
      <c r="F117" s="152" t="str">
        <f t="array" ref="F117">ifna(xlookup(A112, 'Week 5'!$A:$A, 'Week 5'!$H:$H), "")</f>
        <v/>
      </c>
      <c r="G117" s="152" t="str">
        <f t="array" ref="G117">ifna(xlookup(A112, 'Week 5'!$A:$A, 'Week 5'!$E:$E), "")</f>
        <v/>
      </c>
      <c r="H117" s="152" t="str">
        <f t="array" ref="H117">ifna(xlookup(A112, 'Week 5'!$A:$A, 'Week 5'!$F:$F), "")</f>
        <v/>
      </c>
      <c r="I117" s="152" t="str">
        <f t="array" ref="I117">ifna(xlookup(A112, 'Week 5'!$A:$A, 'Week 5'!$I:$I), "")</f>
        <v/>
      </c>
      <c r="J117" s="153" t="str">
        <f t="shared" si="188"/>
        <v/>
      </c>
      <c r="K117" s="151" t="s">
        <v>20</v>
      </c>
      <c r="L117" s="2" t="str">
        <f t="shared" si="189"/>
        <v/>
      </c>
      <c r="M117" s="152" t="str">
        <f t="array" ref="M117">ifna(xlookup(K112, 'Week 5'!$A:$A, 'Week 5'!$B:$B), "")</f>
        <v/>
      </c>
      <c r="N117" s="152" t="str">
        <f t="array" ref="N117">ifna(xlookup(K112, 'Week 5'!$A:$A, 'Week 5'!$D:$D), "")</f>
        <v/>
      </c>
      <c r="O117" s="152" t="str">
        <f t="array" ref="O117">ifna(xlookup(K112, 'Week 5'!$A:$A, 'Week 5'!$G:$G), "")</f>
        <v/>
      </c>
      <c r="P117" s="152" t="str">
        <f t="array" ref="P117">ifna(xlookup(K112, 'Week 5'!$A:$A, 'Week 5'!$H:$H), "")</f>
        <v/>
      </c>
      <c r="Q117" s="152" t="str">
        <f t="array" ref="Q117">ifna(xlookup(K112, 'Week 5'!$A:$A, 'Week 5'!$E:$E), "")</f>
        <v/>
      </c>
      <c r="R117" s="152" t="str">
        <f t="array" ref="R117">ifna(xlookup(K112, 'Week 5'!$A:$A, 'Week 5'!$F:$F), "")</f>
        <v/>
      </c>
      <c r="S117" s="152" t="str">
        <f t="array" ref="S117">ifna(xlookup(K112, 'Week 5'!$A:$A, 'Week 5'!$I:$I), "")</f>
        <v/>
      </c>
      <c r="T117" s="153" t="str">
        <f t="shared" si="190"/>
        <v/>
      </c>
      <c r="U117" s="151" t="s">
        <v>20</v>
      </c>
      <c r="V117" s="2" t="str">
        <f t="shared" si="191"/>
        <v/>
      </c>
      <c r="W117" s="152" t="str">
        <f t="array" ref="W117">ifna(xlookup(U112, 'Week 5'!$A:$A, 'Week 5'!$B:$B), "")</f>
        <v/>
      </c>
      <c r="X117" s="152" t="str">
        <f t="array" ref="X117">ifna(xlookup(U112, 'Week 5'!$A:$A, 'Week 5'!$D:$D), "")</f>
        <v/>
      </c>
      <c r="Y117" s="152" t="str">
        <f t="array" ref="Y117">ifna(xlookup(U112, 'Week 5'!$A:$A, 'Week 5'!$G:$G), "")</f>
        <v/>
      </c>
      <c r="Z117" s="152" t="str">
        <f t="array" ref="Z117">ifna(xlookup(U112, 'Week 5'!$A:$A, 'Week 5'!$H:$H), "")</f>
        <v/>
      </c>
      <c r="AA117" s="152" t="str">
        <f t="array" ref="AA117">ifna(xlookup(U112, 'Week 5'!$A:$A, 'Week 5'!$E:$E), "")</f>
        <v/>
      </c>
      <c r="AB117" s="152" t="str">
        <f t="array" ref="AB117">ifna(xlookup(U112, 'Week 5'!$A:$A, 'Week 5'!$F:$F), "")</f>
        <v/>
      </c>
      <c r="AC117" s="152" t="str">
        <f t="array" ref="AC117">ifna(xlookup(U112, 'Week 5'!$A:$A, 'Week 5'!$I:$I), "")</f>
        <v/>
      </c>
      <c r="AD117" s="153" t="str">
        <f t="shared" si="192"/>
        <v/>
      </c>
      <c r="AE117" s="151" t="s">
        <v>20</v>
      </c>
      <c r="AF117" s="2" t="str">
        <f t="shared" si="193"/>
        <v/>
      </c>
      <c r="AG117" s="152" t="str">
        <f t="array" ref="AG117">ifna(xlookup(AE112, 'Week 5'!$A:$A, 'Week 5'!$B:$B), "")</f>
        <v/>
      </c>
      <c r="AH117" s="152" t="str">
        <f t="array" ref="AH117">ifna(xlookup(AE112, 'Week 5'!$A:$A, 'Week 5'!$D:$D), "")</f>
        <v/>
      </c>
      <c r="AI117" s="152" t="str">
        <f t="array" ref="AI117">ifna(xlookup(AE112, 'Week 5'!$A:$A, 'Week 5'!$G:$G), "")</f>
        <v/>
      </c>
      <c r="AJ117" s="152" t="str">
        <f t="array" ref="AJ117">ifna(xlookup(AE112, 'Week 5'!$A:$A, 'Week 5'!$H:$H), "")</f>
        <v/>
      </c>
      <c r="AK117" s="152" t="str">
        <f t="array" ref="AK117">ifna(xlookup(AE112, 'Week 5'!$A:$A, 'Week 5'!$E:$E), "")</f>
        <v/>
      </c>
      <c r="AL117" s="152" t="str">
        <f t="array" ref="AL117">ifna(xlookup(AE112, 'Week 5'!$A:$A, 'Week 5'!$F:$F), "")</f>
        <v/>
      </c>
      <c r="AM117" s="152" t="str">
        <f t="array" ref="AM117">ifna(xlookup(AE112, 'Week 5'!$A:$A, 'Week 5'!$I:$I), "")</f>
        <v/>
      </c>
      <c r="AN117" s="153" t="str">
        <f t="shared" si="194"/>
        <v/>
      </c>
      <c r="AO117" s="151" t="s">
        <v>20</v>
      </c>
      <c r="AP117" s="2" t="str">
        <f t="shared" si="195"/>
        <v/>
      </c>
      <c r="AQ117" s="152" t="str">
        <f t="array" ref="AQ117">ifna(xlookup(AO112, 'Week 5'!$A:$A, 'Week 5'!$B:$B), "")</f>
        <v>Win</v>
      </c>
      <c r="AR117" s="152" t="str">
        <f t="array" ref="AR117">ifna(xlookup(AO112, 'Week 5'!$A:$A, 'Week 5'!$D:$D), "")</f>
        <v/>
      </c>
      <c r="AS117" s="152" t="str">
        <f t="array" ref="AS117">ifna(xlookup(AO112, 'Week 5'!$A:$A, 'Week 5'!$G:$G), "")</f>
        <v/>
      </c>
      <c r="AT117" s="152" t="str">
        <f t="array" ref="AT117">ifna(xlookup(AO112, 'Week 5'!$A:$A, 'Week 5'!$H:$H), "")</f>
        <v/>
      </c>
      <c r="AU117" s="152" t="str">
        <f t="array" ref="AU117">ifna(xlookup(AO112, 'Week 5'!$A:$A, 'Week 5'!$E:$E), "")</f>
        <v/>
      </c>
      <c r="AV117" s="152" t="str">
        <f t="array" ref="AV117">ifna(xlookup(AO112, 'Week 5'!$A:$A, 'Week 5'!$F:$F), "")</f>
        <v/>
      </c>
      <c r="AW117" s="152" t="str">
        <f t="array" ref="AW117">ifna(xlookup(AO112, 'Week 5'!$A:$A, 'Week 5'!$I:$I), "")</f>
        <v/>
      </c>
      <c r="AX117" s="153" t="str">
        <f t="shared" si="196"/>
        <v/>
      </c>
      <c r="AY117" s="151" t="s">
        <v>20</v>
      </c>
      <c r="AZ117" s="2" t="str">
        <f t="shared" si="197"/>
        <v/>
      </c>
      <c r="BA117" s="152" t="str">
        <f t="array" ref="BA117">ifna(xlookup(AY112, 'Week 5'!$A:$A, 'Week 5'!$B:$B), "")</f>
        <v>Loss</v>
      </c>
      <c r="BB117" s="152" t="str">
        <f t="array" ref="BB117">ifna(xlookup(AY112, 'Week 5'!$A:$A, 'Week 5'!$D:$D), "")</f>
        <v/>
      </c>
      <c r="BC117" s="152" t="str">
        <f t="array" ref="BC117">ifna(xlookup(AY112, 'Week 5'!$A:$A, 'Week 5'!$G:$G), "")</f>
        <v/>
      </c>
      <c r="BD117" s="152" t="str">
        <f t="array" ref="BD117">ifna(xlookup(AY112, 'Week 5'!$A:$A, 'Week 5'!$H:$H), "")</f>
        <v/>
      </c>
      <c r="BE117" s="152" t="str">
        <f t="array" ref="BE117">ifna(xlookup(AY112, 'Week 5'!$A:$A, 'Week 5'!$E:$E), "")</f>
        <v/>
      </c>
      <c r="BF117" s="152" t="str">
        <f t="array" ref="BF117">ifna(xlookup(AY112, 'Week 5'!$A:$A, 'Week 5'!$F:$F), "")</f>
        <v/>
      </c>
      <c r="BG117" s="152" t="str">
        <f t="array" ref="BG117">ifna(xlookup(AY112, 'Week 5'!$A:$A, 'Week 5'!$I:$I), "")</f>
        <v/>
      </c>
      <c r="BH117" s="153" t="str">
        <f t="shared" si="198"/>
        <v/>
      </c>
      <c r="BI117" s="8"/>
      <c r="BJ117" s="8"/>
      <c r="BK117" s="8"/>
      <c r="BL117" s="8"/>
    </row>
    <row r="118">
      <c r="A118" s="151" t="s">
        <v>23</v>
      </c>
      <c r="B118" s="2" t="str">
        <f t="shared" si="187"/>
        <v/>
      </c>
      <c r="C118" s="152" t="str">
        <f t="array" ref="C118">ifna(xlookup(A112, 'Week 6'!$A:$A, 'Week 6'!$B:$B), "")</f>
        <v/>
      </c>
      <c r="D118" s="152" t="str">
        <f t="array" ref="D118">ifna(xlookup(A112, 'Week 6'!$A:$A, 'Week 6'!$D:$D), "")</f>
        <v/>
      </c>
      <c r="E118" s="152" t="str">
        <f t="array" ref="E118">ifna(xlookup(A112, 'Week 6'!$A:$A, 'Week 6'!$G:$G), "")</f>
        <v/>
      </c>
      <c r="F118" s="152" t="str">
        <f t="array" ref="F118">ifna(xlookup(A112, 'Week 6'!$A:$A, 'Week 6'!$H:$H), "")</f>
        <v/>
      </c>
      <c r="G118" s="152" t="str">
        <f t="array" ref="G118">ifna(xlookup(A112, 'Week 6'!$A:$A, 'Week 6'!$E:$E), "")</f>
        <v/>
      </c>
      <c r="H118" s="152" t="str">
        <f t="array" ref="H118">ifna(xlookup(A112, 'Week 6'!$A:$A, 'Week 6'!$F:$F), "")</f>
        <v/>
      </c>
      <c r="I118" s="152" t="str">
        <f t="array" ref="I118">ifna(xlookup(A112, 'Week 6'!$A:$A, 'Week 6'!$I:$I), "")</f>
        <v/>
      </c>
      <c r="J118" s="153" t="str">
        <f t="shared" si="188"/>
        <v/>
      </c>
      <c r="K118" s="151" t="s">
        <v>23</v>
      </c>
      <c r="L118" s="2" t="str">
        <f t="shared" si="189"/>
        <v/>
      </c>
      <c r="M118" s="152" t="str">
        <f t="array" ref="M118">ifna(xlookup(K112, 'Week 6'!$A:$A, 'Week 6'!$B:$B), "")</f>
        <v/>
      </c>
      <c r="N118" s="152" t="str">
        <f t="array" ref="N118">ifna(xlookup(K112, 'Week 6'!$A:$A, 'Week 6'!$D:$D), "")</f>
        <v/>
      </c>
      <c r="O118" s="152" t="str">
        <f t="array" ref="O118">ifna(xlookup(K112, 'Week 6'!$A:$A, 'Week 6'!$G:$G), "")</f>
        <v/>
      </c>
      <c r="P118" s="152" t="str">
        <f t="array" ref="P118">ifna(xlookup(K112, 'Week 6'!$A:$A, 'Week 6'!$H:$H), "")</f>
        <v/>
      </c>
      <c r="Q118" s="152" t="str">
        <f t="array" ref="Q118">ifna(xlookup(K112, 'Week 6'!$A:$A, 'Week 6'!$E:$E), "")</f>
        <v/>
      </c>
      <c r="R118" s="152" t="str">
        <f t="array" ref="R118">ifna(xlookup(K112, 'Week 6'!$A:$A, 'Week 6'!$F:$F), "")</f>
        <v/>
      </c>
      <c r="S118" s="152" t="str">
        <f t="array" ref="S118">ifna(xlookup(K112, 'Week 6'!$A:$A, 'Week 6'!$I:$I), "")</f>
        <v/>
      </c>
      <c r="T118" s="153" t="str">
        <f t="shared" si="190"/>
        <v/>
      </c>
      <c r="U118" s="151" t="s">
        <v>23</v>
      </c>
      <c r="V118" s="2" t="str">
        <f t="shared" si="191"/>
        <v/>
      </c>
      <c r="W118" s="152" t="str">
        <f t="array" ref="W118">ifna(xlookup(U112, 'Week 6'!$A:$A, 'Week 6'!$B:$B), "")</f>
        <v/>
      </c>
      <c r="X118" s="152" t="str">
        <f t="array" ref="X118">ifna(xlookup(U112, 'Week 6'!$A:$A, 'Week 6'!$D:$D), "")</f>
        <v/>
      </c>
      <c r="Y118" s="152" t="str">
        <f t="array" ref="Y118">ifna(xlookup(U112, 'Week 6'!$A:$A, 'Week 6'!$G:$G), "")</f>
        <v/>
      </c>
      <c r="Z118" s="152" t="str">
        <f t="array" ref="Z118">ifna(xlookup(U112, 'Week 6'!$A:$A, 'Week 6'!$H:$H), "")</f>
        <v/>
      </c>
      <c r="AA118" s="152" t="str">
        <f t="array" ref="AA118">ifna(xlookup(U112, 'Week 6'!$A:$A, 'Week 6'!$E:$E), "")</f>
        <v/>
      </c>
      <c r="AB118" s="152" t="str">
        <f t="array" ref="AB118">ifna(xlookup(U112, 'Week 6'!$A:$A, 'Week 6'!$F:$F), "")</f>
        <v/>
      </c>
      <c r="AC118" s="152" t="str">
        <f t="array" ref="AC118">ifna(xlookup(U112, 'Week 6'!$A:$A, 'Week 6'!$I:$I), "")</f>
        <v/>
      </c>
      <c r="AD118" s="153" t="str">
        <f t="shared" si="192"/>
        <v/>
      </c>
      <c r="AE118" s="151" t="s">
        <v>23</v>
      </c>
      <c r="AF118" s="2" t="str">
        <f t="shared" si="193"/>
        <v/>
      </c>
      <c r="AG118" s="152" t="str">
        <f t="array" ref="AG118">ifna(xlookup(AE112, 'Week 6'!$A:$A, 'Week 6'!$B:$B), "")</f>
        <v/>
      </c>
      <c r="AH118" s="152" t="str">
        <f t="array" ref="AH118">ifna(xlookup(AE112, 'Week 6'!$A:$A, 'Week 6'!$D:$D), "")</f>
        <v/>
      </c>
      <c r="AI118" s="152" t="str">
        <f t="array" ref="AI118">ifna(xlookup(AE112, 'Week 6'!$A:$A, 'Week 6'!$G:$G), "")</f>
        <v/>
      </c>
      <c r="AJ118" s="152" t="str">
        <f t="array" ref="AJ118">ifna(xlookup(AE112, 'Week 6'!$A:$A, 'Week 6'!$H:$H), "")</f>
        <v/>
      </c>
      <c r="AK118" s="152" t="str">
        <f t="array" ref="AK118">ifna(xlookup(AE112, 'Week 6'!$A:$A, 'Week 6'!$E:$E), "")</f>
        <v/>
      </c>
      <c r="AL118" s="152" t="str">
        <f t="array" ref="AL118">ifna(xlookup(AE112, 'Week 6'!$A:$A, 'Week 6'!$F:$F), "")</f>
        <v/>
      </c>
      <c r="AM118" s="152" t="str">
        <f t="array" ref="AM118">ifna(xlookup(AE112, 'Week 6'!$A:$A, 'Week 6'!$I:$I), "")</f>
        <v/>
      </c>
      <c r="AN118" s="153" t="str">
        <f t="shared" si="194"/>
        <v/>
      </c>
      <c r="AO118" s="151" t="s">
        <v>23</v>
      </c>
      <c r="AP118" s="2" t="str">
        <f t="shared" si="195"/>
        <v/>
      </c>
      <c r="AQ118" s="152" t="str">
        <f t="array" ref="AQ118">ifna(xlookup(AO112, 'Week 6'!$A:$A, 'Week 6'!$B:$B), "")</f>
        <v>Win</v>
      </c>
      <c r="AR118" s="152" t="str">
        <f t="array" ref="AR118">ifna(xlookup(AO112, 'Week 6'!$A:$A, 'Week 6'!$D:$D), "")</f>
        <v/>
      </c>
      <c r="AS118" s="152" t="str">
        <f t="array" ref="AS118">ifna(xlookup(AO112, 'Week 6'!$A:$A, 'Week 6'!$G:$G), "")</f>
        <v/>
      </c>
      <c r="AT118" s="152" t="str">
        <f t="array" ref="AT118">ifna(xlookup(AO112, 'Week 6'!$A:$A, 'Week 6'!$H:$H), "")</f>
        <v/>
      </c>
      <c r="AU118" s="152" t="str">
        <f t="array" ref="AU118">ifna(xlookup(AO112, 'Week 6'!$A:$A, 'Week 6'!$E:$E), "")</f>
        <v/>
      </c>
      <c r="AV118" s="152" t="str">
        <f t="array" ref="AV118">ifna(xlookup(AO112, 'Week 6'!$A:$A, 'Week 6'!$F:$F), "")</f>
        <v/>
      </c>
      <c r="AW118" s="152" t="str">
        <f t="array" ref="AW118">ifna(xlookup(AO112, 'Week 6'!$A:$A, 'Week 6'!$I:$I), "")</f>
        <v/>
      </c>
      <c r="AX118" s="153" t="str">
        <f t="shared" si="196"/>
        <v/>
      </c>
      <c r="AY118" s="151" t="s">
        <v>23</v>
      </c>
      <c r="AZ118" s="2" t="str">
        <f t="shared" si="197"/>
        <v/>
      </c>
      <c r="BA118" s="152" t="str">
        <f t="array" ref="BA118">ifna(xlookup(AY112, 'Week 6'!$A:$A, 'Week 6'!$B:$B), "")</f>
        <v>Win</v>
      </c>
      <c r="BB118" s="152" t="str">
        <f t="array" ref="BB118">ifna(xlookup(AY112, 'Week 6'!$A:$A, 'Week 6'!$D:$D), "")</f>
        <v/>
      </c>
      <c r="BC118" s="152" t="str">
        <f t="array" ref="BC118">ifna(xlookup(AY112, 'Week 6'!$A:$A, 'Week 6'!$G:$G), "")</f>
        <v/>
      </c>
      <c r="BD118" s="152" t="str">
        <f t="array" ref="BD118">ifna(xlookup(AY112, 'Week 6'!$A:$A, 'Week 6'!$H:$H), "")</f>
        <v/>
      </c>
      <c r="BE118" s="152" t="str">
        <f t="array" ref="BE118">ifna(xlookup(AY112, 'Week 6'!$A:$A, 'Week 6'!$E:$E), "")</f>
        <v/>
      </c>
      <c r="BF118" s="152" t="str">
        <f t="array" ref="BF118">ifna(xlookup(AY112, 'Week 6'!$A:$A, 'Week 6'!$F:$F), "")</f>
        <v/>
      </c>
      <c r="BG118" s="152" t="str">
        <f t="array" ref="BG118">ifna(xlookup(AY112, 'Week 6'!$A:$A, 'Week 6'!$I:$I), "")</f>
        <v/>
      </c>
      <c r="BH118" s="153" t="str">
        <f t="shared" si="198"/>
        <v/>
      </c>
      <c r="BI118" s="8"/>
      <c r="BJ118" s="8"/>
      <c r="BK118" s="8"/>
      <c r="BL118" s="8"/>
    </row>
    <row r="119">
      <c r="A119" s="151" t="s">
        <v>41</v>
      </c>
      <c r="B119" s="2" t="str">
        <f t="shared" si="187"/>
        <v/>
      </c>
      <c r="C119" s="152" t="str">
        <f t="array" ref="C119">ifna(xlookup(A112, 'Week 7'!$A:$A, 'Week 7'!$B:$B), "")</f>
        <v/>
      </c>
      <c r="D119" s="152" t="str">
        <f t="array" ref="D119">ifna(xlookup(A112, 'Week 7'!$A:$A, 'Week 7'!$D:$D), "")</f>
        <v/>
      </c>
      <c r="E119" s="152" t="str">
        <f t="array" ref="E119">ifna(xlookup(A112, 'Week 7'!$A:$A, 'Week 7'!$G:$G), "")</f>
        <v/>
      </c>
      <c r="F119" s="152" t="str">
        <f t="array" ref="F119">ifna(xlookup(A112, 'Week 7'!$A:$A, 'Week 7'!$H:$H), "")</f>
        <v/>
      </c>
      <c r="G119" s="152" t="str">
        <f t="array" ref="G119">ifna(xlookup(A112, 'Week 7'!$A:$A, 'Week 7'!$E:$E), "")</f>
        <v/>
      </c>
      <c r="H119" s="152" t="str">
        <f t="array" ref="H119">ifna(xlookup(A112, 'Week 7'!$A:$A, 'Week 7'!$F:$F), "")</f>
        <v/>
      </c>
      <c r="I119" s="152" t="str">
        <f t="array" ref="I119">ifna(xlookup(A112, 'Week 7'!$A:$A, 'Week 7'!$I:$I), "")</f>
        <v/>
      </c>
      <c r="J119" s="153" t="str">
        <f t="shared" si="188"/>
        <v/>
      </c>
      <c r="K119" s="151" t="s">
        <v>41</v>
      </c>
      <c r="L119" s="2" t="str">
        <f t="shared" si="189"/>
        <v/>
      </c>
      <c r="M119" s="152" t="str">
        <f t="array" ref="M119">ifna(xlookup(K112, 'Week 7'!$A:$A, 'Week 7'!$B:$B), "")</f>
        <v/>
      </c>
      <c r="N119" s="152" t="str">
        <f t="array" ref="N119">ifna(xlookup(K112, 'Week 7'!$A:$A, 'Week 7'!$D:$D), "")</f>
        <v/>
      </c>
      <c r="O119" s="152" t="str">
        <f t="array" ref="O119">ifna(xlookup(K112, 'Week 7'!$A:$A, 'Week 7'!$G:$G), "")</f>
        <v/>
      </c>
      <c r="P119" s="152" t="str">
        <f t="array" ref="P119">ifna(xlookup(K112, 'Week 7'!$A:$A, 'Week 7'!$H:$H), "")</f>
        <v/>
      </c>
      <c r="Q119" s="152" t="str">
        <f t="array" ref="Q119">ifna(xlookup(K112, 'Week 7'!$A:$A, 'Week 7'!$E:$E), "")</f>
        <v/>
      </c>
      <c r="R119" s="152" t="str">
        <f t="array" ref="R119">ifna(xlookup(K112, 'Week 7'!$A:$A, 'Week 7'!$F:$F), "")</f>
        <v/>
      </c>
      <c r="S119" s="152" t="str">
        <f t="array" ref="S119">ifna(xlookup(K112, 'Week 7'!$A:$A, 'Week 7'!$I:$I), "")</f>
        <v/>
      </c>
      <c r="T119" s="153" t="str">
        <f t="shared" si="190"/>
        <v/>
      </c>
      <c r="U119" s="151" t="s">
        <v>41</v>
      </c>
      <c r="V119" s="2" t="str">
        <f t="shared" si="191"/>
        <v/>
      </c>
      <c r="W119" s="152" t="str">
        <f t="array" ref="W119">ifna(xlookup(U112, 'Week 7'!$A:$A, 'Week 7'!$B:$B), "")</f>
        <v/>
      </c>
      <c r="X119" s="152" t="str">
        <f t="array" ref="X119">ifna(xlookup(U112, 'Week 7'!$A:$A, 'Week 7'!$D:$D), "")</f>
        <v/>
      </c>
      <c r="Y119" s="152" t="str">
        <f t="array" ref="Y119">ifna(xlookup(U112, 'Week 7'!$A:$A, 'Week 7'!$G:$G), "")</f>
        <v/>
      </c>
      <c r="Z119" s="152" t="str">
        <f t="array" ref="Z119">ifna(xlookup(U112, 'Week 7'!$A:$A, 'Week 7'!$H:$H), "")</f>
        <v/>
      </c>
      <c r="AA119" s="152" t="str">
        <f t="array" ref="AA119">ifna(xlookup(U112, 'Week 7'!$A:$A, 'Week 7'!$E:$E), "")</f>
        <v/>
      </c>
      <c r="AB119" s="152" t="str">
        <f t="array" ref="AB119">ifna(xlookup(U112, 'Week 7'!$A:$A, 'Week 7'!$F:$F), "")</f>
        <v/>
      </c>
      <c r="AC119" s="152" t="str">
        <f t="array" ref="AC119">ifna(xlookup(U112, 'Week 7'!$A:$A, 'Week 7'!$I:$I), "")</f>
        <v/>
      </c>
      <c r="AD119" s="153" t="str">
        <f t="shared" si="192"/>
        <v/>
      </c>
      <c r="AE119" s="151" t="s">
        <v>41</v>
      </c>
      <c r="AF119" s="2" t="str">
        <f t="shared" si="193"/>
        <v/>
      </c>
      <c r="AG119" s="152" t="str">
        <f t="array" ref="AG119">ifna(xlookup(AE112, 'Week 7'!$A:$A, 'Week 7'!$B:$B), "")</f>
        <v/>
      </c>
      <c r="AH119" s="152" t="str">
        <f t="array" ref="AH119">ifna(xlookup(AE112, 'Week 7'!$A:$A, 'Week 7'!$D:$D), "")</f>
        <v/>
      </c>
      <c r="AI119" s="152" t="str">
        <f t="array" ref="AI119">ifna(xlookup(AE112, 'Week 7'!$A:$A, 'Week 7'!$G:$G), "")</f>
        <v/>
      </c>
      <c r="AJ119" s="152" t="str">
        <f t="array" ref="AJ119">ifna(xlookup(AE112, 'Week 7'!$A:$A, 'Week 7'!$H:$H), "")</f>
        <v/>
      </c>
      <c r="AK119" s="152" t="str">
        <f t="array" ref="AK119">ifna(xlookup(AE112, 'Week 7'!$A:$A, 'Week 7'!$E:$E), "")</f>
        <v/>
      </c>
      <c r="AL119" s="152" t="str">
        <f t="array" ref="AL119">ifna(xlookup(AE112, 'Week 7'!$A:$A, 'Week 7'!$F:$F), "")</f>
        <v/>
      </c>
      <c r="AM119" s="152" t="str">
        <f t="array" ref="AM119">ifna(xlookup(AE112, 'Week 7'!$A:$A, 'Week 7'!$I:$I), "")</f>
        <v/>
      </c>
      <c r="AN119" s="153" t="str">
        <f t="shared" si="194"/>
        <v/>
      </c>
      <c r="AO119" s="151" t="s">
        <v>41</v>
      </c>
      <c r="AP119" s="2" t="str">
        <f t="shared" si="195"/>
        <v/>
      </c>
      <c r="AQ119" s="152" t="str">
        <f t="array" ref="AQ119">ifna(xlookup(AO112, 'Week 7'!$A:$A, 'Week 7'!$B:$B), "")</f>
        <v>Win</v>
      </c>
      <c r="AR119" s="152" t="str">
        <f t="array" ref="AR119">ifna(xlookup(AO112, 'Week 7'!$A:$A, 'Week 7'!$D:$D), "")</f>
        <v/>
      </c>
      <c r="AS119" s="152" t="str">
        <f t="array" ref="AS119">ifna(xlookup(AO112, 'Week 7'!$A:$A, 'Week 7'!$G:$G), "")</f>
        <v/>
      </c>
      <c r="AT119" s="152" t="str">
        <f t="array" ref="AT119">ifna(xlookup(AO112, 'Week 7'!$A:$A, 'Week 7'!$H:$H), "")</f>
        <v/>
      </c>
      <c r="AU119" s="152" t="str">
        <f t="array" ref="AU119">ifna(xlookup(AO112, 'Week 7'!$A:$A, 'Week 7'!$E:$E), "")</f>
        <v/>
      </c>
      <c r="AV119" s="152" t="str">
        <f t="array" ref="AV119">ifna(xlookup(AO112, 'Week 7'!$A:$A, 'Week 7'!$F:$F), "")</f>
        <v/>
      </c>
      <c r="AW119" s="152" t="str">
        <f t="array" ref="AW119">ifna(xlookup(AO112, 'Week 7'!$A:$A, 'Week 7'!$I:$I), "")</f>
        <v/>
      </c>
      <c r="AX119" s="153" t="str">
        <f t="shared" si="196"/>
        <v/>
      </c>
      <c r="AY119" s="151" t="s">
        <v>41</v>
      </c>
      <c r="AZ119" s="2" t="str">
        <f t="shared" si="197"/>
        <v/>
      </c>
      <c r="BA119" s="152" t="str">
        <f t="array" ref="BA119">ifna(xlookup(AY112, 'Week 7'!$A:$A, 'Week 7'!$B:$B), "")</f>
        <v>Loss</v>
      </c>
      <c r="BB119" s="152" t="str">
        <f t="array" ref="BB119">ifna(xlookup(AY112, 'Week 7'!$A:$A, 'Week 7'!$D:$D), "")</f>
        <v/>
      </c>
      <c r="BC119" s="152" t="str">
        <f t="array" ref="BC119">ifna(xlookup(AY112, 'Week 7'!$A:$A, 'Week 7'!$G:$G), "")</f>
        <v/>
      </c>
      <c r="BD119" s="152" t="str">
        <f t="array" ref="BD119">ifna(xlookup(AY112, 'Week 7'!$A:$A, 'Week 7'!$H:$H), "")</f>
        <v/>
      </c>
      <c r="BE119" s="152" t="str">
        <f t="array" ref="BE119">ifna(xlookup(AY112, 'Week 7'!$A:$A, 'Week 7'!$E:$E), "")</f>
        <v/>
      </c>
      <c r="BF119" s="152" t="str">
        <f t="array" ref="BF119">ifna(xlookup(AY112, 'Week 7'!$A:$A, 'Week 7'!$F:$F), "")</f>
        <v/>
      </c>
      <c r="BG119" s="152" t="str">
        <f t="array" ref="BG119">ifna(xlookup(AY112, 'Week 7'!$A:$A, 'Week 7'!$I:$I), "")</f>
        <v/>
      </c>
      <c r="BH119" s="153" t="str">
        <f t="shared" si="198"/>
        <v/>
      </c>
      <c r="BI119" s="8"/>
      <c r="BJ119" s="8"/>
      <c r="BK119" s="8"/>
      <c r="BL119" s="8"/>
    </row>
    <row r="120">
      <c r="A120" s="151" t="s">
        <v>181</v>
      </c>
      <c r="B120" s="2"/>
      <c r="C120" s="2"/>
      <c r="D120" s="2"/>
      <c r="E120" s="2"/>
      <c r="F120" s="2"/>
      <c r="G120" s="2"/>
      <c r="H120" s="2"/>
      <c r="I120" s="2"/>
      <c r="J120" s="153"/>
      <c r="K120" s="151" t="s">
        <v>181</v>
      </c>
      <c r="L120" s="2"/>
      <c r="M120" s="2"/>
      <c r="N120" s="2"/>
      <c r="O120" s="2"/>
      <c r="P120" s="2"/>
      <c r="Q120" s="2"/>
      <c r="R120" s="2"/>
      <c r="S120" s="2"/>
      <c r="T120" s="153"/>
      <c r="U120" s="151" t="s">
        <v>181</v>
      </c>
      <c r="V120" s="2"/>
      <c r="W120" s="2"/>
      <c r="X120" s="2"/>
      <c r="Y120" s="2"/>
      <c r="Z120" s="2"/>
      <c r="AA120" s="2"/>
      <c r="AB120" s="2"/>
      <c r="AC120" s="2"/>
      <c r="AD120" s="153"/>
      <c r="AE120" s="151" t="s">
        <v>181</v>
      </c>
      <c r="AF120" s="2"/>
      <c r="AG120" s="2"/>
      <c r="AH120" s="2"/>
      <c r="AI120" s="2"/>
      <c r="AJ120" s="2"/>
      <c r="AK120" s="2"/>
      <c r="AL120" s="2"/>
      <c r="AM120" s="2"/>
      <c r="AN120" s="153"/>
      <c r="AO120" s="151" t="s">
        <v>181</v>
      </c>
      <c r="AP120" s="2"/>
      <c r="AQ120" s="2"/>
      <c r="AR120" s="2"/>
      <c r="AS120" s="2"/>
      <c r="AT120" s="2"/>
      <c r="AU120" s="2"/>
      <c r="AV120" s="2"/>
      <c r="AW120" s="2"/>
      <c r="AX120" s="153"/>
      <c r="AY120" s="151" t="s">
        <v>181</v>
      </c>
      <c r="AZ120" s="2"/>
      <c r="BA120" s="2"/>
      <c r="BB120" s="2"/>
      <c r="BC120" s="2"/>
      <c r="BD120" s="2"/>
      <c r="BE120" s="2"/>
      <c r="BF120" s="2"/>
      <c r="BG120" s="2"/>
      <c r="BH120" s="153"/>
      <c r="BI120" s="8"/>
      <c r="BJ120" s="8"/>
      <c r="BK120" s="8"/>
      <c r="BL120" s="8"/>
    </row>
    <row r="121">
      <c r="A121" s="151" t="s">
        <v>182</v>
      </c>
      <c r="B121" s="2"/>
      <c r="C121" s="2"/>
      <c r="D121" s="2"/>
      <c r="E121" s="2"/>
      <c r="F121" s="2"/>
      <c r="G121" s="2"/>
      <c r="H121" s="2"/>
      <c r="I121" s="2"/>
      <c r="J121" s="153"/>
      <c r="K121" s="151" t="s">
        <v>182</v>
      </c>
      <c r="L121" s="2"/>
      <c r="M121" s="2"/>
      <c r="N121" s="2"/>
      <c r="O121" s="2"/>
      <c r="P121" s="2"/>
      <c r="Q121" s="2"/>
      <c r="R121" s="2"/>
      <c r="S121" s="2"/>
      <c r="T121" s="153"/>
      <c r="U121" s="151" t="s">
        <v>182</v>
      </c>
      <c r="V121" s="2"/>
      <c r="W121" s="2"/>
      <c r="X121" s="2"/>
      <c r="Y121" s="2"/>
      <c r="Z121" s="2"/>
      <c r="AA121" s="2"/>
      <c r="AB121" s="2"/>
      <c r="AC121" s="2"/>
      <c r="AD121" s="153"/>
      <c r="AE121" s="151" t="s">
        <v>182</v>
      </c>
      <c r="AF121" s="2"/>
      <c r="AG121" s="2"/>
      <c r="AH121" s="2"/>
      <c r="AI121" s="2"/>
      <c r="AJ121" s="2"/>
      <c r="AK121" s="2"/>
      <c r="AL121" s="2"/>
      <c r="AM121" s="2"/>
      <c r="AN121" s="153"/>
      <c r="AO121" s="151" t="s">
        <v>182</v>
      </c>
      <c r="AP121" s="2"/>
      <c r="AQ121" s="2"/>
      <c r="AR121" s="2"/>
      <c r="AS121" s="2"/>
      <c r="AT121" s="2"/>
      <c r="AU121" s="2"/>
      <c r="AV121" s="2"/>
      <c r="AW121" s="2"/>
      <c r="AX121" s="153"/>
      <c r="AY121" s="151" t="s">
        <v>182</v>
      </c>
      <c r="AZ121" s="2"/>
      <c r="BA121" s="2"/>
      <c r="BB121" s="2"/>
      <c r="BC121" s="2"/>
      <c r="BD121" s="2"/>
      <c r="BE121" s="2"/>
      <c r="BF121" s="2"/>
      <c r="BG121" s="2"/>
      <c r="BH121" s="153"/>
      <c r="BI121" s="8"/>
      <c r="BJ121" s="8"/>
      <c r="BK121" s="8"/>
      <c r="BL121" s="8"/>
    </row>
    <row r="122">
      <c r="A122" s="5" t="s">
        <v>183</v>
      </c>
      <c r="B122" s="154">
        <f>countif(B113:B121, "Yes")</f>
        <v>0</v>
      </c>
      <c r="C122" s="155" t="str">
        <f>IFERROR( COUNTIFS(B113:B119,"Yes", C113:C119,"Win") / COUNTIF(B113:B119,"Yes"), "")</f>
        <v/>
      </c>
      <c r="D122" s="156" t="str">
        <f>if(B122&gt;0, average(D113:D121), "")</f>
        <v/>
      </c>
      <c r="E122" s="156" t="str">
        <f>if(B122&gt;0, average(E113:E121), "")</f>
        <v/>
      </c>
      <c r="F122" s="156" t="str">
        <f>if(B122&gt;0, average(F113:F121), "")</f>
        <v/>
      </c>
      <c r="G122" s="156" t="str">
        <f>if(B122&gt;0, average(G113:G121), "")</f>
        <v/>
      </c>
      <c r="H122" s="156" t="str">
        <f>if(B122&gt;0, average(H113:H121), "")</f>
        <v/>
      </c>
      <c r="I122" s="156" t="str">
        <f>if(B122&gt;0, average(I113:I121), "")</f>
        <v/>
      </c>
      <c r="J122" s="157" t="str">
        <f>if(B122&gt;0, D122/(I122+D122), "")</f>
        <v/>
      </c>
      <c r="K122" s="5" t="s">
        <v>183</v>
      </c>
      <c r="L122" s="154">
        <f>countif(L113:L121, "Yes")</f>
        <v>0</v>
      </c>
      <c r="M122" s="155" t="str">
        <f>IFERROR( COUNTIFS(L113:L119,"Yes", M113:M119,"Win") / COUNTIF(L113:L119,"Yes"), "")</f>
        <v/>
      </c>
      <c r="N122" s="156" t="str">
        <f>if(L122&gt;0, average(N113:N121), "")</f>
        <v/>
      </c>
      <c r="O122" s="156" t="str">
        <f>if(L122&gt;0, average(O113:O121), "")</f>
        <v/>
      </c>
      <c r="P122" s="156" t="str">
        <f>if(L122&gt;0, average(P113:P121), "")</f>
        <v/>
      </c>
      <c r="Q122" s="156" t="str">
        <f>if(L122&gt;0, average(Q113:Q121), "")</f>
        <v/>
      </c>
      <c r="R122" s="156" t="str">
        <f>if(L122&gt;0, average(R113:R121), "")</f>
        <v/>
      </c>
      <c r="S122" s="156" t="str">
        <f>if(L122&gt;0, average(S113:S121), "")</f>
        <v/>
      </c>
      <c r="T122" s="157" t="str">
        <f>if(L122&gt;0, N122/(S122+N122), "")</f>
        <v/>
      </c>
      <c r="U122" s="5" t="s">
        <v>183</v>
      </c>
      <c r="V122" s="154">
        <f>countif(V113:V121, "Yes")</f>
        <v>0</v>
      </c>
      <c r="W122" s="155" t="str">
        <f>IFERROR( COUNTIFS(V113:V119,"Yes", W113:W119,"Win") / COUNTIF(V113:V119,"Yes"), "")</f>
        <v/>
      </c>
      <c r="X122" s="156" t="str">
        <f>if(V122&gt;0, average(X113:X121), "")</f>
        <v/>
      </c>
      <c r="Y122" s="156" t="str">
        <f>if(V122&gt;0, average(Y113:Y121), "")</f>
        <v/>
      </c>
      <c r="Z122" s="156" t="str">
        <f>if(V122&gt;0, average(Z113:Z121), "")</f>
        <v/>
      </c>
      <c r="AA122" s="156" t="str">
        <f>if(V122&gt;0, average(AA113:AA121), "")</f>
        <v/>
      </c>
      <c r="AB122" s="156" t="str">
        <f>if(V122&gt;0, average(AB113:AB121), "")</f>
        <v/>
      </c>
      <c r="AC122" s="156" t="str">
        <f>if(V122&gt;0, average(AC113:AC121), "")</f>
        <v/>
      </c>
      <c r="AD122" s="157" t="str">
        <f>if(V122&gt;0, X122/(AC122+X122), "")</f>
        <v/>
      </c>
      <c r="AE122" s="5" t="s">
        <v>183</v>
      </c>
      <c r="AF122" s="154">
        <f>countif(AF113:AF121, "Yes")</f>
        <v>0</v>
      </c>
      <c r="AG122" s="155" t="str">
        <f>IFERROR( COUNTIFS(AF113:AF119,"Yes", AG113:AG119,"Win") / COUNTIF(AF113:AF119,"Yes"), "")</f>
        <v/>
      </c>
      <c r="AH122" s="156" t="str">
        <f>if(AF122&gt;0, average(AH113:AH121), "")</f>
        <v/>
      </c>
      <c r="AI122" s="156" t="str">
        <f>if(AF122&gt;0, average(AI113:AI121), "")</f>
        <v/>
      </c>
      <c r="AJ122" s="156" t="str">
        <f>if(AF122&gt;0, average(AJ113:AJ121), "")</f>
        <v/>
      </c>
      <c r="AK122" s="156" t="str">
        <f>if(AF122&gt;0, average(AK113:AK121), "")</f>
        <v/>
      </c>
      <c r="AL122" s="156" t="str">
        <f>if(AF122&gt;0, average(AL113:AL121), "")</f>
        <v/>
      </c>
      <c r="AM122" s="156" t="str">
        <f>if(AF122&gt;0, average(AM113:AM121), "")</f>
        <v/>
      </c>
      <c r="AN122" s="157" t="str">
        <f>if(AF122&gt;0, AH122/(AM122+AH122), "")</f>
        <v/>
      </c>
      <c r="AO122" s="5" t="s">
        <v>183</v>
      </c>
      <c r="AP122" s="154">
        <f>countif(AP113:AP121, "Yes")</f>
        <v>0</v>
      </c>
      <c r="AQ122" s="155" t="str">
        <f>IFERROR( COUNTIFS(AP113:AP119,"Yes", AQ113:AQ119,"Win") / COUNTIF(AP113:AP119,"Yes"), "")</f>
        <v/>
      </c>
      <c r="AR122" s="156" t="str">
        <f>if(AP122&gt;0, average(AR113:AR121), "")</f>
        <v/>
      </c>
      <c r="AS122" s="156" t="str">
        <f>if(AP122&gt;0, average(AS113:AS121), "")</f>
        <v/>
      </c>
      <c r="AT122" s="156" t="str">
        <f>if(AP122&gt;0, average(AT113:AT121), "")</f>
        <v/>
      </c>
      <c r="AU122" s="156" t="str">
        <f>if(AP122&gt;0, average(AU113:AU121), "")</f>
        <v/>
      </c>
      <c r="AV122" s="156" t="str">
        <f>if(AP122&gt;0, average(AV113:AV121), "")</f>
        <v/>
      </c>
      <c r="AW122" s="156" t="str">
        <f>if(AP122&gt;0, average(AW113:AW121), "")</f>
        <v/>
      </c>
      <c r="AX122" s="157" t="str">
        <f>if(AP122&gt;0, AR122/(AW122+AR122), "")</f>
        <v/>
      </c>
      <c r="AY122" s="5" t="s">
        <v>183</v>
      </c>
      <c r="AZ122" s="154">
        <f>countif(AZ113:AZ121, "Yes")</f>
        <v>0</v>
      </c>
      <c r="BA122" s="155" t="str">
        <f>IFERROR( COUNTIFS(AZ113:AZ119,"Yes", BA113:BA119,"Win") / COUNTIF(AZ113:AZ119,"Yes"), "")</f>
        <v/>
      </c>
      <c r="BB122" s="156" t="str">
        <f>if(AZ122&gt;0, average(BB113:BB121), "")</f>
        <v/>
      </c>
      <c r="BC122" s="156" t="str">
        <f>if(AZ122&gt;0, average(BC113:BC121), "")</f>
        <v/>
      </c>
      <c r="BD122" s="156" t="str">
        <f>if(AZ122&gt;0, average(BD113:BD121), "")</f>
        <v/>
      </c>
      <c r="BE122" s="156" t="str">
        <f>if(AZ122&gt;0, average(BE113:BE121), "")</f>
        <v/>
      </c>
      <c r="BF122" s="156" t="str">
        <f>if(AZ122&gt;0, average(BF113:BF121), "")</f>
        <v/>
      </c>
      <c r="BG122" s="156" t="str">
        <f>if(AZ122&gt;0, average(BG113:BG121), "")</f>
        <v/>
      </c>
      <c r="BH122" s="157" t="str">
        <f>if(AZ122&gt;0, BB122/(BG122+BB122), "")</f>
        <v/>
      </c>
      <c r="BI122" s="8"/>
      <c r="BJ122" s="8"/>
      <c r="BK122" s="8"/>
      <c r="BL122" s="8"/>
    </row>
    <row r="123">
      <c r="A123" s="158" t="str">
        <f>Draft!B58</f>
        <v/>
      </c>
      <c r="B123" s="129">
        <f t="shared" ref="B123:J123" si="199">B133</f>
        <v>0</v>
      </c>
      <c r="C123" s="143" t="str">
        <f t="shared" si="199"/>
        <v/>
      </c>
      <c r="D123" s="144" t="str">
        <f t="shared" si="199"/>
        <v/>
      </c>
      <c r="E123" s="144" t="str">
        <f t="shared" si="199"/>
        <v/>
      </c>
      <c r="F123" s="144" t="str">
        <f t="shared" si="199"/>
        <v/>
      </c>
      <c r="G123" s="144" t="str">
        <f t="shared" si="199"/>
        <v/>
      </c>
      <c r="H123" s="144" t="str">
        <f t="shared" si="199"/>
        <v/>
      </c>
      <c r="I123" s="144" t="str">
        <f t="shared" si="199"/>
        <v/>
      </c>
      <c r="J123" s="145" t="str">
        <f t="shared" si="199"/>
        <v/>
      </c>
      <c r="K123" s="159" t="str">
        <f>Draft!C58</f>
        <v/>
      </c>
      <c r="L123" s="129">
        <f t="shared" ref="L123:T123" si="200">L133</f>
        <v>0</v>
      </c>
      <c r="M123" s="143" t="str">
        <f t="shared" si="200"/>
        <v/>
      </c>
      <c r="N123" s="144" t="str">
        <f t="shared" si="200"/>
        <v/>
      </c>
      <c r="O123" s="144" t="str">
        <f t="shared" si="200"/>
        <v/>
      </c>
      <c r="P123" s="144" t="str">
        <f t="shared" si="200"/>
        <v/>
      </c>
      <c r="Q123" s="144" t="str">
        <f t="shared" si="200"/>
        <v/>
      </c>
      <c r="R123" s="144" t="str">
        <f t="shared" si="200"/>
        <v/>
      </c>
      <c r="S123" s="144" t="str">
        <f t="shared" si="200"/>
        <v/>
      </c>
      <c r="T123" s="145" t="str">
        <f t="shared" si="200"/>
        <v/>
      </c>
      <c r="U123" s="160" t="str">
        <f>Draft!D58</f>
        <v/>
      </c>
      <c r="V123" s="129">
        <f t="shared" ref="V123:AD123" si="201">V133</f>
        <v>0</v>
      </c>
      <c r="W123" s="143" t="str">
        <f t="shared" si="201"/>
        <v/>
      </c>
      <c r="X123" s="144" t="str">
        <f t="shared" si="201"/>
        <v/>
      </c>
      <c r="Y123" s="144" t="str">
        <f t="shared" si="201"/>
        <v/>
      </c>
      <c r="Z123" s="144" t="str">
        <f t="shared" si="201"/>
        <v/>
      </c>
      <c r="AA123" s="144" t="str">
        <f t="shared" si="201"/>
        <v/>
      </c>
      <c r="AB123" s="144" t="str">
        <f t="shared" si="201"/>
        <v/>
      </c>
      <c r="AC123" s="144" t="str">
        <f t="shared" si="201"/>
        <v/>
      </c>
      <c r="AD123" s="145" t="str">
        <f t="shared" si="201"/>
        <v/>
      </c>
      <c r="AE123" s="161" t="str">
        <f>Draft!E58</f>
        <v/>
      </c>
      <c r="AF123" s="129">
        <f t="shared" ref="AF123:AN123" si="202">AF133</f>
        <v>0</v>
      </c>
      <c r="AG123" s="143" t="str">
        <f t="shared" si="202"/>
        <v/>
      </c>
      <c r="AH123" s="144" t="str">
        <f t="shared" si="202"/>
        <v/>
      </c>
      <c r="AI123" s="144" t="str">
        <f t="shared" si="202"/>
        <v/>
      </c>
      <c r="AJ123" s="144" t="str">
        <f t="shared" si="202"/>
        <v/>
      </c>
      <c r="AK123" s="144" t="str">
        <f t="shared" si="202"/>
        <v/>
      </c>
      <c r="AL123" s="144" t="str">
        <f t="shared" si="202"/>
        <v/>
      </c>
      <c r="AM123" s="144" t="str">
        <f t="shared" si="202"/>
        <v/>
      </c>
      <c r="AN123" s="145" t="str">
        <f t="shared" si="202"/>
        <v/>
      </c>
      <c r="AO123" s="162" t="str">
        <f>Draft!F58</f>
        <v/>
      </c>
      <c r="AP123" s="129">
        <f t="shared" ref="AP123:AX123" si="203">AP133</f>
        <v>0</v>
      </c>
      <c r="AQ123" s="143" t="str">
        <f t="shared" si="203"/>
        <v/>
      </c>
      <c r="AR123" s="144" t="str">
        <f t="shared" si="203"/>
        <v/>
      </c>
      <c r="AS123" s="144" t="str">
        <f t="shared" si="203"/>
        <v/>
      </c>
      <c r="AT123" s="144" t="str">
        <f t="shared" si="203"/>
        <v/>
      </c>
      <c r="AU123" s="144" t="str">
        <f t="shared" si="203"/>
        <v/>
      </c>
      <c r="AV123" s="144" t="str">
        <f t="shared" si="203"/>
        <v/>
      </c>
      <c r="AW123" s="144" t="str">
        <f t="shared" si="203"/>
        <v/>
      </c>
      <c r="AX123" s="145" t="str">
        <f t="shared" si="203"/>
        <v/>
      </c>
      <c r="AY123" s="163" t="str">
        <f>Draft!G58</f>
        <v/>
      </c>
      <c r="AZ123" s="129">
        <f t="shared" ref="AZ123:BH123" si="204">AZ133</f>
        <v>0</v>
      </c>
      <c r="BA123" s="143" t="str">
        <f t="shared" si="204"/>
        <v/>
      </c>
      <c r="BB123" s="144" t="str">
        <f t="shared" si="204"/>
        <v/>
      </c>
      <c r="BC123" s="144" t="str">
        <f t="shared" si="204"/>
        <v/>
      </c>
      <c r="BD123" s="144" t="str">
        <f t="shared" si="204"/>
        <v/>
      </c>
      <c r="BE123" s="144" t="str">
        <f t="shared" si="204"/>
        <v/>
      </c>
      <c r="BF123" s="144" t="str">
        <f t="shared" si="204"/>
        <v/>
      </c>
      <c r="BG123" s="144" t="str">
        <f t="shared" si="204"/>
        <v/>
      </c>
      <c r="BH123" s="145" t="str">
        <f t="shared" si="204"/>
        <v/>
      </c>
      <c r="BI123" s="8"/>
      <c r="BJ123" s="8"/>
      <c r="BK123" s="8"/>
      <c r="BL123" s="8"/>
    </row>
    <row r="124">
      <c r="A124" s="151" t="s">
        <v>5</v>
      </c>
      <c r="B124" s="2" t="str">
        <f t="shared" ref="B124:B130" si="205">ifna(if(I124&lt;&gt;"", "Yes", ""), "")</f>
        <v/>
      </c>
      <c r="C124" s="152" t="str">
        <f t="array" ref="C124">ifna(xlookup(A123, 'Week 1'!$A:$A, 'Week 1'!$B:$B), "")</f>
        <v/>
      </c>
      <c r="D124" s="152" t="str">
        <f t="array" ref="D124">ifna(xlookup(A123, 'Week 1'!$A:$A, 'Week 1'!$D:$D), "")</f>
        <v/>
      </c>
      <c r="E124" s="152" t="str">
        <f t="array" ref="E124">ifna(xlookup(A123, 'Week 1'!$A:$A, 'Week 1'!$G:$G), "")</f>
        <v/>
      </c>
      <c r="F124" s="152" t="str">
        <f t="array" ref="F124">ifna(xlookup(A123, 'Week 1'!$A:$A, 'Week 1'!$H:$H), "")</f>
        <v/>
      </c>
      <c r="G124" s="152" t="str">
        <f t="array" ref="G124">ifna(xlookup(A123, 'Week 1'!$A:$A, 'Week 1'!$E:$E), "")</f>
        <v/>
      </c>
      <c r="H124" s="152" t="str">
        <f t="array" ref="H124">ifna(xlookup(A123, 'Week 1'!$A:$A, 'Week 1'!$F:$F), "")</f>
        <v/>
      </c>
      <c r="I124" s="152" t="str">
        <f t="array" ref="I124">ifna(xlookup(A123, 'Week 1'!$A:$A, 'Week 1'!$I:$I), "")</f>
        <v/>
      </c>
      <c r="J124" s="153" t="str">
        <f t="shared" ref="J124:J130" si="206">iferror(IF(D124&gt;0, (D124/(D124+I124)), ""),"")</f>
        <v/>
      </c>
      <c r="K124" s="151" t="s">
        <v>5</v>
      </c>
      <c r="L124" s="2" t="str">
        <f t="shared" ref="L124:L130" si="207">ifna(if(S124&lt;&gt;"", "Yes", ""), "")</f>
        <v/>
      </c>
      <c r="M124" s="152" t="str">
        <f t="array" ref="M124">ifna(xlookup(K123, 'Week 1'!$A:$A, 'Week 1'!$B:$B), "")</f>
        <v/>
      </c>
      <c r="N124" s="152" t="str">
        <f t="array" ref="N124">ifna(xlookup(K123, 'Week 1'!$A:$A, 'Week 1'!$D:$D), "")</f>
        <v/>
      </c>
      <c r="O124" s="152" t="str">
        <f t="array" ref="O124">ifna(xlookup(K123, 'Week 1'!$A:$A, 'Week 1'!$G:$G), "")</f>
        <v/>
      </c>
      <c r="P124" s="152" t="str">
        <f t="array" ref="P124">ifna(xlookup(K123, 'Week 1'!$A:$A, 'Week 1'!$H:$H), "")</f>
        <v/>
      </c>
      <c r="Q124" s="152" t="str">
        <f t="array" ref="Q124">ifna(xlookup(K123, 'Week 1'!$A:$A, 'Week 1'!$E:$E), "")</f>
        <v/>
      </c>
      <c r="R124" s="152" t="str">
        <f t="array" ref="R124">ifna(xlookup(K123, 'Week 1'!$A:$A, 'Week 1'!$F:$F), "")</f>
        <v/>
      </c>
      <c r="S124" s="152" t="str">
        <f t="array" ref="S124">ifna(xlookup(K123, 'Week 1'!$A:$A, 'Week 1'!$I:$I), "")</f>
        <v/>
      </c>
      <c r="T124" s="153" t="str">
        <f t="shared" ref="T124:T130" si="208">iferror(IF(N124&gt;0, (N124/(N124+S124)), ""),"")</f>
        <v/>
      </c>
      <c r="U124" s="151" t="s">
        <v>5</v>
      </c>
      <c r="V124" s="2" t="str">
        <f t="shared" ref="V124:V130" si="209">ifna(if(AC124&lt;&gt;"", "Yes", ""), "")</f>
        <v/>
      </c>
      <c r="W124" s="152" t="str">
        <f t="array" ref="W124">ifna(xlookup(U123, 'Week 1'!$A:$A, 'Week 1'!$B:$B), "")</f>
        <v/>
      </c>
      <c r="X124" s="152" t="str">
        <f t="array" ref="X124">ifna(xlookup(U123, 'Week 1'!$A:$A, 'Week 1'!$D:$D), "")</f>
        <v/>
      </c>
      <c r="Y124" s="152" t="str">
        <f t="array" ref="Y124">ifna(xlookup(U123, 'Week 1'!$A:$A, 'Week 1'!$G:$G), "")</f>
        <v/>
      </c>
      <c r="Z124" s="152" t="str">
        <f t="array" ref="Z124">ifna(xlookup(U123, 'Week 1'!$A:$A, 'Week 1'!$H:$H), "")</f>
        <v/>
      </c>
      <c r="AA124" s="152" t="str">
        <f t="array" ref="AA124">ifna(xlookup(U123, 'Week 1'!$A:$A, 'Week 1'!$E:$E), "")</f>
        <v/>
      </c>
      <c r="AB124" s="152" t="str">
        <f t="array" ref="AB124">ifna(xlookup(U123, 'Week 1'!$A:$A, 'Week 1'!$F:$F), "")</f>
        <v/>
      </c>
      <c r="AC124" s="152" t="str">
        <f t="array" ref="AC124">ifna(xlookup(U123, 'Week 1'!$A:$A, 'Week 1'!$I:$I), "")</f>
        <v/>
      </c>
      <c r="AD124" s="153" t="str">
        <f t="shared" ref="AD124:AD130" si="210">iferror(IF(X124&gt;0, (X124/(X124+AC124)), ""),"")</f>
        <v/>
      </c>
      <c r="AE124" s="151" t="s">
        <v>5</v>
      </c>
      <c r="AF124" s="2" t="str">
        <f t="shared" ref="AF124:AF130" si="211">ifna(if(AM124&lt;&gt;"", "Yes", ""), "")</f>
        <v/>
      </c>
      <c r="AG124" s="152" t="str">
        <f t="array" ref="AG124">ifna(xlookup(AE123, 'Week 1'!$A:$A, 'Week 1'!$B:$B), "")</f>
        <v/>
      </c>
      <c r="AH124" s="152" t="str">
        <f t="array" ref="AH124">ifna(xlookup(AE123, 'Week 1'!$A:$A, 'Week 1'!$D:$D), "")</f>
        <v/>
      </c>
      <c r="AI124" s="152" t="str">
        <f t="array" ref="AI124">ifna(xlookup(AE123, 'Week 1'!$A:$A, 'Week 1'!$G:$G), "")</f>
        <v/>
      </c>
      <c r="AJ124" s="152" t="str">
        <f t="array" ref="AJ124">ifna(xlookup(AE123, 'Week 1'!$A:$A, 'Week 1'!$H:$H), "")</f>
        <v/>
      </c>
      <c r="AK124" s="152" t="str">
        <f t="array" ref="AK124">ifna(xlookup(AE123, 'Week 1'!$A:$A, 'Week 1'!$E:$E), "")</f>
        <v/>
      </c>
      <c r="AL124" s="152" t="str">
        <f t="array" ref="AL124">ifna(xlookup(AE123, 'Week 1'!$A:$A, 'Week 1'!$F:$F), "")</f>
        <v/>
      </c>
      <c r="AM124" s="152" t="str">
        <f t="array" ref="AM124">ifna(xlookup(AE123, 'Week 1'!$A:$A, 'Week 1'!$I:$I), "")</f>
        <v/>
      </c>
      <c r="AN124" s="153" t="str">
        <f t="shared" ref="AN124:AN130" si="212">iferror(IF(AH124&gt;0, (AH124/(AH124+AM124)), ""),"")</f>
        <v/>
      </c>
      <c r="AO124" s="151" t="s">
        <v>5</v>
      </c>
      <c r="AP124" s="2" t="str">
        <f t="shared" ref="AP124:AP130" si="213">ifna(if(AW124&lt;&gt;"", "Yes", ""), "")</f>
        <v/>
      </c>
      <c r="AQ124" s="152" t="str">
        <f t="array" ref="AQ124">ifna(xlookup(AO123, 'Week 1'!$A:$A, 'Week 1'!$B:$B), "")</f>
        <v/>
      </c>
      <c r="AR124" s="152" t="str">
        <f t="array" ref="AR124">ifna(xlookup(AO123, 'Week 1'!$A:$A, 'Week 1'!$D:$D), "")</f>
        <v/>
      </c>
      <c r="AS124" s="152" t="str">
        <f t="array" ref="AS124">ifna(xlookup(AO123, 'Week 1'!$A:$A, 'Week 1'!$G:$G), "")</f>
        <v/>
      </c>
      <c r="AT124" s="152" t="str">
        <f t="array" ref="AT124">ifna(xlookup(AO123, 'Week 1'!$A:$A, 'Week 1'!$H:$H), "")</f>
        <v/>
      </c>
      <c r="AU124" s="152" t="str">
        <f t="array" ref="AU124">ifna(xlookup(AO123, 'Week 1'!$A:$A, 'Week 1'!$E:$E), "")</f>
        <v/>
      </c>
      <c r="AV124" s="152" t="str">
        <f t="array" ref="AV124">ifna(xlookup(AO123, 'Week 1'!$A:$A, 'Week 1'!$F:$F), "")</f>
        <v/>
      </c>
      <c r="AW124" s="152" t="str">
        <f t="array" ref="AW124">ifna(xlookup(AO123, 'Week 1'!$A:$A, 'Week 1'!$I:$I), "")</f>
        <v/>
      </c>
      <c r="AX124" s="153" t="str">
        <f t="shared" ref="AX124:AX130" si="214">iferror(IF(AR124&gt;0, (AR124/(AR124+AW124)), ""),"")</f>
        <v/>
      </c>
      <c r="AY124" s="151" t="s">
        <v>5</v>
      </c>
      <c r="AZ124" s="2" t="str">
        <f t="shared" ref="AZ124:AZ130" si="215">ifna(if(BG124&lt;&gt;"", "Yes", ""), "")</f>
        <v/>
      </c>
      <c r="BA124" s="152" t="str">
        <f t="array" ref="BA124">ifna(xlookup(AY123, 'Week 1'!$A:$A, 'Week 1'!$B:$B), "")</f>
        <v/>
      </c>
      <c r="BB124" s="152" t="str">
        <f t="array" ref="BB124">ifna(xlookup(AY123, 'Week 1'!$A:$A, 'Week 1'!$D:$D), "")</f>
        <v/>
      </c>
      <c r="BC124" s="152" t="str">
        <f t="array" ref="BC124">ifna(xlookup(AY123, 'Week 1'!$A:$A, 'Week 1'!$G:$G), "")</f>
        <v/>
      </c>
      <c r="BD124" s="152" t="str">
        <f t="array" ref="BD124">ifna(xlookup(AY123, 'Week 1'!$A:$A, 'Week 1'!$H:$H), "")</f>
        <v/>
      </c>
      <c r="BE124" s="152" t="str">
        <f t="array" ref="BE124">ifna(xlookup(AY123, 'Week 1'!$A:$A, 'Week 1'!$E:$E), "")</f>
        <v/>
      </c>
      <c r="BF124" s="152" t="str">
        <f t="array" ref="BF124">ifna(xlookup(AY123, 'Week 1'!$A:$A, 'Week 1'!$F:$F), "")</f>
        <v/>
      </c>
      <c r="BG124" s="152" t="str">
        <f t="array" ref="BG124">ifna(xlookup(AY123, 'Week 1'!$A:$A, 'Week 1'!$I:$I), "")</f>
        <v/>
      </c>
      <c r="BH124" s="153" t="str">
        <f t="shared" ref="BH124:BH130" si="216">iferror(IF(BB124&gt;0, (BB124/(BB124+BG124)), ""),"")</f>
        <v/>
      </c>
      <c r="BI124" s="8"/>
      <c r="BJ124" s="8"/>
      <c r="BK124" s="8"/>
      <c r="BL124" s="8"/>
    </row>
    <row r="125">
      <c r="A125" s="151" t="s">
        <v>7</v>
      </c>
      <c r="B125" s="2" t="str">
        <f t="shared" si="205"/>
        <v/>
      </c>
      <c r="C125" s="152" t="str">
        <f t="array" ref="C125">ifna(xlookup(A123, 'Week 2'!$A:$A, 'Week 2'!$B:$B), "")</f>
        <v/>
      </c>
      <c r="D125" s="152" t="str">
        <f t="array" ref="D125">ifna(xlookup(A123, 'Week 2'!$A:$A, 'Week 2'!$D:$D), "")</f>
        <v/>
      </c>
      <c r="E125" s="152" t="str">
        <f t="array" ref="E125">ifna(xlookup(A123, 'Week 2'!$A:$A, 'Week 2'!$G:$G), "")</f>
        <v/>
      </c>
      <c r="F125" s="152" t="str">
        <f t="array" ref="F125">ifna(xlookup(A123, 'Week 2'!$A:$A, 'Week 2'!$H:$H), "")</f>
        <v/>
      </c>
      <c r="G125" s="152" t="str">
        <f t="array" ref="G125">ifna(xlookup(A123, 'Week 2'!$A:$A, 'Week 2'!$E:$E), "")</f>
        <v/>
      </c>
      <c r="H125" s="152" t="str">
        <f t="array" ref="H125">ifna(xlookup(A123, 'Week 2'!$A:$A, 'Week 2'!$F:$F), "")</f>
        <v/>
      </c>
      <c r="I125" s="152" t="str">
        <f t="array" ref="I125">ifna(xlookup(A123, 'Week 2'!$A:$A, 'Week 2'!$I:$I), "")</f>
        <v/>
      </c>
      <c r="J125" s="153" t="str">
        <f t="shared" si="206"/>
        <v/>
      </c>
      <c r="K125" s="151" t="s">
        <v>7</v>
      </c>
      <c r="L125" s="2" t="str">
        <f t="shared" si="207"/>
        <v/>
      </c>
      <c r="M125" s="152" t="str">
        <f t="array" ref="M125">ifna(xlookup(K123, 'Week 2'!$A:$A, 'Week 2'!$B:$B), "")</f>
        <v/>
      </c>
      <c r="N125" s="152" t="str">
        <f t="array" ref="N125">ifna(xlookup(K123, 'Week 2'!$A:$A, 'Week 2'!$D:$D), "")</f>
        <v/>
      </c>
      <c r="O125" s="152" t="str">
        <f t="array" ref="O125">ifna(xlookup(K123, 'Week 2'!$A:$A, 'Week 2'!$G:$G), "")</f>
        <v/>
      </c>
      <c r="P125" s="152" t="str">
        <f t="array" ref="P125">ifna(xlookup(K123, 'Week 2'!$A:$A, 'Week 2'!$H:$H), "")</f>
        <v/>
      </c>
      <c r="Q125" s="152" t="str">
        <f t="array" ref="Q125">ifna(xlookup(K123, 'Week 2'!$A:$A, 'Week 2'!$E:$E), "")</f>
        <v/>
      </c>
      <c r="R125" s="152" t="str">
        <f t="array" ref="R125">ifna(xlookup(K123, 'Week 2'!$A:$A, 'Week 2'!$F:$F), "")</f>
        <v/>
      </c>
      <c r="S125" s="152" t="str">
        <f t="array" ref="S125">ifna(xlookup(K123, 'Week 2'!$A:$A, 'Week 2'!$I:$I), "")</f>
        <v/>
      </c>
      <c r="T125" s="153" t="str">
        <f t="shared" si="208"/>
        <v/>
      </c>
      <c r="U125" s="151" t="s">
        <v>7</v>
      </c>
      <c r="V125" s="2" t="str">
        <f t="shared" si="209"/>
        <v/>
      </c>
      <c r="W125" s="152" t="str">
        <f t="array" ref="W125">ifna(xlookup(U123, 'Week 2'!$A:$A, 'Week 2'!$B:$B), "")</f>
        <v/>
      </c>
      <c r="X125" s="152" t="str">
        <f t="array" ref="X125">ifna(xlookup(U123, 'Week 2'!$A:$A, 'Week 2'!$D:$D), "")</f>
        <v/>
      </c>
      <c r="Y125" s="152" t="str">
        <f t="array" ref="Y125">ifna(xlookup(U123, 'Week 2'!$A:$A, 'Week 2'!$G:$G), "")</f>
        <v/>
      </c>
      <c r="Z125" s="152" t="str">
        <f t="array" ref="Z125">ifna(xlookup(U123, 'Week 2'!$A:$A, 'Week 2'!$H:$H), "")</f>
        <v/>
      </c>
      <c r="AA125" s="152" t="str">
        <f t="array" ref="AA125">ifna(xlookup(U123, 'Week 2'!$A:$A, 'Week 2'!$E:$E), "")</f>
        <v/>
      </c>
      <c r="AB125" s="152" t="str">
        <f t="array" ref="AB125">ifna(xlookup(U123, 'Week 2'!$A:$A, 'Week 2'!$F:$F), "")</f>
        <v/>
      </c>
      <c r="AC125" s="152" t="str">
        <f t="array" ref="AC125">ifna(xlookup(U123, 'Week 2'!$A:$A, 'Week 2'!$I:$I), "")</f>
        <v/>
      </c>
      <c r="AD125" s="153" t="str">
        <f t="shared" si="210"/>
        <v/>
      </c>
      <c r="AE125" s="151" t="s">
        <v>7</v>
      </c>
      <c r="AF125" s="2" t="str">
        <f t="shared" si="211"/>
        <v/>
      </c>
      <c r="AG125" s="152" t="str">
        <f t="array" ref="AG125">ifna(xlookup(AE123, 'Week 2'!$A:$A, 'Week 2'!$B:$B), "")</f>
        <v/>
      </c>
      <c r="AH125" s="152" t="str">
        <f t="array" ref="AH125">ifna(xlookup(AE123, 'Week 2'!$A:$A, 'Week 2'!$D:$D), "")</f>
        <v/>
      </c>
      <c r="AI125" s="152" t="str">
        <f t="array" ref="AI125">ifna(xlookup(AE123, 'Week 2'!$A:$A, 'Week 2'!$G:$G), "")</f>
        <v/>
      </c>
      <c r="AJ125" s="152" t="str">
        <f t="array" ref="AJ125">ifna(xlookup(AE123, 'Week 2'!$A:$A, 'Week 2'!$H:$H), "")</f>
        <v/>
      </c>
      <c r="AK125" s="152" t="str">
        <f t="array" ref="AK125">ifna(xlookup(AE123, 'Week 2'!$A:$A, 'Week 2'!$E:$E), "")</f>
        <v/>
      </c>
      <c r="AL125" s="152" t="str">
        <f t="array" ref="AL125">ifna(xlookup(AE123, 'Week 2'!$A:$A, 'Week 2'!$F:$F), "")</f>
        <v/>
      </c>
      <c r="AM125" s="152" t="str">
        <f t="array" ref="AM125">ifna(xlookup(AE123, 'Week 2'!$A:$A, 'Week 2'!$I:$I), "")</f>
        <v/>
      </c>
      <c r="AN125" s="153" t="str">
        <f t="shared" si="212"/>
        <v/>
      </c>
      <c r="AO125" s="151" t="s">
        <v>7</v>
      </c>
      <c r="AP125" s="2" t="str">
        <f t="shared" si="213"/>
        <v/>
      </c>
      <c r="AQ125" s="152" t="str">
        <f t="array" ref="AQ125">ifna(xlookup(AO123, 'Week 2'!$A:$A, 'Week 2'!$B:$B), "")</f>
        <v/>
      </c>
      <c r="AR125" s="152" t="str">
        <f t="array" ref="AR125">ifna(xlookup(AO123, 'Week 2'!$A:$A, 'Week 2'!$D:$D), "")</f>
        <v/>
      </c>
      <c r="AS125" s="152" t="str">
        <f t="array" ref="AS125">ifna(xlookup(AO123, 'Week 2'!$A:$A, 'Week 2'!$G:$G), "")</f>
        <v/>
      </c>
      <c r="AT125" s="152" t="str">
        <f t="array" ref="AT125">ifna(xlookup(AO123, 'Week 2'!$A:$A, 'Week 2'!$H:$H), "")</f>
        <v/>
      </c>
      <c r="AU125" s="152" t="str">
        <f t="array" ref="AU125">ifna(xlookup(AO123, 'Week 2'!$A:$A, 'Week 2'!$E:$E), "")</f>
        <v/>
      </c>
      <c r="AV125" s="152" t="str">
        <f t="array" ref="AV125">ifna(xlookup(AO123, 'Week 2'!$A:$A, 'Week 2'!$F:$F), "")</f>
        <v/>
      </c>
      <c r="AW125" s="152" t="str">
        <f t="array" ref="AW125">ifna(xlookup(AO123, 'Week 2'!$A:$A, 'Week 2'!$I:$I), "")</f>
        <v/>
      </c>
      <c r="AX125" s="153" t="str">
        <f t="shared" si="214"/>
        <v/>
      </c>
      <c r="AY125" s="151" t="s">
        <v>7</v>
      </c>
      <c r="AZ125" s="2" t="str">
        <f t="shared" si="215"/>
        <v/>
      </c>
      <c r="BA125" s="152" t="str">
        <f t="array" ref="BA125">ifna(xlookup(AY123, 'Week 2'!$A:$A, 'Week 2'!$B:$B), "")</f>
        <v/>
      </c>
      <c r="BB125" s="152" t="str">
        <f t="array" ref="BB125">ifna(xlookup(AY123, 'Week 2'!$A:$A, 'Week 2'!$D:$D), "")</f>
        <v/>
      </c>
      <c r="BC125" s="152" t="str">
        <f t="array" ref="BC125">ifna(xlookup(AY123, 'Week 2'!$A:$A, 'Week 2'!$G:$G), "")</f>
        <v/>
      </c>
      <c r="BD125" s="152" t="str">
        <f t="array" ref="BD125">ifna(xlookup(AY123, 'Week 2'!$A:$A, 'Week 2'!$H:$H), "")</f>
        <v/>
      </c>
      <c r="BE125" s="152" t="str">
        <f t="array" ref="BE125">ifna(xlookup(AY123, 'Week 2'!$A:$A, 'Week 2'!$E:$E), "")</f>
        <v/>
      </c>
      <c r="BF125" s="152" t="str">
        <f t="array" ref="BF125">ifna(xlookup(AY123, 'Week 2'!$A:$A, 'Week 2'!$F:$F), "")</f>
        <v/>
      </c>
      <c r="BG125" s="152" t="str">
        <f t="array" ref="BG125">ifna(xlookup(AY123, 'Week 2'!$A:$A, 'Week 2'!$I:$I), "")</f>
        <v/>
      </c>
      <c r="BH125" s="153" t="str">
        <f t="shared" si="216"/>
        <v/>
      </c>
      <c r="BI125" s="8"/>
      <c r="BJ125" s="8"/>
      <c r="BK125" s="8"/>
      <c r="BL125" s="8"/>
    </row>
    <row r="126">
      <c r="A126" s="151" t="s">
        <v>12</v>
      </c>
      <c r="B126" s="2" t="str">
        <f t="shared" si="205"/>
        <v/>
      </c>
      <c r="C126" s="152" t="str">
        <f t="array" ref="C126">ifna(xlookup(A123, 'Week 3'!$A:$A, 'Week 3'!$B:$B), "")</f>
        <v/>
      </c>
      <c r="D126" s="152" t="str">
        <f t="array" ref="D126">ifna(xlookup(A123, 'Week 3'!$A:$A, 'Week 3'!$D:$D), "")</f>
        <v/>
      </c>
      <c r="E126" s="152" t="str">
        <f t="array" ref="E126">ifna(xlookup(A123, 'Week 3'!$A:$A, 'Week 3'!$G:$G), "")</f>
        <v/>
      </c>
      <c r="F126" s="152" t="str">
        <f t="array" ref="F126">ifna(xlookup(A123, 'Week 3'!$A:$A, 'Week 3'!$H:$H), "")</f>
        <v/>
      </c>
      <c r="G126" s="152" t="str">
        <f t="array" ref="G126">ifna(xlookup(A123, 'Week 3'!$A:$A, 'Week 3'!$E:$E), "")</f>
        <v/>
      </c>
      <c r="H126" s="152" t="str">
        <f t="array" ref="H126">ifna(xlookup(A123, 'Week 3'!$A:$A, 'Week 3'!$F:$F), "")</f>
        <v/>
      </c>
      <c r="I126" s="152" t="str">
        <f t="array" ref="I126">ifna(xlookup(A123, 'Week 3'!$A:$A, 'Week 3'!$I:$I), "")</f>
        <v/>
      </c>
      <c r="J126" s="153" t="str">
        <f t="shared" si="206"/>
        <v/>
      </c>
      <c r="K126" s="151" t="s">
        <v>12</v>
      </c>
      <c r="L126" s="2" t="str">
        <f t="shared" si="207"/>
        <v/>
      </c>
      <c r="M126" s="152" t="str">
        <f t="array" ref="M126">ifna(xlookup(K123, 'Week 3'!$A:$A, 'Week 3'!$B:$B), "")</f>
        <v/>
      </c>
      <c r="N126" s="152" t="str">
        <f t="array" ref="N126">ifna(xlookup(K123, 'Week 3'!$A:$A, 'Week 3'!$D:$D), "")</f>
        <v/>
      </c>
      <c r="O126" s="152" t="str">
        <f t="array" ref="O126">ifna(xlookup(K123, 'Week 3'!$A:$A, 'Week 3'!$G:$G), "")</f>
        <v/>
      </c>
      <c r="P126" s="152" t="str">
        <f t="array" ref="P126">ifna(xlookup(K123, 'Week 3'!$A:$A, 'Week 3'!$H:$H), "")</f>
        <v/>
      </c>
      <c r="Q126" s="152" t="str">
        <f t="array" ref="Q126">ifna(xlookup(K123, 'Week 3'!$A:$A, 'Week 3'!$E:$E), "")</f>
        <v/>
      </c>
      <c r="R126" s="152" t="str">
        <f t="array" ref="R126">ifna(xlookup(K123, 'Week 3'!$A:$A, 'Week 3'!$F:$F), "")</f>
        <v/>
      </c>
      <c r="S126" s="152" t="str">
        <f t="array" ref="S126">ifna(xlookup(K123, 'Week 3'!$A:$A, 'Week 3'!$I:$I), "")</f>
        <v/>
      </c>
      <c r="T126" s="153" t="str">
        <f t="shared" si="208"/>
        <v/>
      </c>
      <c r="U126" s="151" t="s">
        <v>12</v>
      </c>
      <c r="V126" s="2" t="str">
        <f t="shared" si="209"/>
        <v/>
      </c>
      <c r="W126" s="152" t="str">
        <f t="array" ref="W126">ifna(xlookup(U123, 'Week 3'!$A:$A, 'Week 3'!$B:$B), "")</f>
        <v/>
      </c>
      <c r="X126" s="152" t="str">
        <f t="array" ref="X126">ifna(xlookup(U123, 'Week 3'!$A:$A, 'Week 3'!$D:$D), "")</f>
        <v/>
      </c>
      <c r="Y126" s="152" t="str">
        <f t="array" ref="Y126">ifna(xlookup(U123, 'Week 3'!$A:$A, 'Week 3'!$G:$G), "")</f>
        <v/>
      </c>
      <c r="Z126" s="152" t="str">
        <f t="array" ref="Z126">ifna(xlookup(U123, 'Week 3'!$A:$A, 'Week 3'!$H:$H), "")</f>
        <v/>
      </c>
      <c r="AA126" s="152" t="str">
        <f t="array" ref="AA126">ifna(xlookup(U123, 'Week 3'!$A:$A, 'Week 3'!$E:$E), "")</f>
        <v/>
      </c>
      <c r="AB126" s="152" t="str">
        <f t="array" ref="AB126">ifna(xlookup(U123, 'Week 3'!$A:$A, 'Week 3'!$F:$F), "")</f>
        <v/>
      </c>
      <c r="AC126" s="152" t="str">
        <f t="array" ref="AC126">ifna(xlookup(U123, 'Week 3'!$A:$A, 'Week 3'!$I:$I), "")</f>
        <v/>
      </c>
      <c r="AD126" s="153" t="str">
        <f t="shared" si="210"/>
        <v/>
      </c>
      <c r="AE126" s="151" t="s">
        <v>12</v>
      </c>
      <c r="AF126" s="2" t="str">
        <f t="shared" si="211"/>
        <v/>
      </c>
      <c r="AG126" s="152" t="str">
        <f t="array" ref="AG126">ifna(xlookup(AE123, 'Week 3'!$A:$A, 'Week 3'!$B:$B), "")</f>
        <v/>
      </c>
      <c r="AH126" s="152" t="str">
        <f t="array" ref="AH126">ifna(xlookup(AE123, 'Week 3'!$A:$A, 'Week 3'!$D:$D), "")</f>
        <v/>
      </c>
      <c r="AI126" s="152" t="str">
        <f t="array" ref="AI126">ifna(xlookup(AE123, 'Week 3'!$A:$A, 'Week 3'!$G:$G), "")</f>
        <v/>
      </c>
      <c r="AJ126" s="152" t="str">
        <f t="array" ref="AJ126">ifna(xlookup(AE123, 'Week 3'!$A:$A, 'Week 3'!$H:$H), "")</f>
        <v/>
      </c>
      <c r="AK126" s="152" t="str">
        <f t="array" ref="AK126">ifna(xlookup(AE123, 'Week 3'!$A:$A, 'Week 3'!$E:$E), "")</f>
        <v/>
      </c>
      <c r="AL126" s="152" t="str">
        <f t="array" ref="AL126">ifna(xlookup(AE123, 'Week 3'!$A:$A, 'Week 3'!$F:$F), "")</f>
        <v/>
      </c>
      <c r="AM126" s="152" t="str">
        <f t="array" ref="AM126">ifna(xlookup(AE123, 'Week 3'!$A:$A, 'Week 3'!$I:$I), "")</f>
        <v/>
      </c>
      <c r="AN126" s="153" t="str">
        <f t="shared" si="212"/>
        <v/>
      </c>
      <c r="AO126" s="151" t="s">
        <v>12</v>
      </c>
      <c r="AP126" s="2" t="str">
        <f t="shared" si="213"/>
        <v/>
      </c>
      <c r="AQ126" s="152" t="str">
        <f t="array" ref="AQ126">ifna(xlookup(AO123, 'Week 3'!$A:$A, 'Week 3'!$B:$B), "")</f>
        <v/>
      </c>
      <c r="AR126" s="152" t="str">
        <f t="array" ref="AR126">ifna(xlookup(AO123, 'Week 3'!$A:$A, 'Week 3'!$D:$D), "")</f>
        <v/>
      </c>
      <c r="AS126" s="152" t="str">
        <f t="array" ref="AS126">ifna(xlookup(AO123, 'Week 3'!$A:$A, 'Week 3'!$G:$G), "")</f>
        <v/>
      </c>
      <c r="AT126" s="152" t="str">
        <f t="array" ref="AT126">ifna(xlookup(AO123, 'Week 3'!$A:$A, 'Week 3'!$H:$H), "")</f>
        <v/>
      </c>
      <c r="AU126" s="152" t="str">
        <f t="array" ref="AU126">ifna(xlookup(AO123, 'Week 3'!$A:$A, 'Week 3'!$E:$E), "")</f>
        <v/>
      </c>
      <c r="AV126" s="152" t="str">
        <f t="array" ref="AV126">ifna(xlookup(AO123, 'Week 3'!$A:$A, 'Week 3'!$F:$F), "")</f>
        <v/>
      </c>
      <c r="AW126" s="152" t="str">
        <f t="array" ref="AW126">ifna(xlookup(AO123, 'Week 3'!$A:$A, 'Week 3'!$I:$I), "")</f>
        <v/>
      </c>
      <c r="AX126" s="153" t="str">
        <f t="shared" si="214"/>
        <v/>
      </c>
      <c r="AY126" s="151" t="s">
        <v>12</v>
      </c>
      <c r="AZ126" s="2" t="str">
        <f t="shared" si="215"/>
        <v/>
      </c>
      <c r="BA126" s="152" t="str">
        <f t="array" ref="BA126">ifna(xlookup(AY123, 'Week 3'!$A:$A, 'Week 3'!$B:$B), "")</f>
        <v/>
      </c>
      <c r="BB126" s="152" t="str">
        <f t="array" ref="BB126">ifna(xlookup(AY123, 'Week 3'!$A:$A, 'Week 3'!$D:$D), "")</f>
        <v/>
      </c>
      <c r="BC126" s="152" t="str">
        <f t="array" ref="BC126">ifna(xlookup(AY123, 'Week 3'!$A:$A, 'Week 3'!$G:$G), "")</f>
        <v/>
      </c>
      <c r="BD126" s="152" t="str">
        <f t="array" ref="BD126">ifna(xlookup(AY123, 'Week 3'!$A:$A, 'Week 3'!$H:$H), "")</f>
        <v/>
      </c>
      <c r="BE126" s="152" t="str">
        <f t="array" ref="BE126">ifna(xlookup(AY123, 'Week 3'!$A:$A, 'Week 3'!$E:$E), "")</f>
        <v/>
      </c>
      <c r="BF126" s="152" t="str">
        <f t="array" ref="BF126">ifna(xlookup(AY123, 'Week 3'!$A:$A, 'Week 3'!$F:$F), "")</f>
        <v/>
      </c>
      <c r="BG126" s="152" t="str">
        <f t="array" ref="BG126">ifna(xlookup(AY123, 'Week 3'!$A:$A, 'Week 3'!$I:$I), "")</f>
        <v/>
      </c>
      <c r="BH126" s="153" t="str">
        <f t="shared" si="216"/>
        <v/>
      </c>
      <c r="BI126" s="8"/>
      <c r="BJ126" s="8"/>
      <c r="BK126" s="8"/>
      <c r="BL126" s="8"/>
    </row>
    <row r="127">
      <c r="A127" s="151" t="s">
        <v>17</v>
      </c>
      <c r="B127" s="2" t="str">
        <f t="shared" si="205"/>
        <v/>
      </c>
      <c r="C127" s="152" t="str">
        <f t="array" ref="C127">ifna(xlookup(A123, 'Week 4'!$A:$A, 'Week 4'!$B:$B), "")</f>
        <v/>
      </c>
      <c r="D127" s="152" t="str">
        <f t="array" ref="D127">ifna(xlookup(A123, 'Week 4'!$A:$A, 'Week 4'!$D:$D), "")</f>
        <v/>
      </c>
      <c r="E127" s="152" t="str">
        <f t="array" ref="E127">ifna(xlookup(A123, 'Week 4'!$A:$A, 'Week 4'!$G:$G), "")</f>
        <v/>
      </c>
      <c r="F127" s="152" t="str">
        <f t="array" ref="F127">ifna(xlookup(A123, 'Week 4'!$A:$A, 'Week 4'!$H:$H), "")</f>
        <v/>
      </c>
      <c r="G127" s="152" t="str">
        <f t="array" ref="G127">ifna(xlookup(A123, 'Week 4'!$A:$A, 'Week 4'!$E:$E), "")</f>
        <v/>
      </c>
      <c r="H127" s="152" t="str">
        <f t="array" ref="H127">ifna(xlookup(A123, 'Week 4'!$A:$A, 'Week 4'!$F:$F), "")</f>
        <v/>
      </c>
      <c r="I127" s="152" t="str">
        <f t="array" ref="I127">ifna(xlookup(A123, 'Week 4'!$A:$A, 'Week 4'!$I:$I), "")</f>
        <v/>
      </c>
      <c r="J127" s="153" t="str">
        <f t="shared" si="206"/>
        <v/>
      </c>
      <c r="K127" s="151" t="s">
        <v>17</v>
      </c>
      <c r="L127" s="2" t="str">
        <f t="shared" si="207"/>
        <v/>
      </c>
      <c r="M127" s="152" t="str">
        <f t="array" ref="M127">ifna(xlookup(K123, 'Week 4'!$A:$A, 'Week 4'!$B:$B), "")</f>
        <v/>
      </c>
      <c r="N127" s="152" t="str">
        <f t="array" ref="N127">ifna(xlookup(K123, 'Week 4'!$A:$A, 'Week 4'!$D:$D), "")</f>
        <v/>
      </c>
      <c r="O127" s="152" t="str">
        <f t="array" ref="O127">ifna(xlookup(K123, 'Week 4'!$A:$A, 'Week 4'!$G:$G), "")</f>
        <v/>
      </c>
      <c r="P127" s="152" t="str">
        <f t="array" ref="P127">ifna(xlookup(K123, 'Week 4'!$A:$A, 'Week 4'!$H:$H), "")</f>
        <v/>
      </c>
      <c r="Q127" s="152" t="str">
        <f t="array" ref="Q127">ifna(xlookup(K123, 'Week 4'!$A:$A, 'Week 4'!$E:$E), "")</f>
        <v/>
      </c>
      <c r="R127" s="152" t="str">
        <f t="array" ref="R127">ifna(xlookup(K123, 'Week 4'!$A:$A, 'Week 4'!$F:$F), "")</f>
        <v/>
      </c>
      <c r="S127" s="152" t="str">
        <f t="array" ref="S127">ifna(xlookup(K123, 'Week 4'!$A:$A, 'Week 4'!$I:$I), "")</f>
        <v/>
      </c>
      <c r="T127" s="153" t="str">
        <f t="shared" si="208"/>
        <v/>
      </c>
      <c r="U127" s="151" t="s">
        <v>17</v>
      </c>
      <c r="V127" s="2" t="str">
        <f t="shared" si="209"/>
        <v/>
      </c>
      <c r="W127" s="152" t="str">
        <f t="array" ref="W127">ifna(xlookup(U123, 'Week 4'!$A:$A, 'Week 4'!$B:$B), "")</f>
        <v/>
      </c>
      <c r="X127" s="152" t="str">
        <f t="array" ref="X127">ifna(xlookup(U123, 'Week 4'!$A:$A, 'Week 4'!$D:$D), "")</f>
        <v/>
      </c>
      <c r="Y127" s="152" t="str">
        <f t="array" ref="Y127">ifna(xlookup(U123, 'Week 4'!$A:$A, 'Week 4'!$G:$G), "")</f>
        <v/>
      </c>
      <c r="Z127" s="152" t="str">
        <f t="array" ref="Z127">ifna(xlookup(U123, 'Week 4'!$A:$A, 'Week 4'!$H:$H), "")</f>
        <v/>
      </c>
      <c r="AA127" s="152" t="str">
        <f t="array" ref="AA127">ifna(xlookup(U123, 'Week 4'!$A:$A, 'Week 4'!$E:$E), "")</f>
        <v/>
      </c>
      <c r="AB127" s="152" t="str">
        <f t="array" ref="AB127">ifna(xlookup(U123, 'Week 4'!$A:$A, 'Week 4'!$F:$F), "")</f>
        <v/>
      </c>
      <c r="AC127" s="152" t="str">
        <f t="array" ref="AC127">ifna(xlookup(U123, 'Week 4'!$A:$A, 'Week 4'!$I:$I), "")</f>
        <v/>
      </c>
      <c r="AD127" s="153" t="str">
        <f t="shared" si="210"/>
        <v/>
      </c>
      <c r="AE127" s="151" t="s">
        <v>17</v>
      </c>
      <c r="AF127" s="2" t="str">
        <f t="shared" si="211"/>
        <v/>
      </c>
      <c r="AG127" s="152" t="str">
        <f t="array" ref="AG127">ifna(xlookup(AE123, 'Week 4'!$A:$A, 'Week 4'!$B:$B), "")</f>
        <v/>
      </c>
      <c r="AH127" s="152" t="str">
        <f t="array" ref="AH127">ifna(xlookup(AE123, 'Week 4'!$A:$A, 'Week 4'!$D:$D), "")</f>
        <v/>
      </c>
      <c r="AI127" s="152" t="str">
        <f t="array" ref="AI127">ifna(xlookup(AE123, 'Week 4'!$A:$A, 'Week 4'!$G:$G), "")</f>
        <v/>
      </c>
      <c r="AJ127" s="152" t="str">
        <f t="array" ref="AJ127">ifna(xlookup(AE123, 'Week 4'!$A:$A, 'Week 4'!$H:$H), "")</f>
        <v/>
      </c>
      <c r="AK127" s="152" t="str">
        <f t="array" ref="AK127">ifna(xlookup(AE123, 'Week 4'!$A:$A, 'Week 4'!$E:$E), "")</f>
        <v/>
      </c>
      <c r="AL127" s="152" t="str">
        <f t="array" ref="AL127">ifna(xlookup(AE123, 'Week 4'!$A:$A, 'Week 4'!$F:$F), "")</f>
        <v/>
      </c>
      <c r="AM127" s="152" t="str">
        <f t="array" ref="AM127">ifna(xlookup(AE123, 'Week 4'!$A:$A, 'Week 4'!$I:$I), "")</f>
        <v/>
      </c>
      <c r="AN127" s="153" t="str">
        <f t="shared" si="212"/>
        <v/>
      </c>
      <c r="AO127" s="151" t="s">
        <v>17</v>
      </c>
      <c r="AP127" s="2" t="str">
        <f t="shared" si="213"/>
        <v/>
      </c>
      <c r="AQ127" s="152" t="str">
        <f t="array" ref="AQ127">ifna(xlookup(AO123, 'Week 4'!$A:$A, 'Week 4'!$B:$B), "")</f>
        <v/>
      </c>
      <c r="AR127" s="152" t="str">
        <f t="array" ref="AR127">ifna(xlookup(AO123, 'Week 4'!$A:$A, 'Week 4'!$D:$D), "")</f>
        <v/>
      </c>
      <c r="AS127" s="152" t="str">
        <f t="array" ref="AS127">ifna(xlookup(AO123, 'Week 4'!$A:$A, 'Week 4'!$G:$G), "")</f>
        <v/>
      </c>
      <c r="AT127" s="152" t="str">
        <f t="array" ref="AT127">ifna(xlookup(AO123, 'Week 4'!$A:$A, 'Week 4'!$H:$H), "")</f>
        <v/>
      </c>
      <c r="AU127" s="152" t="str">
        <f t="array" ref="AU127">ifna(xlookup(AO123, 'Week 4'!$A:$A, 'Week 4'!$E:$E), "")</f>
        <v/>
      </c>
      <c r="AV127" s="152" t="str">
        <f t="array" ref="AV127">ifna(xlookup(AO123, 'Week 4'!$A:$A, 'Week 4'!$F:$F), "")</f>
        <v/>
      </c>
      <c r="AW127" s="152" t="str">
        <f t="array" ref="AW127">ifna(xlookup(AO123, 'Week 4'!$A:$A, 'Week 4'!$I:$I), "")</f>
        <v/>
      </c>
      <c r="AX127" s="153" t="str">
        <f t="shared" si="214"/>
        <v/>
      </c>
      <c r="AY127" s="151" t="s">
        <v>17</v>
      </c>
      <c r="AZ127" s="2" t="str">
        <f t="shared" si="215"/>
        <v/>
      </c>
      <c r="BA127" s="152" t="str">
        <f t="array" ref="BA127">ifna(xlookup(AY123, 'Week 4'!$A:$A, 'Week 4'!$B:$B), "")</f>
        <v/>
      </c>
      <c r="BB127" s="152" t="str">
        <f t="array" ref="BB127">ifna(xlookup(AY123, 'Week 4'!$A:$A, 'Week 4'!$D:$D), "")</f>
        <v/>
      </c>
      <c r="BC127" s="152" t="str">
        <f t="array" ref="BC127">ifna(xlookup(AY123, 'Week 4'!$A:$A, 'Week 4'!$G:$G), "")</f>
        <v/>
      </c>
      <c r="BD127" s="152" t="str">
        <f t="array" ref="BD127">ifna(xlookup(AY123, 'Week 4'!$A:$A, 'Week 4'!$H:$H), "")</f>
        <v/>
      </c>
      <c r="BE127" s="152" t="str">
        <f t="array" ref="BE127">ifna(xlookup(AY123, 'Week 4'!$A:$A, 'Week 4'!$E:$E), "")</f>
        <v/>
      </c>
      <c r="BF127" s="152" t="str">
        <f t="array" ref="BF127">ifna(xlookup(AY123, 'Week 4'!$A:$A, 'Week 4'!$F:$F), "")</f>
        <v/>
      </c>
      <c r="BG127" s="152" t="str">
        <f t="array" ref="BG127">ifna(xlookup(AY123, 'Week 4'!$A:$A, 'Week 4'!$I:$I), "")</f>
        <v/>
      </c>
      <c r="BH127" s="153" t="str">
        <f t="shared" si="216"/>
        <v/>
      </c>
      <c r="BI127" s="8"/>
      <c r="BJ127" s="8"/>
      <c r="BK127" s="8"/>
      <c r="BL127" s="8"/>
    </row>
    <row r="128">
      <c r="A128" s="151" t="s">
        <v>20</v>
      </c>
      <c r="B128" s="2" t="str">
        <f t="shared" si="205"/>
        <v/>
      </c>
      <c r="C128" s="152" t="str">
        <f t="array" ref="C128">ifna(xlookup(A123, 'Week 5'!$A:$A, 'Week 5'!$B:$B), "")</f>
        <v/>
      </c>
      <c r="D128" s="152" t="str">
        <f t="array" ref="D128">ifna(xlookup(A123, 'Week 5'!$A:$A, 'Week 5'!$D:$D), "")</f>
        <v/>
      </c>
      <c r="E128" s="152" t="str">
        <f t="array" ref="E128">ifna(xlookup(A123, 'Week 5'!$A:$A, 'Week 5'!$G:$G), "")</f>
        <v/>
      </c>
      <c r="F128" s="152" t="str">
        <f t="array" ref="F128">ifna(xlookup(A123, 'Week 5'!$A:$A, 'Week 5'!$H:$H), "")</f>
        <v/>
      </c>
      <c r="G128" s="152" t="str">
        <f t="array" ref="G128">ifna(xlookup(A123, 'Week 5'!$A:$A, 'Week 5'!$E:$E), "")</f>
        <v/>
      </c>
      <c r="H128" s="152" t="str">
        <f t="array" ref="H128">ifna(xlookup(A123, 'Week 5'!$A:$A, 'Week 5'!$F:$F), "")</f>
        <v/>
      </c>
      <c r="I128" s="152" t="str">
        <f t="array" ref="I128">ifna(xlookup(A123, 'Week 5'!$A:$A, 'Week 5'!$I:$I), "")</f>
        <v/>
      </c>
      <c r="J128" s="153" t="str">
        <f t="shared" si="206"/>
        <v/>
      </c>
      <c r="K128" s="151" t="s">
        <v>20</v>
      </c>
      <c r="L128" s="2" t="str">
        <f t="shared" si="207"/>
        <v/>
      </c>
      <c r="M128" s="152" t="str">
        <f t="array" ref="M128">ifna(xlookup(K123, 'Week 5'!$A:$A, 'Week 5'!$B:$B), "")</f>
        <v/>
      </c>
      <c r="N128" s="152" t="str">
        <f t="array" ref="N128">ifna(xlookup(K123, 'Week 5'!$A:$A, 'Week 5'!$D:$D), "")</f>
        <v/>
      </c>
      <c r="O128" s="152" t="str">
        <f t="array" ref="O128">ifna(xlookup(K123, 'Week 5'!$A:$A, 'Week 5'!$G:$G), "")</f>
        <v/>
      </c>
      <c r="P128" s="152" t="str">
        <f t="array" ref="P128">ifna(xlookup(K123, 'Week 5'!$A:$A, 'Week 5'!$H:$H), "")</f>
        <v/>
      </c>
      <c r="Q128" s="152" t="str">
        <f t="array" ref="Q128">ifna(xlookup(K123, 'Week 5'!$A:$A, 'Week 5'!$E:$E), "")</f>
        <v/>
      </c>
      <c r="R128" s="152" t="str">
        <f t="array" ref="R128">ifna(xlookup(K123, 'Week 5'!$A:$A, 'Week 5'!$F:$F), "")</f>
        <v/>
      </c>
      <c r="S128" s="152" t="str">
        <f t="array" ref="S128">ifna(xlookup(K123, 'Week 5'!$A:$A, 'Week 5'!$I:$I), "")</f>
        <v/>
      </c>
      <c r="T128" s="153" t="str">
        <f t="shared" si="208"/>
        <v/>
      </c>
      <c r="U128" s="151" t="s">
        <v>20</v>
      </c>
      <c r="V128" s="2" t="str">
        <f t="shared" si="209"/>
        <v/>
      </c>
      <c r="W128" s="152" t="str">
        <f t="array" ref="W128">ifna(xlookup(U123, 'Week 5'!$A:$A, 'Week 5'!$B:$B), "")</f>
        <v/>
      </c>
      <c r="X128" s="152" t="str">
        <f t="array" ref="X128">ifna(xlookup(U123, 'Week 5'!$A:$A, 'Week 5'!$D:$D), "")</f>
        <v/>
      </c>
      <c r="Y128" s="152" t="str">
        <f t="array" ref="Y128">ifna(xlookup(U123, 'Week 5'!$A:$A, 'Week 5'!$G:$G), "")</f>
        <v/>
      </c>
      <c r="Z128" s="152" t="str">
        <f t="array" ref="Z128">ifna(xlookup(U123, 'Week 5'!$A:$A, 'Week 5'!$H:$H), "")</f>
        <v/>
      </c>
      <c r="AA128" s="152" t="str">
        <f t="array" ref="AA128">ifna(xlookup(U123, 'Week 5'!$A:$A, 'Week 5'!$E:$E), "")</f>
        <v/>
      </c>
      <c r="AB128" s="152" t="str">
        <f t="array" ref="AB128">ifna(xlookup(U123, 'Week 5'!$A:$A, 'Week 5'!$F:$F), "")</f>
        <v/>
      </c>
      <c r="AC128" s="152" t="str">
        <f t="array" ref="AC128">ifna(xlookup(U123, 'Week 5'!$A:$A, 'Week 5'!$I:$I), "")</f>
        <v/>
      </c>
      <c r="AD128" s="153" t="str">
        <f t="shared" si="210"/>
        <v/>
      </c>
      <c r="AE128" s="151" t="s">
        <v>20</v>
      </c>
      <c r="AF128" s="2" t="str">
        <f t="shared" si="211"/>
        <v/>
      </c>
      <c r="AG128" s="152" t="str">
        <f t="array" ref="AG128">ifna(xlookup(AE123, 'Week 5'!$A:$A, 'Week 5'!$B:$B), "")</f>
        <v/>
      </c>
      <c r="AH128" s="152" t="str">
        <f t="array" ref="AH128">ifna(xlookup(AE123, 'Week 5'!$A:$A, 'Week 5'!$D:$D), "")</f>
        <v/>
      </c>
      <c r="AI128" s="152" t="str">
        <f t="array" ref="AI128">ifna(xlookup(AE123, 'Week 5'!$A:$A, 'Week 5'!$G:$G), "")</f>
        <v/>
      </c>
      <c r="AJ128" s="152" t="str">
        <f t="array" ref="AJ128">ifna(xlookup(AE123, 'Week 5'!$A:$A, 'Week 5'!$H:$H), "")</f>
        <v/>
      </c>
      <c r="AK128" s="152" t="str">
        <f t="array" ref="AK128">ifna(xlookup(AE123, 'Week 5'!$A:$A, 'Week 5'!$E:$E), "")</f>
        <v/>
      </c>
      <c r="AL128" s="152" t="str">
        <f t="array" ref="AL128">ifna(xlookup(AE123, 'Week 5'!$A:$A, 'Week 5'!$F:$F), "")</f>
        <v/>
      </c>
      <c r="AM128" s="152" t="str">
        <f t="array" ref="AM128">ifna(xlookup(AE123, 'Week 5'!$A:$A, 'Week 5'!$I:$I), "")</f>
        <v/>
      </c>
      <c r="AN128" s="153" t="str">
        <f t="shared" si="212"/>
        <v/>
      </c>
      <c r="AO128" s="151" t="s">
        <v>20</v>
      </c>
      <c r="AP128" s="2" t="str">
        <f t="shared" si="213"/>
        <v/>
      </c>
      <c r="AQ128" s="152" t="str">
        <f t="array" ref="AQ128">ifna(xlookup(AO123, 'Week 5'!$A:$A, 'Week 5'!$B:$B), "")</f>
        <v/>
      </c>
      <c r="AR128" s="152" t="str">
        <f t="array" ref="AR128">ifna(xlookup(AO123, 'Week 5'!$A:$A, 'Week 5'!$D:$D), "")</f>
        <v/>
      </c>
      <c r="AS128" s="152" t="str">
        <f t="array" ref="AS128">ifna(xlookup(AO123, 'Week 5'!$A:$A, 'Week 5'!$G:$G), "")</f>
        <v/>
      </c>
      <c r="AT128" s="152" t="str">
        <f t="array" ref="AT128">ifna(xlookup(AO123, 'Week 5'!$A:$A, 'Week 5'!$H:$H), "")</f>
        <v/>
      </c>
      <c r="AU128" s="152" t="str">
        <f t="array" ref="AU128">ifna(xlookup(AO123, 'Week 5'!$A:$A, 'Week 5'!$E:$E), "")</f>
        <v/>
      </c>
      <c r="AV128" s="152" t="str">
        <f t="array" ref="AV128">ifna(xlookup(AO123, 'Week 5'!$A:$A, 'Week 5'!$F:$F), "")</f>
        <v/>
      </c>
      <c r="AW128" s="152" t="str">
        <f t="array" ref="AW128">ifna(xlookup(AO123, 'Week 5'!$A:$A, 'Week 5'!$I:$I), "")</f>
        <v/>
      </c>
      <c r="AX128" s="153" t="str">
        <f t="shared" si="214"/>
        <v/>
      </c>
      <c r="AY128" s="151" t="s">
        <v>20</v>
      </c>
      <c r="AZ128" s="2" t="str">
        <f t="shared" si="215"/>
        <v/>
      </c>
      <c r="BA128" s="152" t="str">
        <f t="array" ref="BA128">ifna(xlookup(AY123, 'Week 5'!$A:$A, 'Week 5'!$B:$B), "")</f>
        <v/>
      </c>
      <c r="BB128" s="152" t="str">
        <f t="array" ref="BB128">ifna(xlookup(AY123, 'Week 5'!$A:$A, 'Week 5'!$D:$D), "")</f>
        <v/>
      </c>
      <c r="BC128" s="152" t="str">
        <f t="array" ref="BC128">ifna(xlookup(AY123, 'Week 5'!$A:$A, 'Week 5'!$G:$G), "")</f>
        <v/>
      </c>
      <c r="BD128" s="152" t="str">
        <f t="array" ref="BD128">ifna(xlookup(AY123, 'Week 5'!$A:$A, 'Week 5'!$H:$H), "")</f>
        <v/>
      </c>
      <c r="BE128" s="152" t="str">
        <f t="array" ref="BE128">ifna(xlookup(AY123, 'Week 5'!$A:$A, 'Week 5'!$E:$E), "")</f>
        <v/>
      </c>
      <c r="BF128" s="152" t="str">
        <f t="array" ref="BF128">ifna(xlookup(AY123, 'Week 5'!$A:$A, 'Week 5'!$F:$F), "")</f>
        <v/>
      </c>
      <c r="BG128" s="152" t="str">
        <f t="array" ref="BG128">ifna(xlookup(AY123, 'Week 5'!$A:$A, 'Week 5'!$I:$I), "")</f>
        <v/>
      </c>
      <c r="BH128" s="153" t="str">
        <f t="shared" si="216"/>
        <v/>
      </c>
      <c r="BI128" s="8"/>
      <c r="BJ128" s="8"/>
      <c r="BK128" s="8"/>
      <c r="BL128" s="8"/>
    </row>
    <row r="129">
      <c r="A129" s="151" t="s">
        <v>23</v>
      </c>
      <c r="B129" s="2" t="str">
        <f t="shared" si="205"/>
        <v/>
      </c>
      <c r="C129" s="152" t="str">
        <f t="array" ref="C129">ifna(xlookup(A123, 'Week 6'!$A:$A, 'Week 6'!$B:$B), "")</f>
        <v/>
      </c>
      <c r="D129" s="152" t="str">
        <f t="array" ref="D129">ifna(xlookup(A123, 'Week 6'!$A:$A, 'Week 6'!$D:$D), "")</f>
        <v/>
      </c>
      <c r="E129" s="152" t="str">
        <f t="array" ref="E129">ifna(xlookup(A123, 'Week 6'!$A:$A, 'Week 6'!$G:$G), "")</f>
        <v/>
      </c>
      <c r="F129" s="152" t="str">
        <f t="array" ref="F129">ifna(xlookup(A123, 'Week 6'!$A:$A, 'Week 6'!$H:$H), "")</f>
        <v/>
      </c>
      <c r="G129" s="152" t="str">
        <f t="array" ref="G129">ifna(xlookup(A123, 'Week 6'!$A:$A, 'Week 6'!$E:$E), "")</f>
        <v/>
      </c>
      <c r="H129" s="152" t="str">
        <f t="array" ref="H129">ifna(xlookup(A123, 'Week 6'!$A:$A, 'Week 6'!$F:$F), "")</f>
        <v/>
      </c>
      <c r="I129" s="152" t="str">
        <f t="array" ref="I129">ifna(xlookup(A123, 'Week 6'!$A:$A, 'Week 6'!$I:$I), "")</f>
        <v/>
      </c>
      <c r="J129" s="153" t="str">
        <f t="shared" si="206"/>
        <v/>
      </c>
      <c r="K129" s="151" t="s">
        <v>23</v>
      </c>
      <c r="L129" s="2" t="str">
        <f t="shared" si="207"/>
        <v/>
      </c>
      <c r="M129" s="152" t="str">
        <f t="array" ref="M129">ifna(xlookup(K123, 'Week 6'!$A:$A, 'Week 6'!$B:$B), "")</f>
        <v/>
      </c>
      <c r="N129" s="152" t="str">
        <f t="array" ref="N129">ifna(xlookup(K123, 'Week 6'!$A:$A, 'Week 6'!$D:$D), "")</f>
        <v/>
      </c>
      <c r="O129" s="152" t="str">
        <f t="array" ref="O129">ifna(xlookup(K123, 'Week 6'!$A:$A, 'Week 6'!$G:$G), "")</f>
        <v/>
      </c>
      <c r="P129" s="152" t="str">
        <f t="array" ref="P129">ifna(xlookup(K123, 'Week 6'!$A:$A, 'Week 6'!$H:$H), "")</f>
        <v/>
      </c>
      <c r="Q129" s="152" t="str">
        <f t="array" ref="Q129">ifna(xlookup(K123, 'Week 6'!$A:$A, 'Week 6'!$E:$E), "")</f>
        <v/>
      </c>
      <c r="R129" s="152" t="str">
        <f t="array" ref="R129">ifna(xlookup(K123, 'Week 6'!$A:$A, 'Week 6'!$F:$F), "")</f>
        <v/>
      </c>
      <c r="S129" s="152" t="str">
        <f t="array" ref="S129">ifna(xlookup(K123, 'Week 6'!$A:$A, 'Week 6'!$I:$I), "")</f>
        <v/>
      </c>
      <c r="T129" s="153" t="str">
        <f t="shared" si="208"/>
        <v/>
      </c>
      <c r="U129" s="151" t="s">
        <v>23</v>
      </c>
      <c r="V129" s="2" t="str">
        <f t="shared" si="209"/>
        <v/>
      </c>
      <c r="W129" s="152" t="str">
        <f t="array" ref="W129">ifna(xlookup(U123, 'Week 6'!$A:$A, 'Week 6'!$B:$B), "")</f>
        <v/>
      </c>
      <c r="X129" s="152" t="str">
        <f t="array" ref="X129">ifna(xlookup(U123, 'Week 6'!$A:$A, 'Week 6'!$D:$D), "")</f>
        <v/>
      </c>
      <c r="Y129" s="152" t="str">
        <f t="array" ref="Y129">ifna(xlookup(U123, 'Week 6'!$A:$A, 'Week 6'!$G:$G), "")</f>
        <v/>
      </c>
      <c r="Z129" s="152" t="str">
        <f t="array" ref="Z129">ifna(xlookup(U123, 'Week 6'!$A:$A, 'Week 6'!$H:$H), "")</f>
        <v/>
      </c>
      <c r="AA129" s="152" t="str">
        <f t="array" ref="AA129">ifna(xlookup(U123, 'Week 6'!$A:$A, 'Week 6'!$E:$E), "")</f>
        <v/>
      </c>
      <c r="AB129" s="152" t="str">
        <f t="array" ref="AB129">ifna(xlookup(U123, 'Week 6'!$A:$A, 'Week 6'!$F:$F), "")</f>
        <v/>
      </c>
      <c r="AC129" s="152" t="str">
        <f t="array" ref="AC129">ifna(xlookup(U123, 'Week 6'!$A:$A, 'Week 6'!$I:$I), "")</f>
        <v/>
      </c>
      <c r="AD129" s="153" t="str">
        <f t="shared" si="210"/>
        <v/>
      </c>
      <c r="AE129" s="151" t="s">
        <v>23</v>
      </c>
      <c r="AF129" s="2" t="str">
        <f t="shared" si="211"/>
        <v/>
      </c>
      <c r="AG129" s="152" t="str">
        <f t="array" ref="AG129">ifna(xlookup(AE123, 'Week 6'!$A:$A, 'Week 6'!$B:$B), "")</f>
        <v/>
      </c>
      <c r="AH129" s="152" t="str">
        <f t="array" ref="AH129">ifna(xlookup(AE123, 'Week 6'!$A:$A, 'Week 6'!$D:$D), "")</f>
        <v/>
      </c>
      <c r="AI129" s="152" t="str">
        <f t="array" ref="AI129">ifna(xlookup(AE123, 'Week 6'!$A:$A, 'Week 6'!$G:$G), "")</f>
        <v/>
      </c>
      <c r="AJ129" s="152" t="str">
        <f t="array" ref="AJ129">ifna(xlookup(AE123, 'Week 6'!$A:$A, 'Week 6'!$H:$H), "")</f>
        <v/>
      </c>
      <c r="AK129" s="152" t="str">
        <f t="array" ref="AK129">ifna(xlookup(AE123, 'Week 6'!$A:$A, 'Week 6'!$E:$E), "")</f>
        <v/>
      </c>
      <c r="AL129" s="152" t="str">
        <f t="array" ref="AL129">ifna(xlookup(AE123, 'Week 6'!$A:$A, 'Week 6'!$F:$F), "")</f>
        <v/>
      </c>
      <c r="AM129" s="152" t="str">
        <f t="array" ref="AM129">ifna(xlookup(AE123, 'Week 6'!$A:$A, 'Week 6'!$I:$I), "")</f>
        <v/>
      </c>
      <c r="AN129" s="153" t="str">
        <f t="shared" si="212"/>
        <v/>
      </c>
      <c r="AO129" s="151" t="s">
        <v>23</v>
      </c>
      <c r="AP129" s="2" t="str">
        <f t="shared" si="213"/>
        <v/>
      </c>
      <c r="AQ129" s="152" t="str">
        <f t="array" ref="AQ129">ifna(xlookup(AO123, 'Week 6'!$A:$A, 'Week 6'!$B:$B), "")</f>
        <v/>
      </c>
      <c r="AR129" s="152" t="str">
        <f t="array" ref="AR129">ifna(xlookup(AO123, 'Week 6'!$A:$A, 'Week 6'!$D:$D), "")</f>
        <v/>
      </c>
      <c r="AS129" s="152" t="str">
        <f t="array" ref="AS129">ifna(xlookup(AO123, 'Week 6'!$A:$A, 'Week 6'!$G:$G), "")</f>
        <v/>
      </c>
      <c r="AT129" s="152" t="str">
        <f t="array" ref="AT129">ifna(xlookup(AO123, 'Week 6'!$A:$A, 'Week 6'!$H:$H), "")</f>
        <v/>
      </c>
      <c r="AU129" s="152" t="str">
        <f t="array" ref="AU129">ifna(xlookup(AO123, 'Week 6'!$A:$A, 'Week 6'!$E:$E), "")</f>
        <v/>
      </c>
      <c r="AV129" s="152" t="str">
        <f t="array" ref="AV129">ifna(xlookup(AO123, 'Week 6'!$A:$A, 'Week 6'!$F:$F), "")</f>
        <v/>
      </c>
      <c r="AW129" s="152" t="str">
        <f t="array" ref="AW129">ifna(xlookup(AO123, 'Week 6'!$A:$A, 'Week 6'!$I:$I), "")</f>
        <v/>
      </c>
      <c r="AX129" s="153" t="str">
        <f t="shared" si="214"/>
        <v/>
      </c>
      <c r="AY129" s="151" t="s">
        <v>23</v>
      </c>
      <c r="AZ129" s="2" t="str">
        <f t="shared" si="215"/>
        <v/>
      </c>
      <c r="BA129" s="152" t="str">
        <f t="array" ref="BA129">ifna(xlookup(AY123, 'Week 6'!$A:$A, 'Week 6'!$B:$B), "")</f>
        <v/>
      </c>
      <c r="BB129" s="152" t="str">
        <f t="array" ref="BB129">ifna(xlookup(AY123, 'Week 6'!$A:$A, 'Week 6'!$D:$D), "")</f>
        <v/>
      </c>
      <c r="BC129" s="152" t="str">
        <f t="array" ref="BC129">ifna(xlookup(AY123, 'Week 6'!$A:$A, 'Week 6'!$G:$G), "")</f>
        <v/>
      </c>
      <c r="BD129" s="152" t="str">
        <f t="array" ref="BD129">ifna(xlookup(AY123, 'Week 6'!$A:$A, 'Week 6'!$H:$H), "")</f>
        <v/>
      </c>
      <c r="BE129" s="152" t="str">
        <f t="array" ref="BE129">ifna(xlookup(AY123, 'Week 6'!$A:$A, 'Week 6'!$E:$E), "")</f>
        <v/>
      </c>
      <c r="BF129" s="152" t="str">
        <f t="array" ref="BF129">ifna(xlookup(AY123, 'Week 6'!$A:$A, 'Week 6'!$F:$F), "")</f>
        <v/>
      </c>
      <c r="BG129" s="152" t="str">
        <f t="array" ref="BG129">ifna(xlookup(AY123, 'Week 6'!$A:$A, 'Week 6'!$I:$I), "")</f>
        <v/>
      </c>
      <c r="BH129" s="153" t="str">
        <f t="shared" si="216"/>
        <v/>
      </c>
      <c r="BI129" s="8"/>
      <c r="BJ129" s="8"/>
      <c r="BK129" s="8"/>
      <c r="BL129" s="8"/>
    </row>
    <row r="130">
      <c r="A130" s="151" t="s">
        <v>41</v>
      </c>
      <c r="B130" s="2" t="str">
        <f t="shared" si="205"/>
        <v/>
      </c>
      <c r="C130" s="152" t="str">
        <f t="array" ref="C130">ifna(xlookup(A123, 'Week 7'!$A:$A, 'Week 7'!$B:$B), "")</f>
        <v/>
      </c>
      <c r="D130" s="152" t="str">
        <f t="array" ref="D130">ifna(xlookup(A123, 'Week 7'!$A:$A, 'Week 7'!$D:$D), "")</f>
        <v/>
      </c>
      <c r="E130" s="152" t="str">
        <f t="array" ref="E130">ifna(xlookup(A123, 'Week 7'!$A:$A, 'Week 7'!$G:$G), "")</f>
        <v/>
      </c>
      <c r="F130" s="152" t="str">
        <f t="array" ref="F130">ifna(xlookup(A123, 'Week 7'!$A:$A, 'Week 7'!$H:$H), "")</f>
        <v/>
      </c>
      <c r="G130" s="152" t="str">
        <f t="array" ref="G130">ifna(xlookup(A123, 'Week 7'!$A:$A, 'Week 7'!$E:$E), "")</f>
        <v/>
      </c>
      <c r="H130" s="152" t="str">
        <f t="array" ref="H130">ifna(xlookup(A123, 'Week 7'!$A:$A, 'Week 7'!$F:$F), "")</f>
        <v/>
      </c>
      <c r="I130" s="152" t="str">
        <f t="array" ref="I130">ifna(xlookup(A123, 'Week 7'!$A:$A, 'Week 7'!$I:$I), "")</f>
        <v/>
      </c>
      <c r="J130" s="153" t="str">
        <f t="shared" si="206"/>
        <v/>
      </c>
      <c r="K130" s="151" t="s">
        <v>41</v>
      </c>
      <c r="L130" s="2" t="str">
        <f t="shared" si="207"/>
        <v/>
      </c>
      <c r="M130" s="152" t="str">
        <f t="array" ref="M130">ifna(xlookup(K123, 'Week 7'!$A:$A, 'Week 7'!$B:$B), "")</f>
        <v/>
      </c>
      <c r="N130" s="152" t="str">
        <f t="array" ref="N130">ifna(xlookup(K123, 'Week 7'!$A:$A, 'Week 7'!$D:$D), "")</f>
        <v/>
      </c>
      <c r="O130" s="152" t="str">
        <f t="array" ref="O130">ifna(xlookup(K123, 'Week 7'!$A:$A, 'Week 7'!$G:$G), "")</f>
        <v/>
      </c>
      <c r="P130" s="152" t="str">
        <f t="array" ref="P130">ifna(xlookup(K123, 'Week 7'!$A:$A, 'Week 7'!$H:$H), "")</f>
        <v/>
      </c>
      <c r="Q130" s="152" t="str">
        <f t="array" ref="Q130">ifna(xlookup(K123, 'Week 7'!$A:$A, 'Week 7'!$E:$E), "")</f>
        <v/>
      </c>
      <c r="R130" s="152" t="str">
        <f t="array" ref="R130">ifna(xlookup(K123, 'Week 7'!$A:$A, 'Week 7'!$F:$F), "")</f>
        <v/>
      </c>
      <c r="S130" s="152" t="str">
        <f t="array" ref="S130">ifna(xlookup(K123, 'Week 7'!$A:$A, 'Week 7'!$I:$I), "")</f>
        <v/>
      </c>
      <c r="T130" s="153" t="str">
        <f t="shared" si="208"/>
        <v/>
      </c>
      <c r="U130" s="151" t="s">
        <v>41</v>
      </c>
      <c r="V130" s="2" t="str">
        <f t="shared" si="209"/>
        <v/>
      </c>
      <c r="W130" s="152" t="str">
        <f t="array" ref="W130">ifna(xlookup(U123, 'Week 7'!$A:$A, 'Week 7'!$B:$B), "")</f>
        <v/>
      </c>
      <c r="X130" s="152" t="str">
        <f t="array" ref="X130">ifna(xlookup(U123, 'Week 7'!$A:$A, 'Week 7'!$D:$D), "")</f>
        <v/>
      </c>
      <c r="Y130" s="152" t="str">
        <f t="array" ref="Y130">ifna(xlookup(U123, 'Week 7'!$A:$A, 'Week 7'!$G:$G), "")</f>
        <v/>
      </c>
      <c r="Z130" s="152" t="str">
        <f t="array" ref="Z130">ifna(xlookup(U123, 'Week 7'!$A:$A, 'Week 7'!$H:$H), "")</f>
        <v/>
      </c>
      <c r="AA130" s="152" t="str">
        <f t="array" ref="AA130">ifna(xlookup(U123, 'Week 7'!$A:$A, 'Week 7'!$E:$E), "")</f>
        <v/>
      </c>
      <c r="AB130" s="152" t="str">
        <f t="array" ref="AB130">ifna(xlookup(U123, 'Week 7'!$A:$A, 'Week 7'!$F:$F), "")</f>
        <v/>
      </c>
      <c r="AC130" s="152" t="str">
        <f t="array" ref="AC130">ifna(xlookup(U123, 'Week 7'!$A:$A, 'Week 7'!$I:$I), "")</f>
        <v/>
      </c>
      <c r="AD130" s="153" t="str">
        <f t="shared" si="210"/>
        <v/>
      </c>
      <c r="AE130" s="151" t="s">
        <v>41</v>
      </c>
      <c r="AF130" s="2" t="str">
        <f t="shared" si="211"/>
        <v/>
      </c>
      <c r="AG130" s="152" t="str">
        <f t="array" ref="AG130">ifna(xlookup(AE123, 'Week 7'!$A:$A, 'Week 7'!$B:$B), "")</f>
        <v/>
      </c>
      <c r="AH130" s="152" t="str">
        <f t="array" ref="AH130">ifna(xlookup(AE123, 'Week 7'!$A:$A, 'Week 7'!$D:$D), "")</f>
        <v/>
      </c>
      <c r="AI130" s="152" t="str">
        <f t="array" ref="AI130">ifna(xlookup(AE123, 'Week 7'!$A:$A, 'Week 7'!$G:$G), "")</f>
        <v/>
      </c>
      <c r="AJ130" s="152" t="str">
        <f t="array" ref="AJ130">ifna(xlookup(AE123, 'Week 7'!$A:$A, 'Week 7'!$H:$H), "")</f>
        <v/>
      </c>
      <c r="AK130" s="152" t="str">
        <f t="array" ref="AK130">ifna(xlookup(AE123, 'Week 7'!$A:$A, 'Week 7'!$E:$E), "")</f>
        <v/>
      </c>
      <c r="AL130" s="152" t="str">
        <f t="array" ref="AL130">ifna(xlookup(AE123, 'Week 7'!$A:$A, 'Week 7'!$F:$F), "")</f>
        <v/>
      </c>
      <c r="AM130" s="152" t="str">
        <f t="array" ref="AM130">ifna(xlookup(AE123, 'Week 7'!$A:$A, 'Week 7'!$I:$I), "")</f>
        <v/>
      </c>
      <c r="AN130" s="153" t="str">
        <f t="shared" si="212"/>
        <v/>
      </c>
      <c r="AO130" s="151" t="s">
        <v>41</v>
      </c>
      <c r="AP130" s="2" t="str">
        <f t="shared" si="213"/>
        <v/>
      </c>
      <c r="AQ130" s="152" t="str">
        <f t="array" ref="AQ130">ifna(xlookup(AO123, 'Week 7'!$A:$A, 'Week 7'!$B:$B), "")</f>
        <v/>
      </c>
      <c r="AR130" s="152" t="str">
        <f t="array" ref="AR130">ifna(xlookup(AO123, 'Week 7'!$A:$A, 'Week 7'!$D:$D), "")</f>
        <v/>
      </c>
      <c r="AS130" s="152" t="str">
        <f t="array" ref="AS130">ifna(xlookup(AO123, 'Week 7'!$A:$A, 'Week 7'!$G:$G), "")</f>
        <v/>
      </c>
      <c r="AT130" s="152" t="str">
        <f t="array" ref="AT130">ifna(xlookup(AO123, 'Week 7'!$A:$A, 'Week 7'!$H:$H), "")</f>
        <v/>
      </c>
      <c r="AU130" s="152" t="str">
        <f t="array" ref="AU130">ifna(xlookup(AO123, 'Week 7'!$A:$A, 'Week 7'!$E:$E), "")</f>
        <v/>
      </c>
      <c r="AV130" s="152" t="str">
        <f t="array" ref="AV130">ifna(xlookup(AO123, 'Week 7'!$A:$A, 'Week 7'!$F:$F), "")</f>
        <v/>
      </c>
      <c r="AW130" s="152" t="str">
        <f t="array" ref="AW130">ifna(xlookup(AO123, 'Week 7'!$A:$A, 'Week 7'!$I:$I), "")</f>
        <v/>
      </c>
      <c r="AX130" s="153" t="str">
        <f t="shared" si="214"/>
        <v/>
      </c>
      <c r="AY130" s="151" t="s">
        <v>41</v>
      </c>
      <c r="AZ130" s="2" t="str">
        <f t="shared" si="215"/>
        <v/>
      </c>
      <c r="BA130" s="152" t="str">
        <f t="array" ref="BA130">ifna(xlookup(AY123, 'Week 7'!$A:$A, 'Week 7'!$B:$B), "")</f>
        <v/>
      </c>
      <c r="BB130" s="152" t="str">
        <f t="array" ref="BB130">ifna(xlookup(AY123, 'Week 7'!$A:$A, 'Week 7'!$D:$D), "")</f>
        <v/>
      </c>
      <c r="BC130" s="152" t="str">
        <f t="array" ref="BC130">ifna(xlookup(AY123, 'Week 7'!$A:$A, 'Week 7'!$G:$G), "")</f>
        <v/>
      </c>
      <c r="BD130" s="152" t="str">
        <f t="array" ref="BD130">ifna(xlookup(AY123, 'Week 7'!$A:$A, 'Week 7'!$H:$H), "")</f>
        <v/>
      </c>
      <c r="BE130" s="152" t="str">
        <f t="array" ref="BE130">ifna(xlookup(AY123, 'Week 7'!$A:$A, 'Week 7'!$E:$E), "")</f>
        <v/>
      </c>
      <c r="BF130" s="152" t="str">
        <f t="array" ref="BF130">ifna(xlookup(AY123, 'Week 7'!$A:$A, 'Week 7'!$F:$F), "")</f>
        <v/>
      </c>
      <c r="BG130" s="152" t="str">
        <f t="array" ref="BG130">ifna(xlookup(AY123, 'Week 7'!$A:$A, 'Week 7'!$I:$I), "")</f>
        <v/>
      </c>
      <c r="BH130" s="153" t="str">
        <f t="shared" si="216"/>
        <v/>
      </c>
      <c r="BI130" s="8"/>
      <c r="BJ130" s="8"/>
      <c r="BK130" s="8"/>
      <c r="BL130" s="8"/>
    </row>
    <row r="131">
      <c r="A131" s="151" t="s">
        <v>181</v>
      </c>
      <c r="B131" s="2"/>
      <c r="C131" s="2"/>
      <c r="D131" s="2"/>
      <c r="E131" s="2"/>
      <c r="F131" s="2"/>
      <c r="G131" s="2"/>
      <c r="H131" s="2"/>
      <c r="I131" s="2"/>
      <c r="J131" s="153"/>
      <c r="K131" s="151" t="s">
        <v>181</v>
      </c>
      <c r="L131" s="2"/>
      <c r="M131" s="2"/>
      <c r="N131" s="2"/>
      <c r="O131" s="2"/>
      <c r="P131" s="2"/>
      <c r="Q131" s="2"/>
      <c r="R131" s="2"/>
      <c r="S131" s="2"/>
      <c r="T131" s="153"/>
      <c r="U131" s="151" t="s">
        <v>181</v>
      </c>
      <c r="V131" s="2"/>
      <c r="W131" s="2"/>
      <c r="X131" s="2"/>
      <c r="Y131" s="2"/>
      <c r="Z131" s="2"/>
      <c r="AA131" s="2"/>
      <c r="AB131" s="2"/>
      <c r="AC131" s="2"/>
      <c r="AD131" s="153"/>
      <c r="AE131" s="151" t="s">
        <v>181</v>
      </c>
      <c r="AF131" s="2"/>
      <c r="AG131" s="2"/>
      <c r="AH131" s="2"/>
      <c r="AI131" s="2"/>
      <c r="AJ131" s="2"/>
      <c r="AK131" s="2"/>
      <c r="AL131" s="2"/>
      <c r="AM131" s="2"/>
      <c r="AN131" s="153"/>
      <c r="AO131" s="151" t="s">
        <v>181</v>
      </c>
      <c r="AP131" s="2"/>
      <c r="AQ131" s="2"/>
      <c r="AR131" s="2"/>
      <c r="AS131" s="2"/>
      <c r="AT131" s="2"/>
      <c r="AU131" s="2"/>
      <c r="AV131" s="2"/>
      <c r="AW131" s="2"/>
      <c r="AX131" s="153"/>
      <c r="AY131" s="151" t="s">
        <v>181</v>
      </c>
      <c r="AZ131" s="2"/>
      <c r="BA131" s="2"/>
      <c r="BB131" s="2"/>
      <c r="BC131" s="2"/>
      <c r="BD131" s="2"/>
      <c r="BE131" s="2"/>
      <c r="BF131" s="2"/>
      <c r="BG131" s="2"/>
      <c r="BH131" s="153"/>
      <c r="BI131" s="8"/>
      <c r="BJ131" s="8"/>
      <c r="BK131" s="8"/>
      <c r="BL131" s="8"/>
    </row>
    <row r="132">
      <c r="A132" s="151" t="s">
        <v>182</v>
      </c>
      <c r="B132" s="2"/>
      <c r="C132" s="2"/>
      <c r="D132" s="2"/>
      <c r="E132" s="2"/>
      <c r="F132" s="2"/>
      <c r="G132" s="2"/>
      <c r="H132" s="2"/>
      <c r="I132" s="2"/>
      <c r="J132" s="153"/>
      <c r="K132" s="151" t="s">
        <v>182</v>
      </c>
      <c r="L132" s="2"/>
      <c r="M132" s="2"/>
      <c r="N132" s="2"/>
      <c r="O132" s="2"/>
      <c r="P132" s="2"/>
      <c r="Q132" s="2"/>
      <c r="R132" s="2"/>
      <c r="S132" s="2"/>
      <c r="T132" s="153"/>
      <c r="U132" s="151" t="s">
        <v>182</v>
      </c>
      <c r="V132" s="2"/>
      <c r="W132" s="2"/>
      <c r="X132" s="2"/>
      <c r="Y132" s="2"/>
      <c r="Z132" s="2"/>
      <c r="AA132" s="2"/>
      <c r="AB132" s="2"/>
      <c r="AC132" s="2"/>
      <c r="AD132" s="153"/>
      <c r="AE132" s="151" t="s">
        <v>182</v>
      </c>
      <c r="AF132" s="2"/>
      <c r="AG132" s="2"/>
      <c r="AH132" s="2"/>
      <c r="AI132" s="2"/>
      <c r="AJ132" s="2"/>
      <c r="AK132" s="2"/>
      <c r="AL132" s="2"/>
      <c r="AM132" s="2"/>
      <c r="AN132" s="153"/>
      <c r="AO132" s="151" t="s">
        <v>182</v>
      </c>
      <c r="AP132" s="2"/>
      <c r="AQ132" s="2"/>
      <c r="AR132" s="2"/>
      <c r="AS132" s="2"/>
      <c r="AT132" s="2"/>
      <c r="AU132" s="2"/>
      <c r="AV132" s="2"/>
      <c r="AW132" s="2"/>
      <c r="AX132" s="153"/>
      <c r="AY132" s="151" t="s">
        <v>182</v>
      </c>
      <c r="AZ132" s="2"/>
      <c r="BA132" s="2"/>
      <c r="BB132" s="2"/>
      <c r="BC132" s="2"/>
      <c r="BD132" s="2"/>
      <c r="BE132" s="2"/>
      <c r="BF132" s="2"/>
      <c r="BG132" s="2"/>
      <c r="BH132" s="153"/>
      <c r="BI132" s="8"/>
      <c r="BJ132" s="8"/>
      <c r="BK132" s="8"/>
      <c r="BL132" s="8"/>
    </row>
    <row r="133">
      <c r="A133" s="5" t="s">
        <v>183</v>
      </c>
      <c r="B133" s="154">
        <f>countif(B124:B132, "Yes")</f>
        <v>0</v>
      </c>
      <c r="C133" s="155" t="str">
        <f>IFERROR( COUNTIFS(B124:B130,"Yes", C124:C130,"Win") / COUNTIF(B124:B130,"Yes"), "")</f>
        <v/>
      </c>
      <c r="D133" s="156" t="str">
        <f>if(B133&gt;0, average(D124:D132), "")</f>
        <v/>
      </c>
      <c r="E133" s="156" t="str">
        <f>if(B133&gt;0, average(E124:E132), "")</f>
        <v/>
      </c>
      <c r="F133" s="156" t="str">
        <f>if(B133&gt;0, average(F124:F132), "")</f>
        <v/>
      </c>
      <c r="G133" s="156" t="str">
        <f>if(B133&gt;0, average(G124:G132), "")</f>
        <v/>
      </c>
      <c r="H133" s="156" t="str">
        <f>if(B133&gt;0, average(H124:H132), "")</f>
        <v/>
      </c>
      <c r="I133" s="156" t="str">
        <f>if(B133&gt;0, average(I124:I132), "")</f>
        <v/>
      </c>
      <c r="J133" s="157" t="str">
        <f>if(B133&gt;0, D133/(I133+D133), "")</f>
        <v/>
      </c>
      <c r="K133" s="5" t="s">
        <v>183</v>
      </c>
      <c r="L133" s="154">
        <f>countif(L124:L132, "Yes")</f>
        <v>0</v>
      </c>
      <c r="M133" s="155" t="str">
        <f>IFERROR( COUNTIFS(L124:L130,"Yes", M124:M130,"Win") / COUNTIF(L124:L130,"Yes"), "")</f>
        <v/>
      </c>
      <c r="N133" s="156" t="str">
        <f>if(L133&gt;0, average(N124:N132), "")</f>
        <v/>
      </c>
      <c r="O133" s="156" t="str">
        <f>if(L133&gt;0, average(O124:O132), "")</f>
        <v/>
      </c>
      <c r="P133" s="156" t="str">
        <f>if(L133&gt;0, average(P124:P132), "")</f>
        <v/>
      </c>
      <c r="Q133" s="156" t="str">
        <f>if(L133&gt;0, average(Q124:Q132), "")</f>
        <v/>
      </c>
      <c r="R133" s="156" t="str">
        <f>if(L133&gt;0, average(R124:R132), "")</f>
        <v/>
      </c>
      <c r="S133" s="156" t="str">
        <f>if(L133&gt;0, average(S124:S132), "")</f>
        <v/>
      </c>
      <c r="T133" s="157" t="str">
        <f>if(L133&gt;0, N133/(S133+N133), "")</f>
        <v/>
      </c>
      <c r="U133" s="5" t="s">
        <v>183</v>
      </c>
      <c r="V133" s="154">
        <f>countif(V124:V132, "Yes")</f>
        <v>0</v>
      </c>
      <c r="W133" s="155" t="str">
        <f>IFERROR( COUNTIFS(V124:V130,"Yes", W124:W130,"Win") / COUNTIF(V124:V130,"Yes"), "")</f>
        <v/>
      </c>
      <c r="X133" s="156" t="str">
        <f>if(V133&gt;0, average(X124:X132), "")</f>
        <v/>
      </c>
      <c r="Y133" s="156" t="str">
        <f>if(V133&gt;0, average(Y124:Y132), "")</f>
        <v/>
      </c>
      <c r="Z133" s="156" t="str">
        <f>if(V133&gt;0, average(Z124:Z132), "")</f>
        <v/>
      </c>
      <c r="AA133" s="156" t="str">
        <f>if(V133&gt;0, average(AA124:AA132), "")</f>
        <v/>
      </c>
      <c r="AB133" s="156" t="str">
        <f>if(V133&gt;0, average(AB124:AB132), "")</f>
        <v/>
      </c>
      <c r="AC133" s="156" t="str">
        <f>if(V133&gt;0, average(AC124:AC132), "")</f>
        <v/>
      </c>
      <c r="AD133" s="157" t="str">
        <f>if(V133&gt;0, X133/(AC133+X133), "")</f>
        <v/>
      </c>
      <c r="AE133" s="5" t="s">
        <v>183</v>
      </c>
      <c r="AF133" s="154">
        <f>countif(AF124:AF132, "Yes")</f>
        <v>0</v>
      </c>
      <c r="AG133" s="155" t="str">
        <f>IFERROR( COUNTIFS(AF124:AF130,"Yes", AG124:AG130,"Win") / COUNTIF(AF124:AF130,"Yes"), "")</f>
        <v/>
      </c>
      <c r="AH133" s="156" t="str">
        <f>if(AF133&gt;0, average(AH124:AH132), "")</f>
        <v/>
      </c>
      <c r="AI133" s="156" t="str">
        <f>if(AF133&gt;0, average(AI124:AI132), "")</f>
        <v/>
      </c>
      <c r="AJ133" s="156" t="str">
        <f>if(AF133&gt;0, average(AJ124:AJ132), "")</f>
        <v/>
      </c>
      <c r="AK133" s="156" t="str">
        <f>if(AF133&gt;0, average(AK124:AK132), "")</f>
        <v/>
      </c>
      <c r="AL133" s="156" t="str">
        <f>if(AF133&gt;0, average(AL124:AL132), "")</f>
        <v/>
      </c>
      <c r="AM133" s="156" t="str">
        <f>if(AF133&gt;0, average(AM124:AM132), "")</f>
        <v/>
      </c>
      <c r="AN133" s="157" t="str">
        <f>if(AF133&gt;0, AH133/(AM133+AH133), "")</f>
        <v/>
      </c>
      <c r="AO133" s="5" t="s">
        <v>183</v>
      </c>
      <c r="AP133" s="154">
        <f>countif(AP124:AP132, "Yes")</f>
        <v>0</v>
      </c>
      <c r="AQ133" s="155" t="str">
        <f>IFERROR( COUNTIFS(AP124:AP130,"Yes", AQ124:AQ130,"Win") / COUNTIF(AP124:AP130,"Yes"), "")</f>
        <v/>
      </c>
      <c r="AR133" s="156" t="str">
        <f>if(AP133&gt;0, average(AR124:AR132), "")</f>
        <v/>
      </c>
      <c r="AS133" s="156" t="str">
        <f>if(AP133&gt;0, average(AS124:AS132), "")</f>
        <v/>
      </c>
      <c r="AT133" s="156" t="str">
        <f>if(AP133&gt;0, average(AT124:AT132), "")</f>
        <v/>
      </c>
      <c r="AU133" s="156" t="str">
        <f>if(AP133&gt;0, average(AU124:AU132), "")</f>
        <v/>
      </c>
      <c r="AV133" s="156" t="str">
        <f>if(AP133&gt;0, average(AV124:AV132), "")</f>
        <v/>
      </c>
      <c r="AW133" s="156" t="str">
        <f>if(AP133&gt;0, average(AW124:AW132), "")</f>
        <v/>
      </c>
      <c r="AX133" s="157" t="str">
        <f>if(AP133&gt;0, AR133/(AW133+AR133), "")</f>
        <v/>
      </c>
      <c r="AY133" s="5" t="s">
        <v>183</v>
      </c>
      <c r="AZ133" s="154">
        <f>countif(AZ124:AZ132, "Yes")</f>
        <v>0</v>
      </c>
      <c r="BA133" s="155" t="str">
        <f>IFERROR( COUNTIFS(AZ124:AZ130,"Yes", BA124:BA130,"Win") / COUNTIF(AZ124:AZ130,"Yes"), "")</f>
        <v/>
      </c>
      <c r="BB133" s="156" t="str">
        <f>if(AZ133&gt;0, average(BB124:BB132), "")</f>
        <v/>
      </c>
      <c r="BC133" s="156" t="str">
        <f>if(AZ133&gt;0, average(BC124:BC132), "")</f>
        <v/>
      </c>
      <c r="BD133" s="156" t="str">
        <f>if(AZ133&gt;0, average(BD124:BD132), "")</f>
        <v/>
      </c>
      <c r="BE133" s="156" t="str">
        <f>if(AZ133&gt;0, average(BE124:BE132), "")</f>
        <v/>
      </c>
      <c r="BF133" s="156" t="str">
        <f>if(AZ133&gt;0, average(BF124:BF132), "")</f>
        <v/>
      </c>
      <c r="BG133" s="156" t="str">
        <f>if(AZ133&gt;0, average(BG124:BG132), "")</f>
        <v/>
      </c>
      <c r="BH133" s="157" t="str">
        <f>if(AZ133&gt;0, BB133/(BG133+BB133), "")</f>
        <v/>
      </c>
      <c r="BI133" s="8"/>
      <c r="BJ133" s="8"/>
      <c r="BK133" s="8"/>
      <c r="BL133" s="8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8"/>
      <c r="V134" s="2"/>
      <c r="W134" s="2"/>
      <c r="X134" s="2"/>
      <c r="Y134" s="2"/>
      <c r="Z134" s="2"/>
      <c r="AA134" s="2"/>
      <c r="AB134" s="2"/>
      <c r="AC134" s="2"/>
      <c r="AD134" s="2"/>
      <c r="AE134" s="8"/>
      <c r="AF134" s="2"/>
      <c r="AG134" s="2"/>
      <c r="AH134" s="2"/>
      <c r="AI134" s="2"/>
      <c r="AJ134" s="2"/>
      <c r="AK134" s="2"/>
      <c r="AL134" s="2"/>
      <c r="AM134" s="2"/>
      <c r="AN134" s="2"/>
      <c r="AO134" s="8"/>
      <c r="AP134" s="2"/>
      <c r="AQ134" s="2"/>
      <c r="AR134" s="2"/>
      <c r="AS134" s="2"/>
      <c r="AT134" s="2"/>
      <c r="AU134" s="2"/>
      <c r="AV134" s="2"/>
      <c r="AW134" s="2"/>
      <c r="AX134" s="2"/>
      <c r="AY134" s="8"/>
      <c r="AZ134" s="2"/>
      <c r="BA134" s="2"/>
      <c r="BB134" s="2"/>
      <c r="BC134" s="2"/>
      <c r="BD134" s="2"/>
      <c r="BE134" s="2"/>
      <c r="BF134" s="2"/>
      <c r="BG134" s="2"/>
      <c r="BH134" s="2"/>
      <c r="BI134" s="8"/>
      <c r="BJ134" s="8"/>
      <c r="BK134" s="8"/>
      <c r="BL134" s="8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8"/>
      <c r="V135" s="2"/>
      <c r="W135" s="2"/>
      <c r="X135" s="2"/>
      <c r="Y135" s="2"/>
      <c r="Z135" s="2"/>
      <c r="AA135" s="2"/>
      <c r="AB135" s="2"/>
      <c r="AC135" s="2"/>
      <c r="AD135" s="2"/>
      <c r="AE135" s="8"/>
      <c r="AF135" s="2"/>
      <c r="AG135" s="2"/>
      <c r="AH135" s="2"/>
      <c r="AI135" s="2"/>
      <c r="AJ135" s="2"/>
      <c r="AK135" s="2"/>
      <c r="AL135" s="2"/>
      <c r="AM135" s="2"/>
      <c r="AN135" s="2"/>
      <c r="AO135" s="8"/>
      <c r="AP135" s="2"/>
      <c r="AQ135" s="2"/>
      <c r="AR135" s="2"/>
      <c r="AS135" s="2"/>
      <c r="AT135" s="2"/>
      <c r="AU135" s="2"/>
      <c r="AV135" s="2"/>
      <c r="AW135" s="2"/>
      <c r="AX135" s="2"/>
      <c r="AY135" s="8"/>
      <c r="AZ135" s="2"/>
      <c r="BA135" s="2"/>
      <c r="BB135" s="2"/>
      <c r="BC135" s="2"/>
      <c r="BD135" s="2"/>
      <c r="BE135" s="2"/>
      <c r="BF135" s="2"/>
      <c r="BG135" s="2"/>
      <c r="BH135" s="2"/>
      <c r="BI135" s="8"/>
      <c r="BJ135" s="8"/>
      <c r="BK135" s="8"/>
      <c r="BL135" s="8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8"/>
      <c r="V136" s="2"/>
      <c r="W136" s="2"/>
      <c r="X136" s="2"/>
      <c r="Y136" s="2"/>
      <c r="Z136" s="2"/>
      <c r="AA136" s="2"/>
      <c r="AB136" s="2"/>
      <c r="AC136" s="2"/>
      <c r="AD136" s="2"/>
      <c r="AE136" s="8"/>
      <c r="AF136" s="2"/>
      <c r="AG136" s="2"/>
      <c r="AH136" s="2"/>
      <c r="AI136" s="2"/>
      <c r="AJ136" s="2"/>
      <c r="AK136" s="2"/>
      <c r="AL136" s="2"/>
      <c r="AM136" s="2"/>
      <c r="AN136" s="2"/>
      <c r="AO136" s="8"/>
      <c r="AP136" s="2"/>
      <c r="AQ136" s="2"/>
      <c r="AR136" s="2"/>
      <c r="AS136" s="2"/>
      <c r="AT136" s="2"/>
      <c r="AU136" s="2"/>
      <c r="AV136" s="2"/>
      <c r="AW136" s="2"/>
      <c r="AX136" s="2"/>
      <c r="AY136" s="8"/>
      <c r="AZ136" s="2"/>
      <c r="BA136" s="2"/>
      <c r="BB136" s="2"/>
      <c r="BC136" s="2"/>
      <c r="BD136" s="2"/>
      <c r="BE136" s="2"/>
      <c r="BF136" s="2"/>
      <c r="BG136" s="2"/>
      <c r="BH136" s="2"/>
      <c r="BI136" s="8"/>
      <c r="BJ136" s="8"/>
      <c r="BK136" s="8"/>
      <c r="BL136" s="8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8"/>
      <c r="V137" s="2"/>
      <c r="W137" s="2"/>
      <c r="X137" s="2"/>
      <c r="Y137" s="2"/>
      <c r="Z137" s="2"/>
      <c r="AA137" s="2"/>
      <c r="AB137" s="2"/>
      <c r="AC137" s="2"/>
      <c r="AD137" s="2"/>
      <c r="AE137" s="8"/>
      <c r="AF137" s="2"/>
      <c r="AG137" s="2"/>
      <c r="AH137" s="2"/>
      <c r="AI137" s="2"/>
      <c r="AJ137" s="2"/>
      <c r="AK137" s="2"/>
      <c r="AL137" s="2"/>
      <c r="AM137" s="2"/>
      <c r="AN137" s="2"/>
      <c r="AO137" s="8"/>
      <c r="AP137" s="2"/>
      <c r="AQ137" s="2"/>
      <c r="AR137" s="2"/>
      <c r="AS137" s="2"/>
      <c r="AT137" s="2"/>
      <c r="AU137" s="2"/>
      <c r="AV137" s="2"/>
      <c r="AW137" s="2"/>
      <c r="AX137" s="2"/>
      <c r="AY137" s="8"/>
      <c r="AZ137" s="2"/>
      <c r="BA137" s="2"/>
      <c r="BB137" s="2"/>
      <c r="BC137" s="2"/>
      <c r="BD137" s="2"/>
      <c r="BE137" s="2"/>
      <c r="BF137" s="2"/>
      <c r="BG137" s="2"/>
      <c r="BH137" s="2"/>
      <c r="BI137" s="8"/>
      <c r="BJ137" s="8"/>
      <c r="BK137" s="8"/>
      <c r="BL137" s="8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8"/>
      <c r="V138" s="2"/>
      <c r="W138" s="2"/>
      <c r="X138" s="2"/>
      <c r="Y138" s="2"/>
      <c r="Z138" s="2"/>
      <c r="AA138" s="2"/>
      <c r="AB138" s="2"/>
      <c r="AC138" s="2"/>
      <c r="AD138" s="2"/>
      <c r="AE138" s="8"/>
      <c r="AF138" s="2"/>
      <c r="AG138" s="2"/>
      <c r="AH138" s="2"/>
      <c r="AI138" s="2"/>
      <c r="AJ138" s="2"/>
      <c r="AK138" s="2"/>
      <c r="AL138" s="2"/>
      <c r="AM138" s="2"/>
      <c r="AN138" s="2"/>
      <c r="AO138" s="8"/>
      <c r="AP138" s="2"/>
      <c r="AQ138" s="2"/>
      <c r="AR138" s="2"/>
      <c r="AS138" s="2"/>
      <c r="AT138" s="2"/>
      <c r="AU138" s="2"/>
      <c r="AV138" s="2"/>
      <c r="AW138" s="2"/>
      <c r="AX138" s="2"/>
      <c r="AY138" s="8"/>
      <c r="AZ138" s="2"/>
      <c r="BA138" s="2"/>
      <c r="BB138" s="2"/>
      <c r="BC138" s="2"/>
      <c r="BD138" s="2"/>
      <c r="BE138" s="2"/>
      <c r="BF138" s="2"/>
      <c r="BG138" s="2"/>
      <c r="BH138" s="2"/>
      <c r="BI138" s="8"/>
      <c r="BJ138" s="8"/>
      <c r="BK138" s="8"/>
      <c r="BL138" s="8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8"/>
      <c r="V139" s="2"/>
      <c r="W139" s="2"/>
      <c r="X139" s="2"/>
      <c r="Y139" s="2"/>
      <c r="Z139" s="2"/>
      <c r="AA139" s="2"/>
      <c r="AB139" s="2"/>
      <c r="AC139" s="2"/>
      <c r="AD139" s="2"/>
      <c r="AE139" s="8"/>
      <c r="AF139" s="2"/>
      <c r="AG139" s="2"/>
      <c r="AH139" s="2"/>
      <c r="AI139" s="2"/>
      <c r="AJ139" s="2"/>
      <c r="AK139" s="2"/>
      <c r="AL139" s="2"/>
      <c r="AM139" s="2"/>
      <c r="AN139" s="2"/>
      <c r="AO139" s="8"/>
      <c r="AP139" s="2"/>
      <c r="AQ139" s="2"/>
      <c r="AR139" s="2"/>
      <c r="AS139" s="2"/>
      <c r="AT139" s="2"/>
      <c r="AU139" s="2"/>
      <c r="AV139" s="2"/>
      <c r="AW139" s="2"/>
      <c r="AX139" s="2"/>
      <c r="AY139" s="8"/>
      <c r="AZ139" s="2"/>
      <c r="BA139" s="2"/>
      <c r="BB139" s="2"/>
      <c r="BC139" s="2"/>
      <c r="BD139" s="2"/>
      <c r="BE139" s="2"/>
      <c r="BF139" s="2"/>
      <c r="BG139" s="2"/>
      <c r="BH139" s="2"/>
      <c r="BI139" s="8"/>
      <c r="BJ139" s="8"/>
      <c r="BK139" s="8"/>
      <c r="BL139" s="8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8"/>
      <c r="V140" s="2"/>
      <c r="W140" s="2"/>
      <c r="X140" s="2"/>
      <c r="Y140" s="2"/>
      <c r="Z140" s="2"/>
      <c r="AA140" s="2"/>
      <c r="AB140" s="2"/>
      <c r="AC140" s="2"/>
      <c r="AD140" s="2"/>
      <c r="AE140" s="8"/>
      <c r="AF140" s="2"/>
      <c r="AG140" s="2"/>
      <c r="AH140" s="2"/>
      <c r="AI140" s="2"/>
      <c r="AJ140" s="2"/>
      <c r="AK140" s="2"/>
      <c r="AL140" s="2"/>
      <c r="AM140" s="2"/>
      <c r="AN140" s="2"/>
      <c r="AO140" s="8"/>
      <c r="AP140" s="2"/>
      <c r="AQ140" s="2"/>
      <c r="AR140" s="2"/>
      <c r="AS140" s="2"/>
      <c r="AT140" s="2"/>
      <c r="AU140" s="2"/>
      <c r="AV140" s="2"/>
      <c r="AW140" s="2"/>
      <c r="AX140" s="2"/>
      <c r="AY140" s="8"/>
      <c r="AZ140" s="2"/>
      <c r="BA140" s="2"/>
      <c r="BB140" s="2"/>
      <c r="BC140" s="2"/>
      <c r="BD140" s="2"/>
      <c r="BE140" s="2"/>
      <c r="BF140" s="2"/>
      <c r="BG140" s="2"/>
      <c r="BH140" s="2"/>
      <c r="BI140" s="8"/>
      <c r="BJ140" s="8"/>
      <c r="BK140" s="8"/>
      <c r="BL140" s="8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8"/>
      <c r="V141" s="2"/>
      <c r="W141" s="2"/>
      <c r="X141" s="2"/>
      <c r="Y141" s="2"/>
      <c r="Z141" s="2"/>
      <c r="AA141" s="2"/>
      <c r="AB141" s="2"/>
      <c r="AC141" s="2"/>
      <c r="AD141" s="2"/>
      <c r="AE141" s="8"/>
      <c r="AF141" s="2"/>
      <c r="AG141" s="2"/>
      <c r="AH141" s="2"/>
      <c r="AI141" s="2"/>
      <c r="AJ141" s="2"/>
      <c r="AK141" s="2"/>
      <c r="AL141" s="2"/>
      <c r="AM141" s="2"/>
      <c r="AN141" s="2"/>
      <c r="AO141" s="8"/>
      <c r="AP141" s="2"/>
      <c r="AQ141" s="2"/>
      <c r="AR141" s="2"/>
      <c r="AS141" s="2"/>
      <c r="AT141" s="2"/>
      <c r="AU141" s="2"/>
      <c r="AV141" s="2"/>
      <c r="AW141" s="2"/>
      <c r="AX141" s="2"/>
      <c r="AY141" s="8"/>
      <c r="AZ141" s="2"/>
      <c r="BA141" s="2"/>
      <c r="BB141" s="2"/>
      <c r="BC141" s="2"/>
      <c r="BD141" s="2"/>
      <c r="BE141" s="2"/>
      <c r="BF141" s="2"/>
      <c r="BG141" s="2"/>
      <c r="BH141" s="2"/>
      <c r="BI141" s="8"/>
      <c r="BJ141" s="8"/>
      <c r="BK141" s="8"/>
      <c r="BL141" s="8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8"/>
      <c r="V142" s="2"/>
      <c r="W142" s="2"/>
      <c r="X142" s="2"/>
      <c r="Y142" s="2"/>
      <c r="Z142" s="2"/>
      <c r="AA142" s="2"/>
      <c r="AB142" s="2"/>
      <c r="AC142" s="2"/>
      <c r="AD142" s="2"/>
      <c r="AE142" s="8"/>
      <c r="AF142" s="2"/>
      <c r="AG142" s="2"/>
      <c r="AH142" s="2"/>
      <c r="AI142" s="2"/>
      <c r="AJ142" s="2"/>
      <c r="AK142" s="2"/>
      <c r="AL142" s="2"/>
      <c r="AM142" s="2"/>
      <c r="AN142" s="2"/>
      <c r="AO142" s="8"/>
      <c r="AP142" s="2"/>
      <c r="AQ142" s="2"/>
      <c r="AR142" s="2"/>
      <c r="AS142" s="2"/>
      <c r="AT142" s="2"/>
      <c r="AU142" s="2"/>
      <c r="AV142" s="2"/>
      <c r="AW142" s="2"/>
      <c r="AX142" s="2"/>
      <c r="AY142" s="8"/>
      <c r="AZ142" s="2"/>
      <c r="BA142" s="2"/>
      <c r="BB142" s="2"/>
      <c r="BC142" s="2"/>
      <c r="BD142" s="2"/>
      <c r="BE142" s="2"/>
      <c r="BF142" s="2"/>
      <c r="BG142" s="2"/>
      <c r="BH142" s="2"/>
      <c r="BI142" s="8"/>
      <c r="BJ142" s="8"/>
      <c r="BK142" s="8"/>
      <c r="BL142" s="8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8"/>
      <c r="V143" s="2"/>
      <c r="W143" s="2"/>
      <c r="X143" s="2"/>
      <c r="Y143" s="2"/>
      <c r="Z143" s="2"/>
      <c r="AA143" s="2"/>
      <c r="AB143" s="2"/>
      <c r="AC143" s="2"/>
      <c r="AD143" s="2"/>
      <c r="AE143" s="8"/>
      <c r="AF143" s="2"/>
      <c r="AG143" s="2"/>
      <c r="AH143" s="2"/>
      <c r="AI143" s="2"/>
      <c r="AJ143" s="2"/>
      <c r="AK143" s="2"/>
      <c r="AL143" s="2"/>
      <c r="AM143" s="2"/>
      <c r="AN143" s="2"/>
      <c r="AO143" s="8"/>
      <c r="AP143" s="2"/>
      <c r="AQ143" s="2"/>
      <c r="AR143" s="2"/>
      <c r="AS143" s="2"/>
      <c r="AT143" s="2"/>
      <c r="AU143" s="2"/>
      <c r="AV143" s="2"/>
      <c r="AW143" s="2"/>
      <c r="AX143" s="2"/>
      <c r="AY143" s="8"/>
      <c r="AZ143" s="2"/>
      <c r="BA143" s="2"/>
      <c r="BB143" s="2"/>
      <c r="BC143" s="2"/>
      <c r="BD143" s="2"/>
      <c r="BE143" s="2"/>
      <c r="BF143" s="2"/>
      <c r="BG143" s="2"/>
      <c r="BH143" s="2"/>
      <c r="BI143" s="8"/>
      <c r="BJ143" s="8"/>
      <c r="BK143" s="8"/>
      <c r="BL143" s="8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8"/>
      <c r="V144" s="2"/>
      <c r="W144" s="2"/>
      <c r="X144" s="2"/>
      <c r="Y144" s="2"/>
      <c r="Z144" s="2"/>
      <c r="AA144" s="2"/>
      <c r="AB144" s="2"/>
      <c r="AC144" s="2"/>
      <c r="AD144" s="2"/>
      <c r="AE144" s="8"/>
      <c r="AF144" s="2"/>
      <c r="AG144" s="2"/>
      <c r="AH144" s="2"/>
      <c r="AI144" s="2"/>
      <c r="AJ144" s="2"/>
      <c r="AK144" s="2"/>
      <c r="AL144" s="2"/>
      <c r="AM144" s="2"/>
      <c r="AN144" s="2"/>
      <c r="AO144" s="8"/>
      <c r="AP144" s="2"/>
      <c r="AQ144" s="2"/>
      <c r="AR144" s="2"/>
      <c r="AS144" s="2"/>
      <c r="AT144" s="2"/>
      <c r="AU144" s="2"/>
      <c r="AV144" s="2"/>
      <c r="AW144" s="2"/>
      <c r="AX144" s="2"/>
      <c r="AY144" s="8"/>
      <c r="AZ144" s="2"/>
      <c r="BA144" s="2"/>
      <c r="BB144" s="2"/>
      <c r="BC144" s="2"/>
      <c r="BD144" s="2"/>
      <c r="BE144" s="2"/>
      <c r="BF144" s="2"/>
      <c r="BG144" s="2"/>
      <c r="BH144" s="2"/>
      <c r="BI144" s="8"/>
      <c r="BJ144" s="8"/>
      <c r="BK144" s="8"/>
      <c r="BL144" s="8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8"/>
      <c r="V145" s="2"/>
      <c r="W145" s="2"/>
      <c r="X145" s="2"/>
      <c r="Y145" s="2"/>
      <c r="Z145" s="2"/>
      <c r="AA145" s="2"/>
      <c r="AB145" s="2"/>
      <c r="AC145" s="2"/>
      <c r="AD145" s="2"/>
      <c r="AE145" s="8"/>
      <c r="AF145" s="2"/>
      <c r="AG145" s="2"/>
      <c r="AH145" s="2"/>
      <c r="AI145" s="2"/>
      <c r="AJ145" s="2"/>
      <c r="AK145" s="2"/>
      <c r="AL145" s="2"/>
      <c r="AM145" s="2"/>
      <c r="AN145" s="2"/>
      <c r="AO145" s="8"/>
      <c r="AP145" s="2"/>
      <c r="AQ145" s="2"/>
      <c r="AR145" s="2"/>
      <c r="AS145" s="2"/>
      <c r="AT145" s="2"/>
      <c r="AU145" s="2"/>
      <c r="AV145" s="2"/>
      <c r="AW145" s="2"/>
      <c r="AX145" s="2"/>
      <c r="AY145" s="8"/>
      <c r="AZ145" s="2"/>
      <c r="BA145" s="2"/>
      <c r="BB145" s="2"/>
      <c r="BC145" s="2"/>
      <c r="BD145" s="2"/>
      <c r="BE145" s="2"/>
      <c r="BF145" s="2"/>
      <c r="BG145" s="2"/>
      <c r="BH145" s="2"/>
      <c r="BI145" s="8"/>
      <c r="BJ145" s="8"/>
      <c r="BK145" s="8"/>
      <c r="BL145" s="8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8"/>
      <c r="V146" s="2"/>
      <c r="W146" s="2"/>
      <c r="X146" s="2"/>
      <c r="Y146" s="2"/>
      <c r="Z146" s="2"/>
      <c r="AA146" s="2"/>
      <c r="AB146" s="2"/>
      <c r="AC146" s="2"/>
      <c r="AD146" s="2"/>
      <c r="AE146" s="8"/>
      <c r="AF146" s="2"/>
      <c r="AG146" s="2"/>
      <c r="AH146" s="2"/>
      <c r="AI146" s="2"/>
      <c r="AJ146" s="2"/>
      <c r="AK146" s="2"/>
      <c r="AL146" s="2"/>
      <c r="AM146" s="2"/>
      <c r="AN146" s="2"/>
      <c r="AO146" s="8"/>
      <c r="AP146" s="2"/>
      <c r="AQ146" s="2"/>
      <c r="AR146" s="2"/>
      <c r="AS146" s="2"/>
      <c r="AT146" s="2"/>
      <c r="AU146" s="2"/>
      <c r="AV146" s="2"/>
      <c r="AW146" s="2"/>
      <c r="AX146" s="2"/>
      <c r="AY146" s="8"/>
      <c r="AZ146" s="2"/>
      <c r="BA146" s="2"/>
      <c r="BB146" s="2"/>
      <c r="BC146" s="2"/>
      <c r="BD146" s="2"/>
      <c r="BE146" s="2"/>
      <c r="BF146" s="2"/>
      <c r="BG146" s="2"/>
      <c r="BH146" s="2"/>
      <c r="BI146" s="8"/>
      <c r="BJ146" s="8"/>
      <c r="BK146" s="8"/>
      <c r="BL146" s="8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8"/>
      <c r="V147" s="2"/>
      <c r="W147" s="2"/>
      <c r="X147" s="2"/>
      <c r="Y147" s="2"/>
      <c r="Z147" s="2"/>
      <c r="AA147" s="2"/>
      <c r="AB147" s="2"/>
      <c r="AC147" s="2"/>
      <c r="AD147" s="2"/>
      <c r="AE147" s="8"/>
      <c r="AF147" s="2"/>
      <c r="AG147" s="2"/>
      <c r="AH147" s="2"/>
      <c r="AI147" s="2"/>
      <c r="AJ147" s="2"/>
      <c r="AK147" s="2"/>
      <c r="AL147" s="2"/>
      <c r="AM147" s="2"/>
      <c r="AN147" s="2"/>
      <c r="AO147" s="8"/>
      <c r="AP147" s="2"/>
      <c r="AQ147" s="2"/>
      <c r="AR147" s="2"/>
      <c r="AS147" s="2"/>
      <c r="AT147" s="2"/>
      <c r="AU147" s="2"/>
      <c r="AV147" s="2"/>
      <c r="AW147" s="2"/>
      <c r="AX147" s="2"/>
      <c r="AY147" s="8"/>
      <c r="AZ147" s="2"/>
      <c r="BA147" s="2"/>
      <c r="BB147" s="2"/>
      <c r="BC147" s="2"/>
      <c r="BD147" s="2"/>
      <c r="BE147" s="2"/>
      <c r="BF147" s="2"/>
      <c r="BG147" s="2"/>
      <c r="BH147" s="2"/>
      <c r="BI147" s="8"/>
      <c r="BJ147" s="8"/>
      <c r="BK147" s="8"/>
      <c r="BL147" s="8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8"/>
      <c r="V148" s="2"/>
      <c r="W148" s="2"/>
      <c r="X148" s="2"/>
      <c r="Y148" s="2"/>
      <c r="Z148" s="2"/>
      <c r="AA148" s="2"/>
      <c r="AB148" s="2"/>
      <c r="AC148" s="2"/>
      <c r="AD148" s="2"/>
      <c r="AE148" s="8"/>
      <c r="AF148" s="2"/>
      <c r="AG148" s="2"/>
      <c r="AH148" s="2"/>
      <c r="AI148" s="2"/>
      <c r="AJ148" s="2"/>
      <c r="AK148" s="2"/>
      <c r="AL148" s="2"/>
      <c r="AM148" s="2"/>
      <c r="AN148" s="2"/>
      <c r="AO148" s="8"/>
      <c r="AP148" s="2"/>
      <c r="AQ148" s="2"/>
      <c r="AR148" s="2"/>
      <c r="AS148" s="2"/>
      <c r="AT148" s="2"/>
      <c r="AU148" s="2"/>
      <c r="AV148" s="2"/>
      <c r="AW148" s="2"/>
      <c r="AX148" s="2"/>
      <c r="AY148" s="8"/>
      <c r="AZ148" s="2"/>
      <c r="BA148" s="2"/>
      <c r="BB148" s="2"/>
      <c r="BC148" s="2"/>
      <c r="BD148" s="2"/>
      <c r="BE148" s="2"/>
      <c r="BF148" s="2"/>
      <c r="BG148" s="2"/>
      <c r="BH148" s="2"/>
      <c r="BI148" s="8"/>
      <c r="BJ148" s="8"/>
      <c r="BK148" s="8"/>
      <c r="BL148" s="8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8"/>
      <c r="V149" s="2"/>
      <c r="W149" s="2"/>
      <c r="X149" s="2"/>
      <c r="Y149" s="2"/>
      <c r="Z149" s="2"/>
      <c r="AA149" s="2"/>
      <c r="AB149" s="2"/>
      <c r="AC149" s="2"/>
      <c r="AD149" s="2"/>
      <c r="AE149" s="8"/>
      <c r="AF149" s="2"/>
      <c r="AG149" s="2"/>
      <c r="AH149" s="2"/>
      <c r="AI149" s="2"/>
      <c r="AJ149" s="2"/>
      <c r="AK149" s="2"/>
      <c r="AL149" s="2"/>
      <c r="AM149" s="2"/>
      <c r="AN149" s="2"/>
      <c r="AO149" s="8"/>
      <c r="AP149" s="2"/>
      <c r="AQ149" s="2"/>
      <c r="AR149" s="2"/>
      <c r="AS149" s="2"/>
      <c r="AT149" s="2"/>
      <c r="AU149" s="2"/>
      <c r="AV149" s="2"/>
      <c r="AW149" s="2"/>
      <c r="AX149" s="2"/>
      <c r="AY149" s="8"/>
      <c r="AZ149" s="2"/>
      <c r="BA149" s="2"/>
      <c r="BB149" s="2"/>
      <c r="BC149" s="2"/>
      <c r="BD149" s="2"/>
      <c r="BE149" s="2"/>
      <c r="BF149" s="2"/>
      <c r="BG149" s="2"/>
      <c r="BH149" s="2"/>
      <c r="BI149" s="8"/>
      <c r="BJ149" s="8"/>
      <c r="BK149" s="8"/>
      <c r="BL149" s="8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8"/>
      <c r="V150" s="2"/>
      <c r="W150" s="2"/>
      <c r="X150" s="2"/>
      <c r="Y150" s="2"/>
      <c r="Z150" s="2"/>
      <c r="AA150" s="2"/>
      <c r="AB150" s="2"/>
      <c r="AC150" s="2"/>
      <c r="AD150" s="2"/>
      <c r="AE150" s="8"/>
      <c r="AF150" s="2"/>
      <c r="AG150" s="2"/>
      <c r="AH150" s="2"/>
      <c r="AI150" s="2"/>
      <c r="AJ150" s="2"/>
      <c r="AK150" s="2"/>
      <c r="AL150" s="2"/>
      <c r="AM150" s="2"/>
      <c r="AN150" s="2"/>
      <c r="AO150" s="8"/>
      <c r="AP150" s="2"/>
      <c r="AQ150" s="2"/>
      <c r="AR150" s="2"/>
      <c r="AS150" s="2"/>
      <c r="AT150" s="2"/>
      <c r="AU150" s="2"/>
      <c r="AV150" s="2"/>
      <c r="AW150" s="2"/>
      <c r="AX150" s="2"/>
      <c r="AY150" s="8"/>
      <c r="AZ150" s="2"/>
      <c r="BA150" s="2"/>
      <c r="BB150" s="2"/>
      <c r="BC150" s="2"/>
      <c r="BD150" s="2"/>
      <c r="BE150" s="2"/>
      <c r="BF150" s="2"/>
      <c r="BG150" s="2"/>
      <c r="BH150" s="2"/>
      <c r="BI150" s="8"/>
      <c r="BJ150" s="8"/>
      <c r="BK150" s="8"/>
      <c r="BL150" s="8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8"/>
      <c r="V151" s="2"/>
      <c r="W151" s="2"/>
      <c r="X151" s="2"/>
      <c r="Y151" s="2"/>
      <c r="Z151" s="2"/>
      <c r="AA151" s="2"/>
      <c r="AB151" s="2"/>
      <c r="AC151" s="2"/>
      <c r="AD151" s="2"/>
      <c r="AE151" s="8"/>
      <c r="AF151" s="2"/>
      <c r="AG151" s="2"/>
      <c r="AH151" s="2"/>
      <c r="AI151" s="2"/>
      <c r="AJ151" s="2"/>
      <c r="AK151" s="2"/>
      <c r="AL151" s="2"/>
      <c r="AM151" s="2"/>
      <c r="AN151" s="2"/>
      <c r="AO151" s="8"/>
      <c r="AP151" s="2"/>
      <c r="AQ151" s="2"/>
      <c r="AR151" s="2"/>
      <c r="AS151" s="2"/>
      <c r="AT151" s="2"/>
      <c r="AU151" s="2"/>
      <c r="AV151" s="2"/>
      <c r="AW151" s="2"/>
      <c r="AX151" s="2"/>
      <c r="AY151" s="8"/>
      <c r="AZ151" s="2"/>
      <c r="BA151" s="2"/>
      <c r="BB151" s="2"/>
      <c r="BC151" s="2"/>
      <c r="BD151" s="2"/>
      <c r="BE151" s="2"/>
      <c r="BF151" s="2"/>
      <c r="BG151" s="2"/>
      <c r="BH151" s="2"/>
      <c r="BI151" s="8"/>
      <c r="BJ151" s="8"/>
      <c r="BK151" s="8"/>
      <c r="BL151" s="8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Schedule'!A3</f>
        <v>Candice?</v>
      </c>
      <c r="B1" s="2"/>
      <c r="C1" s="2"/>
      <c r="D1" s="2"/>
      <c r="E1" s="2" t="s">
        <v>145</v>
      </c>
      <c r="F1" s="166" t="str">
        <f>if(D19&gt;N19, "Win", if(D19&lt;N19, "Loss", ""))</f>
        <v>Win</v>
      </c>
      <c r="G1" s="2"/>
      <c r="H1" s="17" t="s">
        <v>146</v>
      </c>
      <c r="I1" s="152">
        <f>D19-N19</f>
        <v>11</v>
      </c>
      <c r="J1" s="167" t="s">
        <v>184</v>
      </c>
      <c r="K1" s="168" t="str">
        <f>'Full Schedule'!B3</f>
        <v>Migos</v>
      </c>
      <c r="L1" s="2"/>
      <c r="M1" s="2"/>
      <c r="N1" s="2"/>
      <c r="O1" s="17" t="s">
        <v>145</v>
      </c>
      <c r="P1" s="166" t="str">
        <f>if(N19&gt;D19, "Win", if(N19&lt;D19, "Loss", ""))</f>
        <v>Loss</v>
      </c>
      <c r="Q1" s="2"/>
      <c r="R1" s="17" t="s">
        <v>146</v>
      </c>
      <c r="S1" s="152">
        <f>N19-D19</f>
        <v>-11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John</v>
      </c>
      <c r="B3" s="24" t="str">
        <f>F1</f>
        <v>Win</v>
      </c>
      <c r="C3" s="24">
        <v>6.0</v>
      </c>
      <c r="D3" s="2">
        <f t="shared" ref="D3:D17" si="1">if(I3&gt;0, sum(E3:H3), "")</f>
        <v>22</v>
      </c>
      <c r="E3" s="24">
        <v>6.0</v>
      </c>
      <c r="F3" s="24">
        <v>3.0</v>
      </c>
      <c r="G3" s="24">
        <v>7.0</v>
      </c>
      <c r="H3" s="24">
        <v>6.0</v>
      </c>
      <c r="I3" s="24">
        <v>23.0</v>
      </c>
      <c r="J3" s="2"/>
      <c r="K3" s="2" t="str">
        <f t="array" ref="K3">xlookup($K$1, 'General Info'!$F$3:$K$3, 'General Info'!$F4:$K4)</f>
        <v>Arnav</v>
      </c>
      <c r="L3" s="24" t="str">
        <f>P1</f>
        <v>Loss</v>
      </c>
      <c r="M3" s="24">
        <v>6.0</v>
      </c>
      <c r="N3" s="2">
        <f t="shared" ref="N3:N17" si="2">if(S3&gt;0, sum(O3:R3), "")</f>
        <v>18</v>
      </c>
      <c r="O3" s="24">
        <v>8.0</v>
      </c>
      <c r="P3" s="24">
        <v>5.0</v>
      </c>
      <c r="Q3" s="24">
        <v>3.0</v>
      </c>
      <c r="R3" s="24">
        <v>2.0</v>
      </c>
      <c r="S3" s="24">
        <v>24.0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Cole</v>
      </c>
      <c r="B4" s="24" t="str">
        <f>F1</f>
        <v>Win</v>
      </c>
      <c r="C4" s="24">
        <v>5.0</v>
      </c>
      <c r="D4" s="2">
        <f t="shared" si="1"/>
        <v>15</v>
      </c>
      <c r="E4" s="24">
        <v>7.0</v>
      </c>
      <c r="F4" s="24">
        <v>0.0</v>
      </c>
      <c r="G4" s="24">
        <v>7.0</v>
      </c>
      <c r="H4" s="24">
        <v>1.0</v>
      </c>
      <c r="I4" s="24">
        <v>25.0</v>
      </c>
      <c r="J4" s="2"/>
      <c r="K4" s="2" t="str">
        <f t="array" ref="K4">xlookup($K$1, 'General Info'!$F$3:$K$3, 'General Info'!$F5:$K5)</f>
        <v>Brendan</v>
      </c>
      <c r="L4" s="24" t="str">
        <f>P1</f>
        <v>Loss</v>
      </c>
      <c r="M4" s="24">
        <v>1.0</v>
      </c>
      <c r="N4" s="2">
        <f t="shared" si="2"/>
        <v>13</v>
      </c>
      <c r="O4" s="24">
        <v>12.0</v>
      </c>
      <c r="P4" s="24">
        <v>0.0</v>
      </c>
      <c r="Q4" s="24">
        <v>1.0</v>
      </c>
      <c r="R4" s="24">
        <v>0.0</v>
      </c>
      <c r="S4" s="24">
        <v>27.0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Dannegger</v>
      </c>
      <c r="B5" s="2" t="str">
        <f>F1</f>
        <v>Win</v>
      </c>
      <c r="C5" s="24">
        <v>4.0</v>
      </c>
      <c r="D5" s="2">
        <f t="shared" si="1"/>
        <v>15</v>
      </c>
      <c r="E5" s="24">
        <v>6.0</v>
      </c>
      <c r="F5" s="24">
        <v>2.0</v>
      </c>
      <c r="G5" s="24">
        <v>4.0</v>
      </c>
      <c r="H5" s="24">
        <v>3.0</v>
      </c>
      <c r="I5" s="24">
        <v>28.0</v>
      </c>
      <c r="J5" s="2"/>
      <c r="K5" s="2" t="str">
        <f t="array" ref="K5">xlookup($K$1, 'General Info'!$F$3:$K$3, 'General Info'!$F6:$K6)</f>
        <v>Kumbatovic</v>
      </c>
      <c r="L5" s="2" t="str">
        <f>P1</f>
        <v>Loss</v>
      </c>
      <c r="M5" s="24">
        <v>5.0</v>
      </c>
      <c r="N5" s="2">
        <f t="shared" si="2"/>
        <v>13</v>
      </c>
      <c r="O5" s="24">
        <v>7.0</v>
      </c>
      <c r="P5" s="24">
        <v>0.0</v>
      </c>
      <c r="Q5" s="24">
        <v>6.0</v>
      </c>
      <c r="R5" s="24">
        <v>0.0</v>
      </c>
      <c r="S5" s="24">
        <v>26.0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KZ</v>
      </c>
      <c r="B6" s="24" t="str">
        <f>F1</f>
        <v>Win</v>
      </c>
      <c r="C6" s="24">
        <v>3.0</v>
      </c>
      <c r="D6" s="2">
        <f t="shared" si="1"/>
        <v>20</v>
      </c>
      <c r="E6" s="24">
        <v>6.0</v>
      </c>
      <c r="F6" s="24">
        <v>0.0</v>
      </c>
      <c r="G6" s="24">
        <v>14.0</v>
      </c>
      <c r="H6" s="24">
        <v>0.0</v>
      </c>
      <c r="I6" s="24">
        <v>25.0</v>
      </c>
      <c r="J6" s="2"/>
      <c r="K6" s="2" t="str">
        <f t="array" ref="K6">xlookup($K$1, 'General Info'!$F$3:$K$3, 'General Info'!$F7:$K7)</f>
        <v>Paul</v>
      </c>
      <c r="L6" s="24" t="str">
        <f>P1</f>
        <v>Loss</v>
      </c>
      <c r="M6" s="24">
        <v>2.0</v>
      </c>
      <c r="N6" s="2">
        <f t="shared" si="2"/>
        <v>12</v>
      </c>
      <c r="O6" s="24">
        <v>1.0</v>
      </c>
      <c r="P6" s="24">
        <v>0.0</v>
      </c>
      <c r="Q6" s="24">
        <v>10.0</v>
      </c>
      <c r="R6" s="24">
        <v>1.0</v>
      </c>
      <c r="S6" s="24">
        <v>27.0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Adi</v>
      </c>
      <c r="B7" s="24" t="str">
        <f>F1</f>
        <v>Win</v>
      </c>
      <c r="C7" s="24">
        <v>2.0</v>
      </c>
      <c r="D7" s="2">
        <f t="shared" si="1"/>
        <v>12</v>
      </c>
      <c r="E7" s="24">
        <v>8.0</v>
      </c>
      <c r="F7" s="24">
        <v>1.0</v>
      </c>
      <c r="G7" s="24">
        <v>3.0</v>
      </c>
      <c r="H7" s="24">
        <v>0.0</v>
      </c>
      <c r="I7" s="24">
        <v>27.0</v>
      </c>
      <c r="J7" s="2"/>
      <c r="K7" s="2" t="str">
        <f t="array" ref="K7">xlookup($K$1, 'General Info'!$F$3:$K$3, 'General Info'!$F8:$K8)</f>
        <v>Raymond</v>
      </c>
      <c r="L7" s="24" t="str">
        <f>P1</f>
        <v>Loss</v>
      </c>
      <c r="M7" s="24">
        <v>4.0</v>
      </c>
      <c r="N7" s="2">
        <f t="shared" si="2"/>
        <v>14</v>
      </c>
      <c r="O7" s="24">
        <v>2.0</v>
      </c>
      <c r="P7" s="24">
        <v>0.0</v>
      </c>
      <c r="Q7" s="24">
        <v>11.0</v>
      </c>
      <c r="R7" s="24">
        <v>1.0</v>
      </c>
      <c r="S7" s="24">
        <v>24.0</v>
      </c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Gavin</v>
      </c>
      <c r="B8" s="24" t="str">
        <f>F1</f>
        <v>Win</v>
      </c>
      <c r="C8" s="24">
        <v>1.0</v>
      </c>
      <c r="D8" s="2">
        <f t="shared" si="1"/>
        <v>14</v>
      </c>
      <c r="E8" s="24">
        <v>5.0</v>
      </c>
      <c r="F8" s="24">
        <v>0.0</v>
      </c>
      <c r="G8" s="24">
        <v>9.0</v>
      </c>
      <c r="H8" s="24">
        <v>0.0</v>
      </c>
      <c r="I8" s="24">
        <v>27.0</v>
      </c>
      <c r="J8" s="2"/>
      <c r="K8" s="2" t="str">
        <f t="array" ref="K8">xlookup($K$1, 'General Info'!$F$3:$K$3, 'General Info'!$F9:$K9)</f>
        <v>TC</v>
      </c>
      <c r="L8" s="24" t="str">
        <f>P1</f>
        <v>Loss</v>
      </c>
      <c r="M8" s="24">
        <v>3.0</v>
      </c>
      <c r="N8" s="2">
        <f t="shared" si="2"/>
        <v>19</v>
      </c>
      <c r="O8" s="24">
        <v>9.0</v>
      </c>
      <c r="P8" s="24">
        <v>1.0</v>
      </c>
      <c r="Q8" s="24">
        <v>9.0</v>
      </c>
      <c r="R8" s="24">
        <v>0.0</v>
      </c>
      <c r="S8" s="24">
        <v>22.0</v>
      </c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David</v>
      </c>
      <c r="B9" s="2" t="str">
        <f>F1</f>
        <v>Win</v>
      </c>
      <c r="C9" s="2"/>
      <c r="D9" s="2" t="str">
        <f t="shared" si="1"/>
        <v/>
      </c>
      <c r="E9" s="2"/>
      <c r="F9" s="2"/>
      <c r="G9" s="2"/>
      <c r="H9" s="2"/>
      <c r="I9" s="2"/>
      <c r="J9" s="2"/>
      <c r="K9" s="2" t="str">
        <f t="array" ref="K9">xlookup($K$1, 'General Info'!$F$3:$K$3, 'General Info'!$F10:$K10)</f>
        <v>Kyi</v>
      </c>
      <c r="L9" s="2" t="str">
        <f>P1</f>
        <v>Loss</v>
      </c>
      <c r="M9" s="2"/>
      <c r="N9" s="2" t="str">
        <f t="shared" si="2"/>
        <v/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Kento</v>
      </c>
      <c r="B10" s="24" t="str">
        <f>F1</f>
        <v>Win</v>
      </c>
      <c r="C10" s="24"/>
      <c r="D10" s="2" t="str">
        <f t="shared" si="1"/>
        <v/>
      </c>
      <c r="E10" s="24"/>
      <c r="F10" s="24"/>
      <c r="G10" s="24"/>
      <c r="H10" s="24"/>
      <c r="I10" s="24"/>
      <c r="J10" s="2"/>
      <c r="K10" s="2" t="str">
        <f t="array" ref="K10">xlookup($K$1, 'General Info'!$F$3:$K$3, 'General Info'!$F11:$K11)</f>
        <v>Jwu</v>
      </c>
      <c r="L10" s="24" t="str">
        <f>P1</f>
        <v>Loss</v>
      </c>
      <c r="M10" s="2"/>
      <c r="N10" s="2" t="str">
        <f t="shared" si="2"/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Jacob</v>
      </c>
      <c r="B11" s="2" t="str">
        <f>F1</f>
        <v>Win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Parker</v>
      </c>
      <c r="L11" s="2" t="str">
        <f>P1</f>
        <v>Loss</v>
      </c>
      <c r="M11" s="2"/>
      <c r="N11" s="2" t="str">
        <f t="shared" si="2"/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/>
      </c>
      <c r="B12" s="2" t="str">
        <f>F1</f>
        <v>Win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>Henry</v>
      </c>
      <c r="L12" s="2" t="str">
        <f>P1</f>
        <v>Loss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/>
      </c>
      <c r="B13" s="2" t="str">
        <f>F1</f>
        <v>Win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>Ayush</v>
      </c>
      <c r="L13" s="2" t="str">
        <f>P1</f>
        <v>Loss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Win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Loss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Win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Loss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Win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Loss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Win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Loss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27">
        <v>2.0</v>
      </c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6"/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100</v>
      </c>
      <c r="E19" s="2"/>
      <c r="F19" s="2"/>
      <c r="G19" s="2"/>
      <c r="H19" s="2"/>
      <c r="I19" s="174">
        <f>sum(D3:D17)/(sum(D3:D17)+sum(I3:I17))</f>
        <v>0.3873517787</v>
      </c>
      <c r="J19" s="2"/>
      <c r="K19" s="171" t="s">
        <v>152</v>
      </c>
      <c r="L19" s="172"/>
      <c r="M19" s="172"/>
      <c r="N19" s="173">
        <f>sum(N3:N18)</f>
        <v>89</v>
      </c>
      <c r="O19" s="2"/>
      <c r="P19" s="2"/>
      <c r="Q19" s="2"/>
      <c r="R19" s="2"/>
      <c r="S19" s="174">
        <f>sum(N3:N17)/(sum(N3:N17)+sum(S3:S17))</f>
        <v>0.3723849372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Schedule'!A4</f>
        <v>Team F</v>
      </c>
      <c r="B21" s="2"/>
      <c r="C21" s="2"/>
      <c r="D21" s="2"/>
      <c r="E21" s="2" t="s">
        <v>145</v>
      </c>
      <c r="F21" s="166" t="str">
        <f>if(D39&gt;N39, "Win", if(D39&lt;N39, "Loss", ""))</f>
        <v>Win</v>
      </c>
      <c r="G21" s="2"/>
      <c r="H21" s="17" t="s">
        <v>146</v>
      </c>
      <c r="I21" s="152">
        <f>D39-N39</f>
        <v>23</v>
      </c>
      <c r="J21" s="167" t="s">
        <v>184</v>
      </c>
      <c r="K21" s="165" t="str">
        <f>'Full Schedule'!B4</f>
        <v>Team C</v>
      </c>
      <c r="L21" s="2"/>
      <c r="M21" s="2"/>
      <c r="N21" s="2"/>
      <c r="O21" s="17" t="s">
        <v>145</v>
      </c>
      <c r="P21" s="166" t="str">
        <f>if(N39&gt;D39, "Win", if(N39&lt;D39, "Loss", ""))</f>
        <v>Loss</v>
      </c>
      <c r="Q21" s="2"/>
      <c r="R21" s="17" t="s">
        <v>146</v>
      </c>
      <c r="S21" s="152">
        <f>N39-D39</f>
        <v>-23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Jay</v>
      </c>
      <c r="B23" s="24" t="str">
        <f>F21</f>
        <v>Win</v>
      </c>
      <c r="C23" s="2"/>
      <c r="D23" s="2">
        <f t="shared" ref="D23:D37" si="3">if(I23&gt;0, sum(E23:H23), "")</f>
        <v>22</v>
      </c>
      <c r="E23" s="24">
        <v>11.0</v>
      </c>
      <c r="F23" s="24">
        <v>2.0</v>
      </c>
      <c r="G23" s="24">
        <v>7.0</v>
      </c>
      <c r="H23" s="24">
        <v>2.0</v>
      </c>
      <c r="I23" s="24">
        <v>21.0</v>
      </c>
      <c r="J23" s="2"/>
      <c r="K23" s="2" t="str">
        <f t="array" ref="K23">xlookup($K$21, 'General Info'!$F$3:$K$3, 'General Info'!$F4:$K4)</f>
        <v>Du</v>
      </c>
      <c r="L23" s="24" t="str">
        <f>P21</f>
        <v>Loss</v>
      </c>
      <c r="M23" s="2"/>
      <c r="N23" s="2">
        <f t="shared" ref="N23:N37" si="4">if(S23&gt;0, sum(O23:R23), "")</f>
        <v>14</v>
      </c>
      <c r="O23" s="24">
        <v>12.0</v>
      </c>
      <c r="P23" s="24">
        <v>1.0</v>
      </c>
      <c r="Q23" s="24">
        <v>1.0</v>
      </c>
      <c r="R23" s="24">
        <v>0.0</v>
      </c>
      <c r="S23" s="24">
        <v>22.0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Schmid</v>
      </c>
      <c r="B24" s="24" t="str">
        <f>F21</f>
        <v>Win</v>
      </c>
      <c r="C24" s="2"/>
      <c r="D24" s="2">
        <f t="shared" si="3"/>
        <v>17</v>
      </c>
      <c r="E24" s="24">
        <v>2.0</v>
      </c>
      <c r="F24" s="24">
        <v>0.0</v>
      </c>
      <c r="G24" s="24">
        <v>13.0</v>
      </c>
      <c r="H24" s="24">
        <v>2.0</v>
      </c>
      <c r="I24" s="24">
        <v>23.0</v>
      </c>
      <c r="J24" s="2"/>
      <c r="K24" s="2" t="str">
        <f t="array" ref="K24">xlookup($K$21, 'General Info'!$F$3:$K$3, 'General Info'!$F5:$K5)</f>
        <v>Neo</v>
      </c>
      <c r="L24" s="24" t="str">
        <f>P21</f>
        <v>Loss</v>
      </c>
      <c r="M24" s="2"/>
      <c r="N24" s="2">
        <f t="shared" si="4"/>
        <v>15</v>
      </c>
      <c r="O24" s="24">
        <v>5.0</v>
      </c>
      <c r="P24" s="24">
        <v>1.0</v>
      </c>
      <c r="Q24" s="24">
        <v>9.0</v>
      </c>
      <c r="R24" s="24">
        <v>0.0</v>
      </c>
      <c r="S24" s="24">
        <v>21.0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DC</v>
      </c>
      <c r="B25" s="2" t="str">
        <f>F21</f>
        <v>Win</v>
      </c>
      <c r="C25" s="2"/>
      <c r="D25" s="2">
        <f t="shared" si="3"/>
        <v>18</v>
      </c>
      <c r="E25" s="24">
        <v>12.0</v>
      </c>
      <c r="F25" s="24">
        <v>0.0</v>
      </c>
      <c r="G25" s="24">
        <v>4.0</v>
      </c>
      <c r="H25" s="24">
        <v>2.0</v>
      </c>
      <c r="I25" s="24">
        <v>22.0</v>
      </c>
      <c r="J25" s="2"/>
      <c r="K25" s="2" t="str">
        <f t="array" ref="K25">xlookup($K$21, 'General Info'!$F$3:$K$3, 'General Info'!$F6:$K6)</f>
        <v>Fritz</v>
      </c>
      <c r="L25" s="2" t="str">
        <f>P21</f>
        <v>Loss</v>
      </c>
      <c r="M25" s="2"/>
      <c r="N25" s="2">
        <f t="shared" si="4"/>
        <v>9</v>
      </c>
      <c r="O25" s="24">
        <v>2.0</v>
      </c>
      <c r="P25" s="24">
        <v>2.0</v>
      </c>
      <c r="Q25" s="24">
        <v>4.0</v>
      </c>
      <c r="R25" s="24">
        <v>1.0</v>
      </c>
      <c r="S25" s="24">
        <v>24.0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Steven</v>
      </c>
      <c r="B26" s="24" t="str">
        <f>F21</f>
        <v>Win</v>
      </c>
      <c r="C26" s="2"/>
      <c r="D26" s="2">
        <f t="shared" si="3"/>
        <v>12</v>
      </c>
      <c r="E26" s="24">
        <v>5.0</v>
      </c>
      <c r="F26" s="24">
        <v>0.0</v>
      </c>
      <c r="G26" s="24">
        <v>7.0</v>
      </c>
      <c r="H26" s="24">
        <v>0.0</v>
      </c>
      <c r="I26" s="24">
        <v>24.0</v>
      </c>
      <c r="J26" s="2"/>
      <c r="K26" s="2" t="str">
        <f t="array" ref="K26">xlookup($K$21, 'General Info'!$F$3:$K$3, 'General Info'!$F7:$K7)</f>
        <v>Eric</v>
      </c>
      <c r="L26" s="24" t="str">
        <f>P21</f>
        <v>Loss</v>
      </c>
      <c r="M26" s="2"/>
      <c r="N26" s="2">
        <f t="shared" si="4"/>
        <v>12</v>
      </c>
      <c r="O26" s="24">
        <v>10.0</v>
      </c>
      <c r="P26" s="24">
        <v>1.0</v>
      </c>
      <c r="Q26" s="24">
        <v>1.0</v>
      </c>
      <c r="R26" s="24">
        <v>0.0</v>
      </c>
      <c r="S26" s="24">
        <v>22.0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Dave</v>
      </c>
      <c r="B27" s="24" t="str">
        <f>F21</f>
        <v>Win</v>
      </c>
      <c r="C27" s="2"/>
      <c r="D27" s="2">
        <f t="shared" si="3"/>
        <v>19</v>
      </c>
      <c r="E27" s="24">
        <v>10.0</v>
      </c>
      <c r="F27" s="24">
        <v>1.0</v>
      </c>
      <c r="G27" s="24">
        <v>7.0</v>
      </c>
      <c r="H27" s="24">
        <v>1.0</v>
      </c>
      <c r="I27" s="24">
        <v>22.0</v>
      </c>
      <c r="J27" s="2"/>
      <c r="K27" s="2" t="str">
        <f t="array" ref="K27">xlookup($K$21, 'General Info'!$F$3:$K$3, 'General Info'!$F8:$K8)</f>
        <v>Ilt</v>
      </c>
      <c r="L27" s="24" t="str">
        <f>P21</f>
        <v>Loss</v>
      </c>
      <c r="M27" s="2"/>
      <c r="N27" s="2">
        <f t="shared" si="4"/>
        <v>16</v>
      </c>
      <c r="O27" s="24">
        <v>2.0</v>
      </c>
      <c r="P27" s="24">
        <v>0.0</v>
      </c>
      <c r="Q27" s="24">
        <v>14.0</v>
      </c>
      <c r="R27" s="24">
        <v>0.0</v>
      </c>
      <c r="S27" s="24">
        <v>20.0</v>
      </c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Lulu</v>
      </c>
      <c r="B28" s="24" t="str">
        <f>F21</f>
        <v>Win</v>
      </c>
      <c r="C28" s="2"/>
      <c r="D28" s="2">
        <f t="shared" si="3"/>
        <v>11</v>
      </c>
      <c r="E28" s="24">
        <v>2.0</v>
      </c>
      <c r="F28" s="24">
        <v>0.0</v>
      </c>
      <c r="G28" s="24">
        <v>9.0</v>
      </c>
      <c r="H28" s="24">
        <v>0.0</v>
      </c>
      <c r="I28" s="24">
        <v>24.0</v>
      </c>
      <c r="J28" s="2"/>
      <c r="K28" s="2" t="str">
        <f t="array" ref="K28">xlookup($K$21, 'General Info'!$F$3:$K$3, 'General Info'!$F9:$K9)</f>
        <v>Matvey</v>
      </c>
      <c r="L28" s="24" t="str">
        <f>P21</f>
        <v>Loss</v>
      </c>
      <c r="M28" s="2"/>
      <c r="N28" s="2" t="str">
        <f t="shared" si="4"/>
        <v/>
      </c>
      <c r="O28" s="24"/>
      <c r="P28" s="24"/>
      <c r="Q28" s="24"/>
      <c r="R28" s="24"/>
      <c r="S28" s="24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Will</v>
      </c>
      <c r="B29" s="2" t="str">
        <f>F21</f>
        <v>Win</v>
      </c>
      <c r="C29" s="2"/>
      <c r="D29" s="2" t="str">
        <f t="shared" si="3"/>
        <v/>
      </c>
      <c r="E29" s="2"/>
      <c r="F29" s="2"/>
      <c r="G29" s="2"/>
      <c r="H29" s="2"/>
      <c r="I29" s="2"/>
      <c r="J29" s="2"/>
      <c r="K29" s="2" t="str">
        <f t="array" ref="K29">xlookup($K$21, 'General Info'!$F$3:$K$3, 'General Info'!$F10:$K10)</f>
        <v>James</v>
      </c>
      <c r="L29" s="2" t="str">
        <f>P21</f>
        <v>Loss</v>
      </c>
      <c r="M29" s="2"/>
      <c r="N29" s="2">
        <f t="shared" si="4"/>
        <v>11</v>
      </c>
      <c r="O29" s="24">
        <v>4.0</v>
      </c>
      <c r="P29" s="24">
        <v>1.0</v>
      </c>
      <c r="Q29" s="24">
        <v>6.0</v>
      </c>
      <c r="R29" s="24">
        <v>0.0</v>
      </c>
      <c r="S29" s="24">
        <v>21.0</v>
      </c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Hershey</v>
      </c>
      <c r="B30" s="24" t="str">
        <f>F21</f>
        <v>Win</v>
      </c>
      <c r="C30" s="2"/>
      <c r="D30" s="2" t="str">
        <f t="shared" si="3"/>
        <v/>
      </c>
      <c r="E30" s="2"/>
      <c r="F30" s="2"/>
      <c r="G30" s="2"/>
      <c r="H30" s="2"/>
      <c r="I30" s="2"/>
      <c r="J30" s="2"/>
      <c r="K30" s="2" t="str">
        <f t="array" ref="K30">xlookup($K$21, 'General Info'!$F$3:$K$3, 'General Info'!$F11:$K11)</f>
        <v>Sebastian</v>
      </c>
      <c r="L30" s="24" t="str">
        <f>P21</f>
        <v>Loss</v>
      </c>
      <c r="M30" s="2"/>
      <c r="N30" s="2" t="str">
        <f t="shared" si="4"/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Byun</v>
      </c>
      <c r="B31" s="2" t="str">
        <f>F21</f>
        <v>Win</v>
      </c>
      <c r="C31" s="2"/>
      <c r="D31" s="2" t="str">
        <f t="shared" si="3"/>
        <v/>
      </c>
      <c r="E31" s="2"/>
      <c r="F31" s="2"/>
      <c r="G31" s="2"/>
      <c r="H31" s="2"/>
      <c r="I31" s="2"/>
      <c r="J31" s="2"/>
      <c r="K31" s="2" t="str">
        <f t="array" ref="K31">xlookup($K$21, 'General Info'!$F$3:$K$3, 'General Info'!$F12:$K12)</f>
        <v>Erik</v>
      </c>
      <c r="L31" s="2" t="str">
        <f>P21</f>
        <v>Loss</v>
      </c>
      <c r="M31" s="2"/>
      <c r="N31" s="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>Ted</v>
      </c>
      <c r="B32" s="2" t="str">
        <f>F21</f>
        <v>Win</v>
      </c>
      <c r="C32" s="2"/>
      <c r="D32" s="2" t="str">
        <f t="shared" si="3"/>
        <v/>
      </c>
      <c r="E32" s="2"/>
      <c r="F32" s="2"/>
      <c r="G32" s="2"/>
      <c r="H32" s="2"/>
      <c r="I32" s="2"/>
      <c r="J32" s="2"/>
      <c r="K32" s="2" t="str">
        <f t="array" ref="K32">xlookup($K$21, 'General Info'!$F$3:$K$3, 'General Info'!$F13:$K13)</f>
        <v>Jack</v>
      </c>
      <c r="L32" s="2" t="str">
        <f>P21</f>
        <v>Loss</v>
      </c>
      <c r="M32" s="2"/>
      <c r="N32" s="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tr">
        <f t="array" ref="A33">xlookup($A$21, 'General Info'!$F$3:$K$3, 'General Info'!$F14:$K14)</f>
        <v>Gio</v>
      </c>
      <c r="B33" s="2" t="str">
        <f>F21</f>
        <v>Win</v>
      </c>
      <c r="C33" s="2"/>
      <c r="D33" s="2" t="str">
        <f t="shared" si="3"/>
        <v/>
      </c>
      <c r="E33" s="2"/>
      <c r="F33" s="2"/>
      <c r="G33" s="2"/>
      <c r="H33" s="2"/>
      <c r="I33" s="2"/>
      <c r="J33" s="2"/>
      <c r="K33" s="2" t="str">
        <f t="array" ref="K33">xlookup($K$21, 'General Info'!$F$3:$K$3, 'General Info'!$F14:$K14)</f>
        <v/>
      </c>
      <c r="L33" s="2" t="str">
        <f>P21</f>
        <v>Loss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Win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Loss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Win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Loss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Win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Loss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Win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Loss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27">
        <v>1.0</v>
      </c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27"/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100</v>
      </c>
      <c r="E39" s="2"/>
      <c r="F39" s="2"/>
      <c r="G39" s="2"/>
      <c r="H39" s="2"/>
      <c r="I39" s="174">
        <f>sum(D23:D37)/(sum(D23:D37)+sum(I23:I37))</f>
        <v>0.4212765957</v>
      </c>
      <c r="J39" s="2"/>
      <c r="K39" s="171" t="s">
        <v>152</v>
      </c>
      <c r="L39" s="172"/>
      <c r="M39" s="172"/>
      <c r="N39" s="173">
        <f>sum(N23:N38)</f>
        <v>77</v>
      </c>
      <c r="O39" s="2"/>
      <c r="P39" s="2"/>
      <c r="Q39" s="2"/>
      <c r="R39" s="2"/>
      <c r="S39" s="174">
        <f>sum(N23:N37)/(sum(N23:N37)+sum(S23:S37))</f>
        <v>0.3719806763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Schedule'!A5</f>
        <v>Team E</v>
      </c>
      <c r="B41" s="2"/>
      <c r="C41" s="2"/>
      <c r="D41" s="2"/>
      <c r="E41" s="2" t="s">
        <v>145</v>
      </c>
      <c r="F41" s="166" t="str">
        <f>if(D59&gt;N59, "Win", if(D59&lt;N59, "Loss", ""))</f>
        <v>Win</v>
      </c>
      <c r="G41" s="2"/>
      <c r="H41" s="17" t="s">
        <v>146</v>
      </c>
      <c r="I41" s="152">
        <f>D59-N59</f>
        <v>1</v>
      </c>
      <c r="J41" s="167" t="s">
        <v>184</v>
      </c>
      <c r="K41" s="165" t="str">
        <f>'Full Schedule'!B5</f>
        <v>Gargantuan</v>
      </c>
      <c r="L41" s="2"/>
      <c r="M41" s="2"/>
      <c r="N41" s="2"/>
      <c r="O41" s="17" t="s">
        <v>145</v>
      </c>
      <c r="P41" s="166" t="str">
        <f>if(N59&gt;D59, "Win", if(N59&lt;D59, "Loss", ""))</f>
        <v>Loss</v>
      </c>
      <c r="Q41" s="2"/>
      <c r="R41" s="17" t="s">
        <v>146</v>
      </c>
      <c r="S41" s="152">
        <f>N59-D59</f>
        <v>-1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Guel</v>
      </c>
      <c r="B43" s="24" t="str">
        <f>F41</f>
        <v>Win</v>
      </c>
      <c r="C43" s="24">
        <v>6.0</v>
      </c>
      <c r="D43" s="2">
        <f t="shared" ref="D43:D57" si="5">if(I43&gt;0, sum(E43:H43), "")</f>
        <v>20</v>
      </c>
      <c r="E43" s="24">
        <v>4.0</v>
      </c>
      <c r="F43" s="24">
        <v>0.0</v>
      </c>
      <c r="G43" s="24">
        <v>11.0</v>
      </c>
      <c r="H43" s="24">
        <v>5.0</v>
      </c>
      <c r="I43" s="24">
        <v>40.0</v>
      </c>
      <c r="J43" s="2"/>
      <c r="K43" s="2" t="str">
        <f t="array" ref="K43">xlookup($K$41, 'General Info'!$F$3:$K$3, 'General Info'!$F4:$K4)</f>
        <v>Tyler</v>
      </c>
      <c r="L43" s="24" t="str">
        <f>P41</f>
        <v>Loss</v>
      </c>
      <c r="M43" s="24">
        <v>3.0</v>
      </c>
      <c r="N43" s="2">
        <f t="shared" ref="N43:N57" si="6">if(S43&gt;0, sum(O43:R43), "")</f>
        <v>10</v>
      </c>
      <c r="O43" s="24">
        <v>8.0</v>
      </c>
      <c r="P43" s="24">
        <v>0.0</v>
      </c>
      <c r="Q43" s="24">
        <v>1.0</v>
      </c>
      <c r="R43" s="24">
        <v>1.0</v>
      </c>
      <c r="S43" s="24">
        <v>41.0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Pasha</v>
      </c>
      <c r="B44" s="24" t="str">
        <f>F41</f>
        <v>Win</v>
      </c>
      <c r="C44" s="24">
        <v>5.0</v>
      </c>
      <c r="D44" s="2">
        <f t="shared" si="5"/>
        <v>17</v>
      </c>
      <c r="E44" s="24">
        <v>8.0</v>
      </c>
      <c r="F44" s="24">
        <v>0.0</v>
      </c>
      <c r="G44" s="24">
        <v>9.0</v>
      </c>
      <c r="H44" s="24">
        <v>0.0</v>
      </c>
      <c r="I44" s="24">
        <v>38.0</v>
      </c>
      <c r="J44" s="2"/>
      <c r="K44" s="2" t="str">
        <f t="array" ref="K44">xlookup($K$41, 'General Info'!$F$3:$K$3, 'General Info'!$F5:$K5)</f>
        <v>Lucas</v>
      </c>
      <c r="L44" s="24" t="str">
        <f>P41</f>
        <v>Loss</v>
      </c>
      <c r="M44" s="24">
        <v>1.0</v>
      </c>
      <c r="N44" s="2">
        <f t="shared" si="6"/>
        <v>18</v>
      </c>
      <c r="O44" s="24">
        <v>8.0</v>
      </c>
      <c r="P44" s="24">
        <v>3.0</v>
      </c>
      <c r="Q44" s="24">
        <v>6.0</v>
      </c>
      <c r="R44" s="24">
        <v>1.0</v>
      </c>
      <c r="S44" s="24">
        <v>38.0</v>
      </c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Yost</v>
      </c>
      <c r="B45" s="2" t="str">
        <f>F41</f>
        <v>Win</v>
      </c>
      <c r="C45" s="24">
        <v>4.0</v>
      </c>
      <c r="D45" s="2">
        <f t="shared" si="5"/>
        <v>18</v>
      </c>
      <c r="E45" s="24">
        <v>6.0</v>
      </c>
      <c r="F45" s="24">
        <v>2.0</v>
      </c>
      <c r="G45" s="24">
        <v>7.0</v>
      </c>
      <c r="H45" s="24">
        <v>3.0</v>
      </c>
      <c r="I45" s="24">
        <v>36.0</v>
      </c>
      <c r="J45" s="2"/>
      <c r="K45" s="2" t="str">
        <f t="array" ref="K45">xlookup($K$41, 'General Info'!$F$3:$K$3, 'General Info'!$F6:$K6)</f>
        <v>Porco</v>
      </c>
      <c r="L45" s="2" t="str">
        <f>P41</f>
        <v>Loss</v>
      </c>
      <c r="M45" s="24">
        <v>6.0</v>
      </c>
      <c r="N45" s="2">
        <f t="shared" si="6"/>
        <v>22</v>
      </c>
      <c r="O45" s="24">
        <v>13.0</v>
      </c>
      <c r="P45" s="24">
        <v>2.0</v>
      </c>
      <c r="Q45" s="24">
        <v>7.0</v>
      </c>
      <c r="R45" s="24">
        <v>0.0</v>
      </c>
      <c r="S45" s="24">
        <v>37.0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Sean</v>
      </c>
      <c r="B46" s="24" t="str">
        <f>F41</f>
        <v>Win</v>
      </c>
      <c r="C46" s="24">
        <v>1.0</v>
      </c>
      <c r="D46" s="2">
        <f t="shared" si="5"/>
        <v>13</v>
      </c>
      <c r="E46" s="24">
        <v>8.0</v>
      </c>
      <c r="F46" s="24">
        <v>4.0</v>
      </c>
      <c r="G46" s="24">
        <v>1.0</v>
      </c>
      <c r="H46" s="24">
        <v>0.0</v>
      </c>
      <c r="I46" s="24">
        <v>38.0</v>
      </c>
      <c r="J46" s="2"/>
      <c r="K46" s="2" t="str">
        <f t="array" ref="K46">xlookup($K$41, 'General Info'!$F$3:$K$3, 'General Info'!$F7:$K7)</f>
        <v>Andy Yu</v>
      </c>
      <c r="L46" s="24" t="str">
        <f>P41</f>
        <v>Loss</v>
      </c>
      <c r="M46" s="24">
        <v>4.0</v>
      </c>
      <c r="N46" s="2">
        <f t="shared" si="6"/>
        <v>15</v>
      </c>
      <c r="O46" s="24">
        <v>2.0</v>
      </c>
      <c r="P46" s="24">
        <v>0.0</v>
      </c>
      <c r="Q46" s="24">
        <v>8.0</v>
      </c>
      <c r="R46" s="24">
        <v>5.0</v>
      </c>
      <c r="S46" s="24">
        <v>39.0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Samos</v>
      </c>
      <c r="B47" s="24" t="str">
        <f>F41</f>
        <v>Win</v>
      </c>
      <c r="C47" s="24">
        <v>2.0</v>
      </c>
      <c r="D47" s="2">
        <f t="shared" si="5"/>
        <v>18</v>
      </c>
      <c r="E47" s="24">
        <v>10.0</v>
      </c>
      <c r="F47" s="24">
        <v>0.0</v>
      </c>
      <c r="G47" s="24">
        <v>7.0</v>
      </c>
      <c r="H47" s="24">
        <v>1.0</v>
      </c>
      <c r="I47" s="24">
        <v>34.0</v>
      </c>
      <c r="J47" s="2"/>
      <c r="K47" s="2" t="str">
        <f t="array" ref="K47">xlookup($K$41, 'General Info'!$F$3:$K$3, 'General Info'!$F8:$K8)</f>
        <v>Dli</v>
      </c>
      <c r="L47" s="24" t="str">
        <f>P41</f>
        <v>Loss</v>
      </c>
      <c r="M47" s="24">
        <v>5.0</v>
      </c>
      <c r="N47" s="2">
        <f t="shared" si="6"/>
        <v>17</v>
      </c>
      <c r="O47" s="24">
        <v>4.0</v>
      </c>
      <c r="P47" s="24">
        <v>1.0</v>
      </c>
      <c r="Q47" s="24">
        <v>12.0</v>
      </c>
      <c r="R47" s="24">
        <v>0.0</v>
      </c>
      <c r="S47" s="24">
        <v>38.0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Soho</v>
      </c>
      <c r="B48" s="24" t="str">
        <f>F41</f>
        <v>Win</v>
      </c>
      <c r="C48" s="24">
        <v>3.0</v>
      </c>
      <c r="D48" s="2">
        <f t="shared" si="5"/>
        <v>14</v>
      </c>
      <c r="E48" s="24">
        <v>3.0</v>
      </c>
      <c r="F48" s="24">
        <v>0.0</v>
      </c>
      <c r="G48" s="24">
        <v>10.0</v>
      </c>
      <c r="H48" s="24">
        <v>1.0</v>
      </c>
      <c r="I48" s="24">
        <v>38.0</v>
      </c>
      <c r="J48" s="2"/>
      <c r="K48" s="2" t="str">
        <f t="array" ref="K48">xlookup($K$41, 'General Info'!$F$3:$K$3, 'General Info'!$F9:$K9)</f>
        <v>Somil</v>
      </c>
      <c r="L48" s="24" t="str">
        <f>P41</f>
        <v>Loss</v>
      </c>
      <c r="M48" s="24">
        <v>2.0</v>
      </c>
      <c r="N48" s="2">
        <f t="shared" si="6"/>
        <v>15</v>
      </c>
      <c r="O48" s="24">
        <v>4.0</v>
      </c>
      <c r="P48" s="24">
        <v>0.0</v>
      </c>
      <c r="Q48" s="24">
        <v>11.0</v>
      </c>
      <c r="R48" s="24">
        <v>0.0</v>
      </c>
      <c r="S48" s="24">
        <v>41.0</v>
      </c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Haldar</v>
      </c>
      <c r="B49" s="2" t="str">
        <f>F41</f>
        <v>Win</v>
      </c>
      <c r="C49" s="2"/>
      <c r="D49" s="2" t="str">
        <f t="shared" si="5"/>
        <v/>
      </c>
      <c r="E49" s="2"/>
      <c r="F49" s="2"/>
      <c r="G49" s="2"/>
      <c r="H49" s="2"/>
      <c r="I49" s="2"/>
      <c r="J49" s="2"/>
      <c r="K49" s="2" t="str">
        <f t="array" ref="K49">xlookup($K$41, 'General Info'!$F$3:$K$3, 'General Info'!$F10:$K10)</f>
        <v>VIshal</v>
      </c>
      <c r="L49" s="2" t="str">
        <f>P41</f>
        <v>Loss</v>
      </c>
      <c r="M49" s="24"/>
      <c r="N49" s="2" t="str">
        <f t="shared" si="6"/>
        <v/>
      </c>
      <c r="O49" s="24"/>
      <c r="P49" s="24"/>
      <c r="Q49" s="24"/>
      <c r="R49" s="24"/>
      <c r="S49" s="24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Dji</v>
      </c>
      <c r="B50" s="24" t="str">
        <f>F41</f>
        <v>Win</v>
      </c>
      <c r="C50" s="2"/>
      <c r="D50" s="2" t="str">
        <f t="shared" si="5"/>
        <v/>
      </c>
      <c r="E50" s="2"/>
      <c r="F50" s="2"/>
      <c r="G50" s="2"/>
      <c r="H50" s="2"/>
      <c r="I50" s="2"/>
      <c r="J50" s="2"/>
      <c r="K50" s="2" t="str">
        <f t="array" ref="K50">xlookup($K$41, 'General Info'!$F$3:$K$3, 'General Info'!$F11:$K11)</f>
        <v>Sam</v>
      </c>
      <c r="L50" s="24" t="str">
        <f>P41</f>
        <v>Loss</v>
      </c>
      <c r="M50" s="24"/>
      <c r="N50" s="2" t="str">
        <f t="shared" si="6"/>
        <v/>
      </c>
      <c r="O50" s="24"/>
      <c r="P50" s="24"/>
      <c r="Q50" s="24"/>
      <c r="R50" s="24"/>
      <c r="S50" s="24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Lubke</v>
      </c>
      <c r="B51" s="2" t="str">
        <f>F41</f>
        <v>Win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Charlie</v>
      </c>
      <c r="L51" s="2" t="str">
        <f>P41</f>
        <v>Loss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David (pledge)</v>
      </c>
      <c r="B52" s="2" t="str">
        <f>F41</f>
        <v>Win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Daniel</v>
      </c>
      <c r="L52" s="2" t="str">
        <f>P41</f>
        <v>Loss</v>
      </c>
      <c r="M52" s="2"/>
      <c r="N52" s="2" t="str">
        <f t="shared" si="6"/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>Will</v>
      </c>
      <c r="B53" s="2" t="str">
        <f>F41</f>
        <v>Win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/>
      </c>
      <c r="L53" s="2" t="str">
        <f>P41</f>
        <v>Loss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Win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Loss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Win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Loss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Win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Loss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Win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Loss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175"/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27">
        <v>2.0</v>
      </c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100</v>
      </c>
      <c r="E59" s="2"/>
      <c r="F59" s="2"/>
      <c r="G59" s="2"/>
      <c r="H59" s="2"/>
      <c r="I59" s="174">
        <f>sum(D43:D57)/(sum(D43:D57)+sum(I43:I57))</f>
        <v>0.3086419753</v>
      </c>
      <c r="J59" s="2"/>
      <c r="K59" s="171" t="s">
        <v>152</v>
      </c>
      <c r="L59" s="172"/>
      <c r="M59" s="172"/>
      <c r="N59" s="173">
        <f>sum(N43:N58)</f>
        <v>99</v>
      </c>
      <c r="O59" s="2"/>
      <c r="P59" s="2"/>
      <c r="Q59" s="2"/>
      <c r="R59" s="2"/>
      <c r="S59" s="174">
        <f>sum(N43:N57)/(sum(N43:N57)+sum(S43:S57))</f>
        <v>0.2930513595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76" t="str">
        <f t="shared" ref="A61:A129" si="9">K1</f>
        <v>Migos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Loss</v>
      </c>
      <c r="G61" s="2" t="str">
        <f t="shared" si="7"/>
        <v/>
      </c>
      <c r="H61" s="176" t="str">
        <f t="shared" si="7"/>
        <v>Margin</v>
      </c>
      <c r="I61" s="129">
        <f t="shared" si="7"/>
        <v>-11</v>
      </c>
      <c r="J61" s="2" t="str">
        <f t="shared" si="7"/>
        <v/>
      </c>
      <c r="K61" s="2" t="str">
        <f t="shared" si="7"/>
        <v/>
      </c>
      <c r="L61" s="2"/>
      <c r="M61" s="2" t="str">
        <f t="shared" ref="M61:T61" si="8">V1</f>
        <v/>
      </c>
      <c r="N61" s="2" t="str">
        <f t="shared" si="8"/>
        <v/>
      </c>
      <c r="O61" s="2" t="str">
        <f t="shared" si="8"/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2"/>
      <c r="M62" s="2" t="str">
        <f t="shared" ref="M62:S62" si="11">V2</f>
        <v/>
      </c>
      <c r="N62" s="2" t="str">
        <f t="shared" si="11"/>
        <v/>
      </c>
      <c r="O62" s="2" t="str">
        <f t="shared" si="11"/>
        <v/>
      </c>
      <c r="P62" s="2" t="str">
        <f t="shared" si="11"/>
        <v/>
      </c>
      <c r="Q62" s="2" t="str">
        <f t="shared" si="11"/>
        <v/>
      </c>
      <c r="R62" s="2" t="str">
        <f t="shared" si="11"/>
        <v/>
      </c>
      <c r="S62" s="2" t="str">
        <f t="shared" si="11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>
      <c r="A63" s="176" t="str">
        <f t="shared" si="9"/>
        <v>Arnav</v>
      </c>
      <c r="B63" s="178" t="str">
        <f t="shared" ref="B63:K63" si="12">L3</f>
        <v>Loss</v>
      </c>
      <c r="C63" s="2">
        <f t="shared" si="12"/>
        <v>6</v>
      </c>
      <c r="D63" s="2">
        <f t="shared" si="12"/>
        <v>18</v>
      </c>
      <c r="E63" s="2">
        <f t="shared" si="12"/>
        <v>8</v>
      </c>
      <c r="F63" s="2">
        <f t="shared" si="12"/>
        <v>5</v>
      </c>
      <c r="G63" s="2">
        <f t="shared" si="12"/>
        <v>3</v>
      </c>
      <c r="H63" s="2">
        <f t="shared" si="12"/>
        <v>2</v>
      </c>
      <c r="I63" s="2">
        <f t="shared" si="12"/>
        <v>24</v>
      </c>
      <c r="J63" s="2" t="str">
        <f t="shared" si="12"/>
        <v/>
      </c>
      <c r="K63" s="2" t="str">
        <f t="shared" si="12"/>
        <v/>
      </c>
      <c r="L63" s="2"/>
      <c r="M63" s="2" t="str">
        <f t="shared" ref="M63:S63" si="13">V3</f>
        <v/>
      </c>
      <c r="N63" s="2" t="str">
        <f t="shared" si="13"/>
        <v/>
      </c>
      <c r="O63" s="2" t="str">
        <f t="shared" si="13"/>
        <v/>
      </c>
      <c r="P63" s="2" t="str">
        <f t="shared" si="13"/>
        <v/>
      </c>
      <c r="Q63" s="2" t="str">
        <f t="shared" si="13"/>
        <v/>
      </c>
      <c r="R63" s="2" t="str">
        <f t="shared" si="13"/>
        <v/>
      </c>
      <c r="S63" s="2" t="str">
        <f t="shared" si="13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>
      <c r="A64" s="2" t="str">
        <f t="shared" si="9"/>
        <v>Brendan</v>
      </c>
      <c r="B64" s="178" t="str">
        <f t="shared" ref="B64:K64" si="14">L4</f>
        <v>Loss</v>
      </c>
      <c r="C64" s="2">
        <f t="shared" si="14"/>
        <v>1</v>
      </c>
      <c r="D64" s="2">
        <f t="shared" si="14"/>
        <v>13</v>
      </c>
      <c r="E64" s="2">
        <f t="shared" si="14"/>
        <v>12</v>
      </c>
      <c r="F64" s="2">
        <f t="shared" si="14"/>
        <v>0</v>
      </c>
      <c r="G64" s="2">
        <f t="shared" si="14"/>
        <v>1</v>
      </c>
      <c r="H64" s="2">
        <f t="shared" si="14"/>
        <v>0</v>
      </c>
      <c r="I64" s="2">
        <f t="shared" si="14"/>
        <v>27</v>
      </c>
      <c r="J64" s="2" t="str">
        <f t="shared" si="14"/>
        <v/>
      </c>
      <c r="K64" s="2" t="str">
        <f t="shared" si="14"/>
        <v/>
      </c>
      <c r="L64" s="2"/>
      <c r="M64" s="2" t="str">
        <f t="shared" ref="M64:S64" si="15">V4</f>
        <v/>
      </c>
      <c r="N64" s="2" t="str">
        <f t="shared" si="15"/>
        <v/>
      </c>
      <c r="O64" s="2" t="str">
        <f t="shared" si="15"/>
        <v/>
      </c>
      <c r="P64" s="2" t="str">
        <f t="shared" si="15"/>
        <v/>
      </c>
      <c r="Q64" s="2" t="str">
        <f t="shared" si="15"/>
        <v/>
      </c>
      <c r="R64" s="2" t="str">
        <f t="shared" si="15"/>
        <v/>
      </c>
      <c r="S64" s="2" t="str">
        <f t="shared" si="15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>
      <c r="A65" s="176" t="str">
        <f t="shared" si="9"/>
        <v>Kumbatovic</v>
      </c>
      <c r="B65" s="178" t="str">
        <f t="shared" ref="B65:K65" si="16">L5</f>
        <v>Loss</v>
      </c>
      <c r="C65" s="2">
        <f t="shared" si="16"/>
        <v>5</v>
      </c>
      <c r="D65" s="2">
        <f t="shared" si="16"/>
        <v>13</v>
      </c>
      <c r="E65" s="2">
        <f t="shared" si="16"/>
        <v>7</v>
      </c>
      <c r="F65" s="2">
        <f t="shared" si="16"/>
        <v>0</v>
      </c>
      <c r="G65" s="2">
        <f t="shared" si="16"/>
        <v>6</v>
      </c>
      <c r="H65" s="2">
        <f t="shared" si="16"/>
        <v>0</v>
      </c>
      <c r="I65" s="2">
        <f t="shared" si="16"/>
        <v>26</v>
      </c>
      <c r="J65" s="2" t="str">
        <f t="shared" si="16"/>
        <v/>
      </c>
      <c r="K65" s="2" t="str">
        <f t="shared" si="16"/>
        <v/>
      </c>
      <c r="L65" s="2"/>
      <c r="M65" s="2" t="str">
        <f t="shared" ref="M65:S65" si="17">V5</f>
        <v/>
      </c>
      <c r="N65" s="2" t="str">
        <f t="shared" si="17"/>
        <v/>
      </c>
      <c r="O65" s="2" t="str">
        <f t="shared" si="17"/>
        <v/>
      </c>
      <c r="P65" s="2" t="str">
        <f t="shared" si="17"/>
        <v/>
      </c>
      <c r="Q65" s="2" t="str">
        <f t="shared" si="17"/>
        <v/>
      </c>
      <c r="R65" s="2" t="str">
        <f t="shared" si="17"/>
        <v/>
      </c>
      <c r="S65" s="2" t="str">
        <f t="shared" si="17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>
      <c r="A66" s="2" t="str">
        <f t="shared" si="9"/>
        <v>Paul</v>
      </c>
      <c r="B66" s="178" t="str">
        <f t="shared" ref="B66:K66" si="18">L6</f>
        <v>Loss</v>
      </c>
      <c r="C66" s="2">
        <f t="shared" si="18"/>
        <v>2</v>
      </c>
      <c r="D66" s="2">
        <f t="shared" si="18"/>
        <v>12</v>
      </c>
      <c r="E66" s="2">
        <f t="shared" si="18"/>
        <v>1</v>
      </c>
      <c r="F66" s="2">
        <f t="shared" si="18"/>
        <v>0</v>
      </c>
      <c r="G66" s="2">
        <f t="shared" si="18"/>
        <v>10</v>
      </c>
      <c r="H66" s="2">
        <f t="shared" si="18"/>
        <v>1</v>
      </c>
      <c r="I66" s="2">
        <f t="shared" si="18"/>
        <v>27</v>
      </c>
      <c r="J66" s="2" t="str">
        <f t="shared" si="18"/>
        <v/>
      </c>
      <c r="K66" s="2" t="str">
        <f t="shared" si="18"/>
        <v/>
      </c>
      <c r="L66" s="2"/>
      <c r="M66" s="2" t="str">
        <f t="shared" ref="M66:S66" si="19">V6</f>
        <v/>
      </c>
      <c r="N66" s="2" t="str">
        <f t="shared" si="19"/>
        <v/>
      </c>
      <c r="O66" s="2" t="str">
        <f t="shared" si="19"/>
        <v/>
      </c>
      <c r="P66" s="2" t="str">
        <f t="shared" si="19"/>
        <v/>
      </c>
      <c r="Q66" s="2" t="str">
        <f t="shared" si="19"/>
        <v/>
      </c>
      <c r="R66" s="2" t="str">
        <f t="shared" si="19"/>
        <v/>
      </c>
      <c r="S66" s="2" t="str">
        <f t="shared" si="19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>
      <c r="A67" s="2" t="str">
        <f t="shared" si="9"/>
        <v>Raymond</v>
      </c>
      <c r="B67" s="178" t="str">
        <f t="shared" ref="B67:K67" si="20">L7</f>
        <v>Loss</v>
      </c>
      <c r="C67" s="2">
        <f t="shared" si="20"/>
        <v>4</v>
      </c>
      <c r="D67" s="2">
        <f t="shared" si="20"/>
        <v>14</v>
      </c>
      <c r="E67" s="2">
        <f t="shared" si="20"/>
        <v>2</v>
      </c>
      <c r="F67" s="2">
        <f t="shared" si="20"/>
        <v>0</v>
      </c>
      <c r="G67" s="2">
        <f t="shared" si="20"/>
        <v>11</v>
      </c>
      <c r="H67" s="2">
        <f t="shared" si="20"/>
        <v>1</v>
      </c>
      <c r="I67" s="2">
        <f t="shared" si="20"/>
        <v>24</v>
      </c>
      <c r="J67" s="2" t="str">
        <f t="shared" si="20"/>
        <v/>
      </c>
      <c r="K67" s="2" t="str">
        <f t="shared" si="20"/>
        <v/>
      </c>
      <c r="L67" s="2"/>
      <c r="M67" s="2" t="str">
        <f t="shared" ref="M67:S67" si="21">V7</f>
        <v/>
      </c>
      <c r="N67" s="2" t="str">
        <f t="shared" si="21"/>
        <v/>
      </c>
      <c r="O67" s="2" t="str">
        <f t="shared" si="21"/>
        <v/>
      </c>
      <c r="P67" s="2" t="str">
        <f t="shared" si="21"/>
        <v/>
      </c>
      <c r="Q67" s="2" t="str">
        <f t="shared" si="21"/>
        <v/>
      </c>
      <c r="R67" s="2" t="str">
        <f t="shared" si="21"/>
        <v/>
      </c>
      <c r="S67" s="2" t="str">
        <f t="shared" si="21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>
      <c r="A68" s="2" t="str">
        <f t="shared" si="9"/>
        <v>TC</v>
      </c>
      <c r="B68" s="178" t="str">
        <f t="shared" ref="B68:K68" si="22">L8</f>
        <v>Loss</v>
      </c>
      <c r="C68" s="2">
        <f t="shared" si="22"/>
        <v>3</v>
      </c>
      <c r="D68" s="2">
        <f t="shared" si="22"/>
        <v>19</v>
      </c>
      <c r="E68" s="2">
        <f t="shared" si="22"/>
        <v>9</v>
      </c>
      <c r="F68" s="2">
        <f t="shared" si="22"/>
        <v>1</v>
      </c>
      <c r="G68" s="2">
        <f t="shared" si="22"/>
        <v>9</v>
      </c>
      <c r="H68" s="2">
        <f t="shared" si="22"/>
        <v>0</v>
      </c>
      <c r="I68" s="2">
        <f t="shared" si="22"/>
        <v>22</v>
      </c>
      <c r="J68" s="2" t="str">
        <f t="shared" si="22"/>
        <v/>
      </c>
      <c r="K68" s="2" t="str">
        <f t="shared" si="22"/>
        <v/>
      </c>
      <c r="L68" s="2"/>
      <c r="M68" s="2" t="str">
        <f t="shared" ref="M68:S68" si="23">V8</f>
        <v/>
      </c>
      <c r="N68" s="2" t="str">
        <f t="shared" si="23"/>
        <v/>
      </c>
      <c r="O68" s="2" t="str">
        <f t="shared" si="23"/>
        <v/>
      </c>
      <c r="P68" s="2" t="str">
        <f t="shared" si="23"/>
        <v/>
      </c>
      <c r="Q68" s="2" t="str">
        <f t="shared" si="23"/>
        <v/>
      </c>
      <c r="R68" s="2" t="str">
        <f t="shared" si="23"/>
        <v/>
      </c>
      <c r="S68" s="2" t="str">
        <f t="shared" si="23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>
      <c r="A69" s="2" t="str">
        <f t="shared" si="9"/>
        <v>Kyi</v>
      </c>
      <c r="B69" s="178" t="str">
        <f t="shared" ref="B69:K69" si="24">L9</f>
        <v>Loss</v>
      </c>
      <c r="C69" s="2" t="str">
        <f t="shared" si="24"/>
        <v/>
      </c>
      <c r="D69" s="2" t="str">
        <f t="shared" si="24"/>
        <v/>
      </c>
      <c r="E69" s="2" t="str">
        <f t="shared" si="24"/>
        <v/>
      </c>
      <c r="F69" s="2" t="str">
        <f t="shared" si="24"/>
        <v/>
      </c>
      <c r="G69" s="2" t="str">
        <f t="shared" si="24"/>
        <v/>
      </c>
      <c r="H69" s="2" t="str">
        <f t="shared" si="24"/>
        <v/>
      </c>
      <c r="I69" s="2" t="str">
        <f t="shared" si="24"/>
        <v/>
      </c>
      <c r="J69" s="2" t="str">
        <f t="shared" si="24"/>
        <v/>
      </c>
      <c r="K69" s="2" t="str">
        <f t="shared" si="24"/>
        <v/>
      </c>
      <c r="L69" s="2"/>
      <c r="M69" s="2" t="str">
        <f t="shared" ref="M69:S69" si="25">V9</f>
        <v/>
      </c>
      <c r="N69" s="2" t="str">
        <f t="shared" si="25"/>
        <v/>
      </c>
      <c r="O69" s="2" t="str">
        <f t="shared" si="25"/>
        <v/>
      </c>
      <c r="P69" s="2" t="str">
        <f t="shared" si="25"/>
        <v/>
      </c>
      <c r="Q69" s="2" t="str">
        <f t="shared" si="25"/>
        <v/>
      </c>
      <c r="R69" s="2" t="str">
        <f t="shared" si="25"/>
        <v/>
      </c>
      <c r="S69" s="2" t="str">
        <f t="shared" si="25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>
      <c r="A70" s="2" t="str">
        <f t="shared" si="9"/>
        <v>Jwu</v>
      </c>
      <c r="B70" s="178" t="str">
        <f t="shared" ref="B70:K70" si="26">L10</f>
        <v>Loss</v>
      </c>
      <c r="C70" s="2" t="str">
        <f t="shared" si="26"/>
        <v/>
      </c>
      <c r="D70" s="2" t="str">
        <f t="shared" si="26"/>
        <v/>
      </c>
      <c r="E70" s="2" t="str">
        <f t="shared" si="26"/>
        <v/>
      </c>
      <c r="F70" s="2" t="str">
        <f t="shared" si="26"/>
        <v/>
      </c>
      <c r="G70" s="2" t="str">
        <f t="shared" si="26"/>
        <v/>
      </c>
      <c r="H70" s="2" t="str">
        <f t="shared" si="26"/>
        <v/>
      </c>
      <c r="I70" s="2" t="str">
        <f t="shared" si="26"/>
        <v/>
      </c>
      <c r="J70" s="2" t="str">
        <f t="shared" si="26"/>
        <v/>
      </c>
      <c r="K70" s="2" t="str">
        <f t="shared" si="26"/>
        <v/>
      </c>
      <c r="L70" s="2"/>
      <c r="M70" s="2" t="str">
        <f t="shared" ref="M70:S70" si="27">V10</f>
        <v/>
      </c>
      <c r="N70" s="2" t="str">
        <f t="shared" si="27"/>
        <v/>
      </c>
      <c r="O70" s="2" t="str">
        <f t="shared" si="27"/>
        <v/>
      </c>
      <c r="P70" s="2" t="str">
        <f t="shared" si="27"/>
        <v/>
      </c>
      <c r="Q70" s="2" t="str">
        <f t="shared" si="27"/>
        <v/>
      </c>
      <c r="R70" s="2" t="str">
        <f t="shared" si="27"/>
        <v/>
      </c>
      <c r="S70" s="2" t="str">
        <f t="shared" si="27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>
      <c r="A71" s="2" t="str">
        <f t="shared" si="9"/>
        <v>Parker</v>
      </c>
      <c r="B71" s="178" t="str">
        <f t="shared" ref="B71:K71" si="28">L11</f>
        <v>Loss</v>
      </c>
      <c r="C71" s="2" t="str">
        <f t="shared" si="28"/>
        <v/>
      </c>
      <c r="D71" s="2" t="str">
        <f t="shared" si="28"/>
        <v/>
      </c>
      <c r="E71" s="2" t="str">
        <f t="shared" si="28"/>
        <v/>
      </c>
      <c r="F71" s="2" t="str">
        <f t="shared" si="28"/>
        <v/>
      </c>
      <c r="G71" s="2" t="str">
        <f t="shared" si="28"/>
        <v/>
      </c>
      <c r="H71" s="2" t="str">
        <f t="shared" si="28"/>
        <v/>
      </c>
      <c r="I71" s="2" t="str">
        <f t="shared" si="28"/>
        <v/>
      </c>
      <c r="J71" s="2" t="str">
        <f t="shared" si="28"/>
        <v/>
      </c>
      <c r="K71" s="2" t="str">
        <f t="shared" si="28"/>
        <v/>
      </c>
      <c r="L71" s="2"/>
      <c r="M71" s="2" t="str">
        <f t="shared" ref="M71:S71" si="29">V11</f>
        <v/>
      </c>
      <c r="N71" s="2" t="str">
        <f t="shared" si="29"/>
        <v/>
      </c>
      <c r="O71" s="2" t="str">
        <f t="shared" si="29"/>
        <v/>
      </c>
      <c r="P71" s="2" t="str">
        <f t="shared" si="29"/>
        <v/>
      </c>
      <c r="Q71" s="2" t="str">
        <f t="shared" si="29"/>
        <v/>
      </c>
      <c r="R71" s="2" t="str">
        <f t="shared" si="29"/>
        <v/>
      </c>
      <c r="S71" s="2" t="str">
        <f t="shared" si="29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>
      <c r="A72" s="176" t="str">
        <f t="shared" si="9"/>
        <v>Henry</v>
      </c>
      <c r="B72" s="178" t="str">
        <f t="shared" ref="B72:K72" si="30">L12</f>
        <v>Loss</v>
      </c>
      <c r="C72" s="2" t="str">
        <f t="shared" si="30"/>
        <v/>
      </c>
      <c r="D72" s="2" t="str">
        <f t="shared" si="30"/>
        <v/>
      </c>
      <c r="E72" s="2" t="str">
        <f t="shared" si="30"/>
        <v/>
      </c>
      <c r="F72" s="2" t="str">
        <f t="shared" si="30"/>
        <v/>
      </c>
      <c r="G72" s="2" t="str">
        <f t="shared" si="30"/>
        <v/>
      </c>
      <c r="H72" s="2" t="str">
        <f t="shared" si="30"/>
        <v/>
      </c>
      <c r="I72" s="2" t="str">
        <f t="shared" si="30"/>
        <v/>
      </c>
      <c r="J72" s="2" t="str">
        <f t="shared" si="30"/>
        <v/>
      </c>
      <c r="K72" s="2" t="str">
        <f t="shared" si="30"/>
        <v/>
      </c>
      <c r="L72" s="2"/>
      <c r="M72" s="2" t="str">
        <f t="shared" ref="M72:S72" si="31">V12</f>
        <v/>
      </c>
      <c r="N72" s="2" t="str">
        <f t="shared" si="31"/>
        <v/>
      </c>
      <c r="O72" s="2" t="str">
        <f t="shared" si="31"/>
        <v/>
      </c>
      <c r="P72" s="2" t="str">
        <f t="shared" si="31"/>
        <v/>
      </c>
      <c r="Q72" s="2" t="str">
        <f t="shared" si="31"/>
        <v/>
      </c>
      <c r="R72" s="2" t="str">
        <f t="shared" si="31"/>
        <v/>
      </c>
      <c r="S72" s="2" t="str">
        <f t="shared" si="31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>
      <c r="A73" s="2" t="str">
        <f t="shared" si="9"/>
        <v>Ayush</v>
      </c>
      <c r="B73" s="178" t="str">
        <f t="shared" ref="B73:K73" si="32">L13</f>
        <v>Loss</v>
      </c>
      <c r="C73" s="2" t="str">
        <f t="shared" si="32"/>
        <v/>
      </c>
      <c r="D73" s="2" t="str">
        <f t="shared" si="32"/>
        <v/>
      </c>
      <c r="E73" s="2" t="str">
        <f t="shared" si="32"/>
        <v/>
      </c>
      <c r="F73" s="2" t="str">
        <f t="shared" si="32"/>
        <v/>
      </c>
      <c r="G73" s="2" t="str">
        <f t="shared" si="32"/>
        <v/>
      </c>
      <c r="H73" s="2" t="str">
        <f t="shared" si="32"/>
        <v/>
      </c>
      <c r="I73" s="2" t="str">
        <f t="shared" si="32"/>
        <v/>
      </c>
      <c r="J73" s="2" t="str">
        <f t="shared" si="32"/>
        <v/>
      </c>
      <c r="K73" s="2" t="str">
        <f t="shared" si="32"/>
        <v/>
      </c>
      <c r="L73" s="2"/>
      <c r="M73" s="2" t="str">
        <f t="shared" ref="M73:S73" si="33">V13</f>
        <v/>
      </c>
      <c r="N73" s="2" t="str">
        <f t="shared" si="33"/>
        <v/>
      </c>
      <c r="O73" s="2" t="str">
        <f t="shared" si="33"/>
        <v/>
      </c>
      <c r="P73" s="2" t="str">
        <f t="shared" si="33"/>
        <v/>
      </c>
      <c r="Q73" s="2" t="str">
        <f t="shared" si="33"/>
        <v/>
      </c>
      <c r="R73" s="2" t="str">
        <f t="shared" si="33"/>
        <v/>
      </c>
      <c r="S73" s="2" t="str">
        <f t="shared" si="33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>
      <c r="A74" s="2" t="str">
        <f t="shared" si="9"/>
        <v/>
      </c>
      <c r="B74" s="178" t="str">
        <f t="shared" ref="B74:K74" si="34">L14</f>
        <v>Loss</v>
      </c>
      <c r="C74" s="2" t="str">
        <f t="shared" si="34"/>
        <v/>
      </c>
      <c r="D74" s="2" t="str">
        <f t="shared" si="34"/>
        <v/>
      </c>
      <c r="E74" s="2" t="str">
        <f t="shared" si="34"/>
        <v/>
      </c>
      <c r="F74" s="2" t="str">
        <f t="shared" si="34"/>
        <v/>
      </c>
      <c r="G74" s="2" t="str">
        <f t="shared" si="34"/>
        <v/>
      </c>
      <c r="H74" s="2" t="str">
        <f t="shared" si="34"/>
        <v/>
      </c>
      <c r="I74" s="2" t="str">
        <f t="shared" si="34"/>
        <v/>
      </c>
      <c r="J74" s="2" t="str">
        <f t="shared" si="34"/>
        <v/>
      </c>
      <c r="K74" s="2" t="str">
        <f t="shared" si="34"/>
        <v/>
      </c>
      <c r="L74" s="2"/>
      <c r="M74" s="2" t="str">
        <f t="shared" ref="M74:S74" si="35">V14</f>
        <v/>
      </c>
      <c r="N74" s="2" t="str">
        <f t="shared" si="35"/>
        <v/>
      </c>
      <c r="O74" s="2" t="str">
        <f t="shared" si="35"/>
        <v/>
      </c>
      <c r="P74" s="2" t="str">
        <f t="shared" si="35"/>
        <v/>
      </c>
      <c r="Q74" s="2" t="str">
        <f t="shared" si="35"/>
        <v/>
      </c>
      <c r="R74" s="2" t="str">
        <f t="shared" si="35"/>
        <v/>
      </c>
      <c r="S74" s="2" t="str">
        <f t="shared" si="35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>
      <c r="A75" s="2" t="str">
        <f t="shared" si="9"/>
        <v/>
      </c>
      <c r="B75" s="178" t="str">
        <f t="shared" ref="B75:K75" si="36">L15</f>
        <v>Loss</v>
      </c>
      <c r="C75" s="2" t="str">
        <f t="shared" si="36"/>
        <v/>
      </c>
      <c r="D75" s="2" t="str">
        <f t="shared" si="36"/>
        <v/>
      </c>
      <c r="E75" s="2" t="str">
        <f t="shared" si="36"/>
        <v/>
      </c>
      <c r="F75" s="2" t="str">
        <f t="shared" si="36"/>
        <v/>
      </c>
      <c r="G75" s="2" t="str">
        <f t="shared" si="36"/>
        <v/>
      </c>
      <c r="H75" s="2" t="str">
        <f t="shared" si="36"/>
        <v/>
      </c>
      <c r="I75" s="2" t="str">
        <f t="shared" si="36"/>
        <v/>
      </c>
      <c r="J75" s="2" t="str">
        <f t="shared" si="36"/>
        <v/>
      </c>
      <c r="K75" s="2" t="str">
        <f t="shared" si="36"/>
        <v/>
      </c>
      <c r="L75" s="2"/>
      <c r="M75" s="2" t="str">
        <f t="shared" ref="M75:S75" si="37">V15</f>
        <v/>
      </c>
      <c r="N75" s="2" t="str">
        <f t="shared" si="37"/>
        <v/>
      </c>
      <c r="O75" s="2" t="str">
        <f t="shared" si="37"/>
        <v/>
      </c>
      <c r="P75" s="2" t="str">
        <f t="shared" si="37"/>
        <v/>
      </c>
      <c r="Q75" s="2" t="str">
        <f t="shared" si="37"/>
        <v/>
      </c>
      <c r="R75" s="2" t="str">
        <f t="shared" si="37"/>
        <v/>
      </c>
      <c r="S75" s="2" t="str">
        <f t="shared" si="37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>
      <c r="A76" s="2" t="str">
        <f t="shared" si="9"/>
        <v/>
      </c>
      <c r="B76" s="178" t="str">
        <f t="shared" ref="B76:K76" si="38">L16</f>
        <v>Loss</v>
      </c>
      <c r="C76" s="2" t="str">
        <f t="shared" si="38"/>
        <v/>
      </c>
      <c r="D76" s="2" t="str">
        <f t="shared" si="38"/>
        <v/>
      </c>
      <c r="E76" s="2" t="str">
        <f t="shared" si="38"/>
        <v/>
      </c>
      <c r="F76" s="2" t="str">
        <f t="shared" si="38"/>
        <v/>
      </c>
      <c r="G76" s="2" t="str">
        <f t="shared" si="38"/>
        <v/>
      </c>
      <c r="H76" s="2" t="str">
        <f t="shared" si="38"/>
        <v/>
      </c>
      <c r="I76" s="2" t="str">
        <f t="shared" si="38"/>
        <v/>
      </c>
      <c r="J76" s="2" t="str">
        <f t="shared" si="38"/>
        <v/>
      </c>
      <c r="K76" s="2" t="str">
        <f t="shared" si="38"/>
        <v/>
      </c>
      <c r="L76" s="2"/>
      <c r="M76" s="2" t="str">
        <f t="shared" ref="M76:S76" si="39">V16</f>
        <v/>
      </c>
      <c r="N76" s="2" t="str">
        <f t="shared" si="39"/>
        <v/>
      </c>
      <c r="O76" s="2" t="str">
        <f t="shared" si="39"/>
        <v/>
      </c>
      <c r="P76" s="2" t="str">
        <f t="shared" si="39"/>
        <v/>
      </c>
      <c r="Q76" s="2" t="str">
        <f t="shared" si="39"/>
        <v/>
      </c>
      <c r="R76" s="2" t="str">
        <f t="shared" si="39"/>
        <v/>
      </c>
      <c r="S76" s="2" t="str">
        <f t="shared" si="39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>
      <c r="A77" s="2" t="str">
        <f t="shared" si="9"/>
        <v/>
      </c>
      <c r="B77" s="178" t="str">
        <f t="shared" ref="B77:K77" si="40">L17</f>
        <v>Loss</v>
      </c>
      <c r="C77" s="2" t="str">
        <f t="shared" si="40"/>
        <v/>
      </c>
      <c r="D77" s="2" t="str">
        <f t="shared" si="40"/>
        <v/>
      </c>
      <c r="E77" s="2" t="str">
        <f t="shared" si="40"/>
        <v/>
      </c>
      <c r="F77" s="2" t="str">
        <f t="shared" si="40"/>
        <v/>
      </c>
      <c r="G77" s="2" t="str">
        <f t="shared" si="40"/>
        <v/>
      </c>
      <c r="H77" s="2" t="str">
        <f t="shared" si="40"/>
        <v/>
      </c>
      <c r="I77" s="2" t="str">
        <f t="shared" si="40"/>
        <v/>
      </c>
      <c r="J77" s="2" t="str">
        <f t="shared" si="40"/>
        <v/>
      </c>
      <c r="K77" s="2" t="str">
        <f t="shared" si="40"/>
        <v/>
      </c>
      <c r="L77" s="2"/>
      <c r="M77" s="2" t="str">
        <f t="shared" ref="M77:S77" si="41">V17</f>
        <v/>
      </c>
      <c r="N77" s="2" t="str">
        <f t="shared" si="41"/>
        <v/>
      </c>
      <c r="O77" s="2" t="str">
        <f t="shared" si="41"/>
        <v/>
      </c>
      <c r="P77" s="2" t="str">
        <f t="shared" si="41"/>
        <v/>
      </c>
      <c r="Q77" s="2" t="str">
        <f t="shared" si="41"/>
        <v/>
      </c>
      <c r="R77" s="2" t="str">
        <f t="shared" si="41"/>
        <v/>
      </c>
      <c r="S77" s="2" t="str">
        <f t="shared" si="41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>
      <c r="A78" s="176" t="str">
        <f t="shared" si="9"/>
        <v>Pulled Cups</v>
      </c>
      <c r="B78" s="178" t="str">
        <f t="shared" ref="B78:K78" si="42">L18</f>
        <v/>
      </c>
      <c r="C78" s="2" t="str">
        <f t="shared" si="42"/>
        <v/>
      </c>
      <c r="D78" s="2" t="str">
        <f t="shared" si="42"/>
        <v/>
      </c>
      <c r="E78" s="2" t="str">
        <f t="shared" si="42"/>
        <v/>
      </c>
      <c r="F78" s="2" t="str">
        <f t="shared" si="42"/>
        <v/>
      </c>
      <c r="G78" s="2" t="str">
        <f t="shared" si="42"/>
        <v/>
      </c>
      <c r="H78" s="2" t="str">
        <f t="shared" si="42"/>
        <v/>
      </c>
      <c r="I78" s="2" t="str">
        <f t="shared" si="42"/>
        <v/>
      </c>
      <c r="J78" s="2" t="str">
        <f t="shared" si="42"/>
        <v/>
      </c>
      <c r="K78" s="2" t="str">
        <f t="shared" si="42"/>
        <v/>
      </c>
      <c r="L78" s="2"/>
      <c r="M78" s="2" t="str">
        <f t="shared" ref="M78:S78" si="43">V18</f>
        <v/>
      </c>
      <c r="N78" s="2" t="str">
        <f t="shared" si="43"/>
        <v/>
      </c>
      <c r="O78" s="2" t="str">
        <f t="shared" si="43"/>
        <v/>
      </c>
      <c r="P78" s="2" t="str">
        <f t="shared" si="43"/>
        <v/>
      </c>
      <c r="Q78" s="2" t="str">
        <f t="shared" si="43"/>
        <v/>
      </c>
      <c r="R78" s="2" t="str">
        <f t="shared" si="43"/>
        <v/>
      </c>
      <c r="S78" s="2" t="str">
        <f t="shared" si="43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>
      <c r="A79" s="176" t="str">
        <f t="shared" si="9"/>
        <v>Total</v>
      </c>
      <c r="B79" s="178" t="str">
        <f t="shared" ref="B79:K79" si="44">L19</f>
        <v/>
      </c>
      <c r="C79" s="2" t="str">
        <f t="shared" si="44"/>
        <v/>
      </c>
      <c r="D79" s="129">
        <f t="shared" si="44"/>
        <v>89</v>
      </c>
      <c r="E79" s="2" t="str">
        <f t="shared" si="44"/>
        <v/>
      </c>
      <c r="F79" s="2" t="str">
        <f t="shared" si="44"/>
        <v/>
      </c>
      <c r="G79" s="2" t="str">
        <f t="shared" si="44"/>
        <v/>
      </c>
      <c r="H79" s="2" t="str">
        <f t="shared" si="44"/>
        <v/>
      </c>
      <c r="I79" s="128">
        <f t="shared" si="44"/>
        <v>0.3723849372</v>
      </c>
      <c r="J79" s="2" t="str">
        <f t="shared" si="44"/>
        <v/>
      </c>
      <c r="K79" s="2" t="str">
        <f t="shared" si="44"/>
        <v/>
      </c>
      <c r="L79" s="2"/>
      <c r="M79" s="2" t="str">
        <f t="shared" ref="M79:S79" si="45">V19</f>
        <v/>
      </c>
      <c r="N79" s="2" t="str">
        <f t="shared" si="45"/>
        <v/>
      </c>
      <c r="O79" s="2" t="str">
        <f t="shared" si="45"/>
        <v/>
      </c>
      <c r="P79" s="2" t="str">
        <f t="shared" si="45"/>
        <v/>
      </c>
      <c r="Q79" s="2" t="str">
        <f t="shared" si="45"/>
        <v/>
      </c>
      <c r="R79" s="2" t="str">
        <f t="shared" si="45"/>
        <v/>
      </c>
      <c r="S79" s="2" t="str">
        <f t="shared" si="45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>
      <c r="A80" s="2" t="str">
        <f t="shared" si="9"/>
        <v/>
      </c>
      <c r="B80" s="178" t="str">
        <f t="shared" ref="B80:K80" si="46">L20</f>
        <v/>
      </c>
      <c r="C80" s="2" t="str">
        <f t="shared" si="46"/>
        <v/>
      </c>
      <c r="D80" s="2" t="str">
        <f t="shared" si="46"/>
        <v/>
      </c>
      <c r="E80" s="2" t="str">
        <f t="shared" si="46"/>
        <v/>
      </c>
      <c r="F80" s="2" t="str">
        <f t="shared" si="46"/>
        <v/>
      </c>
      <c r="G80" s="2" t="str">
        <f t="shared" si="46"/>
        <v/>
      </c>
      <c r="H80" s="2" t="str">
        <f t="shared" si="46"/>
        <v/>
      </c>
      <c r="I80" s="2" t="str">
        <f t="shared" si="46"/>
        <v/>
      </c>
      <c r="J80" s="2" t="str">
        <f t="shared" si="46"/>
        <v/>
      </c>
      <c r="K80" s="2" t="str">
        <f t="shared" si="46"/>
        <v/>
      </c>
      <c r="L80" s="2"/>
      <c r="M80" s="2" t="str">
        <f t="shared" ref="M80:S80" si="47">V20</f>
        <v/>
      </c>
      <c r="N80" s="2" t="str">
        <f t="shared" si="47"/>
        <v/>
      </c>
      <c r="O80" s="2" t="str">
        <f t="shared" si="47"/>
        <v/>
      </c>
      <c r="P80" s="2" t="str">
        <f t="shared" si="47"/>
        <v/>
      </c>
      <c r="Q80" s="2" t="str">
        <f t="shared" si="47"/>
        <v/>
      </c>
      <c r="R80" s="2" t="str">
        <f t="shared" si="47"/>
        <v/>
      </c>
      <c r="S80" s="2" t="str">
        <f t="shared" si="47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>
      <c r="A81" s="176" t="str">
        <f t="shared" si="9"/>
        <v>Team C</v>
      </c>
      <c r="B81" s="178" t="str">
        <f t="shared" ref="B81:K81" si="48">L21</f>
        <v/>
      </c>
      <c r="C81" s="2" t="str">
        <f t="shared" si="48"/>
        <v/>
      </c>
      <c r="D81" s="2" t="str">
        <f t="shared" si="48"/>
        <v/>
      </c>
      <c r="E81" s="176" t="str">
        <f t="shared" si="48"/>
        <v>Result</v>
      </c>
      <c r="F81" s="166" t="str">
        <f t="shared" si="48"/>
        <v>Loss</v>
      </c>
      <c r="G81" s="2" t="str">
        <f t="shared" si="48"/>
        <v/>
      </c>
      <c r="H81" s="176" t="str">
        <f t="shared" si="48"/>
        <v>Margin</v>
      </c>
      <c r="I81" s="129">
        <f t="shared" si="48"/>
        <v>-23</v>
      </c>
      <c r="J81" s="2" t="str">
        <f t="shared" si="48"/>
        <v/>
      </c>
      <c r="K81" s="2" t="str">
        <f t="shared" si="48"/>
        <v/>
      </c>
      <c r="L81" s="2"/>
      <c r="M81" s="2" t="str">
        <f t="shared" ref="M81:S81" si="49">V21</f>
        <v/>
      </c>
      <c r="N81" s="2" t="str">
        <f t="shared" si="49"/>
        <v/>
      </c>
      <c r="O81" s="2" t="str">
        <f t="shared" si="49"/>
        <v/>
      </c>
      <c r="P81" s="2" t="str">
        <f t="shared" si="49"/>
        <v/>
      </c>
      <c r="Q81" s="2" t="str">
        <f t="shared" si="49"/>
        <v/>
      </c>
      <c r="R81" s="2" t="str">
        <f t="shared" si="49"/>
        <v/>
      </c>
      <c r="S81" s="2" t="str">
        <f t="shared" si="49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>
      <c r="A82" s="176" t="str">
        <f t="shared" si="9"/>
        <v>Name</v>
      </c>
      <c r="B82" s="178" t="str">
        <f t="shared" ref="B82:K82" si="50">L22</f>
        <v>W/L?</v>
      </c>
      <c r="C82" s="176" t="str">
        <f t="shared" si="50"/>
        <v>Shot Order</v>
      </c>
      <c r="D82" s="176" t="str">
        <f t="shared" si="50"/>
        <v>Total Cups</v>
      </c>
      <c r="E82" s="176" t="str">
        <f t="shared" si="50"/>
        <v>Tops</v>
      </c>
      <c r="F82" s="176" t="str">
        <f t="shared" si="50"/>
        <v>Top Isos</v>
      </c>
      <c r="G82" s="176" t="str">
        <f t="shared" si="50"/>
        <v>Bottoms</v>
      </c>
      <c r="H82" s="176" t="str">
        <f t="shared" si="50"/>
        <v>Bottom Isos</v>
      </c>
      <c r="I82" s="176" t="str">
        <f t="shared" si="50"/>
        <v>Misses</v>
      </c>
      <c r="J82" s="2" t="str">
        <f t="shared" si="50"/>
        <v/>
      </c>
      <c r="K82" s="2" t="str">
        <f t="shared" si="50"/>
        <v/>
      </c>
      <c r="L82" s="2"/>
      <c r="M82" s="2" t="str">
        <f t="shared" ref="M82:S82" si="51">V22</f>
        <v/>
      </c>
      <c r="N82" s="2" t="str">
        <f t="shared" si="51"/>
        <v/>
      </c>
      <c r="O82" s="2" t="str">
        <f t="shared" si="51"/>
        <v/>
      </c>
      <c r="P82" s="2" t="str">
        <f t="shared" si="51"/>
        <v/>
      </c>
      <c r="Q82" s="2" t="str">
        <f t="shared" si="51"/>
        <v/>
      </c>
      <c r="R82" s="2" t="str">
        <f t="shared" si="51"/>
        <v/>
      </c>
      <c r="S82" s="2" t="str">
        <f t="shared" si="51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>
      <c r="A83" s="176" t="str">
        <f t="shared" si="9"/>
        <v>Du</v>
      </c>
      <c r="B83" s="178" t="str">
        <f t="shared" ref="B83:K83" si="52">L23</f>
        <v>Loss</v>
      </c>
      <c r="C83" s="2" t="str">
        <f t="shared" si="52"/>
        <v/>
      </c>
      <c r="D83" s="2">
        <f t="shared" si="52"/>
        <v>14</v>
      </c>
      <c r="E83" s="2">
        <f t="shared" si="52"/>
        <v>12</v>
      </c>
      <c r="F83" s="2">
        <f t="shared" si="52"/>
        <v>1</v>
      </c>
      <c r="G83" s="2">
        <f t="shared" si="52"/>
        <v>1</v>
      </c>
      <c r="H83" s="2">
        <f t="shared" si="52"/>
        <v>0</v>
      </c>
      <c r="I83" s="2">
        <f t="shared" si="52"/>
        <v>22</v>
      </c>
      <c r="J83" s="2" t="str">
        <f t="shared" si="52"/>
        <v/>
      </c>
      <c r="K83" s="2" t="str">
        <f t="shared" si="52"/>
        <v/>
      </c>
      <c r="L83" s="2"/>
      <c r="M83" s="2" t="str">
        <f t="shared" ref="M83:S83" si="53">V23</f>
        <v/>
      </c>
      <c r="N83" s="2" t="str">
        <f t="shared" si="53"/>
        <v/>
      </c>
      <c r="O83" s="2" t="str">
        <f t="shared" si="53"/>
        <v/>
      </c>
      <c r="P83" s="2" t="str">
        <f t="shared" si="53"/>
        <v/>
      </c>
      <c r="Q83" s="2" t="str">
        <f t="shared" si="53"/>
        <v/>
      </c>
      <c r="R83" s="2" t="str">
        <f t="shared" si="53"/>
        <v/>
      </c>
      <c r="S83" s="2" t="str">
        <f t="shared" si="53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>
      <c r="A84" s="2" t="str">
        <f t="shared" si="9"/>
        <v>Neo</v>
      </c>
      <c r="B84" s="178" t="str">
        <f t="shared" ref="B84:K84" si="54">L24</f>
        <v>Loss</v>
      </c>
      <c r="C84" s="2" t="str">
        <f t="shared" si="54"/>
        <v/>
      </c>
      <c r="D84" s="2">
        <f t="shared" si="54"/>
        <v>15</v>
      </c>
      <c r="E84" s="2">
        <f t="shared" si="54"/>
        <v>5</v>
      </c>
      <c r="F84" s="2">
        <f t="shared" si="54"/>
        <v>1</v>
      </c>
      <c r="G84" s="2">
        <f t="shared" si="54"/>
        <v>9</v>
      </c>
      <c r="H84" s="2">
        <f t="shared" si="54"/>
        <v>0</v>
      </c>
      <c r="I84" s="2">
        <f t="shared" si="54"/>
        <v>21</v>
      </c>
      <c r="J84" s="2" t="str">
        <f t="shared" si="54"/>
        <v/>
      </c>
      <c r="K84" s="2" t="str">
        <f t="shared" si="54"/>
        <v/>
      </c>
      <c r="L84" s="2"/>
      <c r="M84" s="2" t="str">
        <f t="shared" ref="M84:S84" si="55">V24</f>
        <v/>
      </c>
      <c r="N84" s="2" t="str">
        <f t="shared" si="55"/>
        <v/>
      </c>
      <c r="O84" s="2" t="str">
        <f t="shared" si="55"/>
        <v/>
      </c>
      <c r="P84" s="2" t="str">
        <f t="shared" si="55"/>
        <v/>
      </c>
      <c r="Q84" s="2" t="str">
        <f t="shared" si="55"/>
        <v/>
      </c>
      <c r="R84" s="2" t="str">
        <f t="shared" si="55"/>
        <v/>
      </c>
      <c r="S84" s="2" t="str">
        <f t="shared" si="55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>
      <c r="A85" s="176" t="str">
        <f t="shared" si="9"/>
        <v>Fritz</v>
      </c>
      <c r="B85" s="178" t="str">
        <f t="shared" ref="B85:K85" si="56">L25</f>
        <v>Loss</v>
      </c>
      <c r="C85" s="2" t="str">
        <f t="shared" si="56"/>
        <v/>
      </c>
      <c r="D85" s="2">
        <f t="shared" si="56"/>
        <v>9</v>
      </c>
      <c r="E85" s="2">
        <f t="shared" si="56"/>
        <v>2</v>
      </c>
      <c r="F85" s="2">
        <f t="shared" si="56"/>
        <v>2</v>
      </c>
      <c r="G85" s="2">
        <f t="shared" si="56"/>
        <v>4</v>
      </c>
      <c r="H85" s="2">
        <f t="shared" si="56"/>
        <v>1</v>
      </c>
      <c r="I85" s="2">
        <f t="shared" si="56"/>
        <v>24</v>
      </c>
      <c r="J85" s="2" t="str">
        <f t="shared" si="56"/>
        <v/>
      </c>
      <c r="K85" s="2" t="str">
        <f t="shared" si="56"/>
        <v/>
      </c>
      <c r="L85" s="2"/>
      <c r="M85" s="2" t="str">
        <f t="shared" ref="M85:S85" si="57">V25</f>
        <v/>
      </c>
      <c r="N85" s="2" t="str">
        <f t="shared" si="57"/>
        <v/>
      </c>
      <c r="O85" s="2" t="str">
        <f t="shared" si="57"/>
        <v/>
      </c>
      <c r="P85" s="2" t="str">
        <f t="shared" si="57"/>
        <v/>
      </c>
      <c r="Q85" s="2" t="str">
        <f t="shared" si="57"/>
        <v/>
      </c>
      <c r="R85" s="2" t="str">
        <f t="shared" si="57"/>
        <v/>
      </c>
      <c r="S85" s="2" t="str">
        <f t="shared" si="57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>
      <c r="A86" s="176" t="str">
        <f t="shared" si="9"/>
        <v>Eric</v>
      </c>
      <c r="B86" s="178" t="str">
        <f t="shared" ref="B86:K86" si="58">L26</f>
        <v>Loss</v>
      </c>
      <c r="C86" s="2" t="str">
        <f t="shared" si="58"/>
        <v/>
      </c>
      <c r="D86" s="2">
        <f t="shared" si="58"/>
        <v>12</v>
      </c>
      <c r="E86" s="2">
        <f t="shared" si="58"/>
        <v>10</v>
      </c>
      <c r="F86" s="2">
        <f t="shared" si="58"/>
        <v>1</v>
      </c>
      <c r="G86" s="2">
        <f t="shared" si="58"/>
        <v>1</v>
      </c>
      <c r="H86" s="2">
        <f t="shared" si="58"/>
        <v>0</v>
      </c>
      <c r="I86" s="2">
        <f t="shared" si="58"/>
        <v>22</v>
      </c>
      <c r="J86" s="2" t="str">
        <f t="shared" si="58"/>
        <v/>
      </c>
      <c r="K86" s="2" t="str">
        <f t="shared" si="58"/>
        <v/>
      </c>
      <c r="L86" s="2"/>
      <c r="M86" s="2" t="str">
        <f t="shared" ref="M86:S86" si="59">V26</f>
        <v/>
      </c>
      <c r="N86" s="2" t="str">
        <f t="shared" si="59"/>
        <v/>
      </c>
      <c r="O86" s="2" t="str">
        <f t="shared" si="59"/>
        <v/>
      </c>
      <c r="P86" s="2" t="str">
        <f t="shared" si="59"/>
        <v/>
      </c>
      <c r="Q86" s="2" t="str">
        <f t="shared" si="59"/>
        <v/>
      </c>
      <c r="R86" s="2" t="str">
        <f t="shared" si="59"/>
        <v/>
      </c>
      <c r="S86" s="2" t="str">
        <f t="shared" si="59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>
      <c r="A87" s="2" t="str">
        <f t="shared" si="9"/>
        <v>Ilt</v>
      </c>
      <c r="B87" s="178" t="str">
        <f t="shared" ref="B87:K87" si="60">L27</f>
        <v>Loss</v>
      </c>
      <c r="C87" s="2" t="str">
        <f t="shared" si="60"/>
        <v/>
      </c>
      <c r="D87" s="2">
        <f t="shared" si="60"/>
        <v>16</v>
      </c>
      <c r="E87" s="2">
        <f t="shared" si="60"/>
        <v>2</v>
      </c>
      <c r="F87" s="2">
        <f t="shared" si="60"/>
        <v>0</v>
      </c>
      <c r="G87" s="2">
        <f t="shared" si="60"/>
        <v>14</v>
      </c>
      <c r="H87" s="2">
        <f t="shared" si="60"/>
        <v>0</v>
      </c>
      <c r="I87" s="2">
        <f t="shared" si="60"/>
        <v>20</v>
      </c>
      <c r="J87" s="2" t="str">
        <f t="shared" si="60"/>
        <v/>
      </c>
      <c r="K87" s="2" t="str">
        <f t="shared" si="60"/>
        <v/>
      </c>
      <c r="L87" s="2"/>
      <c r="M87" s="2" t="str">
        <f t="shared" ref="M87:S87" si="61">V27</f>
        <v/>
      </c>
      <c r="N87" s="2" t="str">
        <f t="shared" si="61"/>
        <v/>
      </c>
      <c r="O87" s="2" t="str">
        <f t="shared" si="61"/>
        <v/>
      </c>
      <c r="P87" s="2" t="str">
        <f t="shared" si="61"/>
        <v/>
      </c>
      <c r="Q87" s="2" t="str">
        <f t="shared" si="61"/>
        <v/>
      </c>
      <c r="R87" s="2" t="str">
        <f t="shared" si="61"/>
        <v/>
      </c>
      <c r="S87" s="2" t="str">
        <f t="shared" si="61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>
      <c r="A88" s="2" t="str">
        <f t="shared" si="9"/>
        <v>Matvey</v>
      </c>
      <c r="B88" s="178" t="str">
        <f t="shared" ref="B88:K88" si="62">L28</f>
        <v>Loss</v>
      </c>
      <c r="C88" s="2" t="str">
        <f t="shared" si="62"/>
        <v/>
      </c>
      <c r="D88" s="2" t="str">
        <f t="shared" si="62"/>
        <v/>
      </c>
      <c r="E88" s="2" t="str">
        <f t="shared" si="62"/>
        <v/>
      </c>
      <c r="F88" s="2" t="str">
        <f t="shared" si="62"/>
        <v/>
      </c>
      <c r="G88" s="2" t="str">
        <f t="shared" si="62"/>
        <v/>
      </c>
      <c r="H88" s="2" t="str">
        <f t="shared" si="62"/>
        <v/>
      </c>
      <c r="I88" s="2" t="str">
        <f t="shared" si="62"/>
        <v/>
      </c>
      <c r="J88" s="2" t="str">
        <f t="shared" si="62"/>
        <v/>
      </c>
      <c r="K88" s="2" t="str">
        <f t="shared" si="62"/>
        <v/>
      </c>
      <c r="L88" s="2"/>
      <c r="M88" s="2" t="str">
        <f t="shared" ref="M88:S88" si="63">V28</f>
        <v/>
      </c>
      <c r="N88" s="2" t="str">
        <f t="shared" si="63"/>
        <v/>
      </c>
      <c r="O88" s="2" t="str">
        <f t="shared" si="63"/>
        <v/>
      </c>
      <c r="P88" s="2" t="str">
        <f t="shared" si="63"/>
        <v/>
      </c>
      <c r="Q88" s="2" t="str">
        <f t="shared" si="63"/>
        <v/>
      </c>
      <c r="R88" s="2" t="str">
        <f t="shared" si="63"/>
        <v/>
      </c>
      <c r="S88" s="2" t="str">
        <f t="shared" si="63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>
      <c r="A89" s="2" t="str">
        <f t="shared" si="9"/>
        <v>James</v>
      </c>
      <c r="B89" s="178" t="str">
        <f t="shared" ref="B89:K89" si="64">L29</f>
        <v>Loss</v>
      </c>
      <c r="C89" s="2" t="str">
        <f t="shared" si="64"/>
        <v/>
      </c>
      <c r="D89" s="2">
        <f t="shared" si="64"/>
        <v>11</v>
      </c>
      <c r="E89" s="2">
        <f t="shared" si="64"/>
        <v>4</v>
      </c>
      <c r="F89" s="2">
        <f t="shared" si="64"/>
        <v>1</v>
      </c>
      <c r="G89" s="2">
        <f t="shared" si="64"/>
        <v>6</v>
      </c>
      <c r="H89" s="2">
        <f t="shared" si="64"/>
        <v>0</v>
      </c>
      <c r="I89" s="2">
        <f t="shared" si="64"/>
        <v>21</v>
      </c>
      <c r="J89" s="2" t="str">
        <f t="shared" si="64"/>
        <v/>
      </c>
      <c r="K89" s="2" t="str">
        <f t="shared" si="64"/>
        <v/>
      </c>
      <c r="L89" s="2"/>
      <c r="M89" s="2" t="str">
        <f t="shared" ref="M89:S89" si="65">V29</f>
        <v/>
      </c>
      <c r="N89" s="2" t="str">
        <f t="shared" si="65"/>
        <v/>
      </c>
      <c r="O89" s="2" t="str">
        <f t="shared" si="65"/>
        <v/>
      </c>
      <c r="P89" s="2" t="str">
        <f t="shared" si="65"/>
        <v/>
      </c>
      <c r="Q89" s="2" t="str">
        <f t="shared" si="65"/>
        <v/>
      </c>
      <c r="R89" s="2" t="str">
        <f t="shared" si="65"/>
        <v/>
      </c>
      <c r="S89" s="2" t="str">
        <f t="shared" si="65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>
      <c r="A90" s="2" t="str">
        <f t="shared" si="9"/>
        <v>Sebastian</v>
      </c>
      <c r="B90" s="178" t="str">
        <f t="shared" ref="B90:K90" si="66">L30</f>
        <v>Loss</v>
      </c>
      <c r="C90" s="2" t="str">
        <f t="shared" si="66"/>
        <v/>
      </c>
      <c r="D90" s="2" t="str">
        <f t="shared" si="66"/>
        <v/>
      </c>
      <c r="E90" s="2" t="str">
        <f t="shared" si="66"/>
        <v/>
      </c>
      <c r="F90" s="2" t="str">
        <f t="shared" si="66"/>
        <v/>
      </c>
      <c r="G90" s="2" t="str">
        <f t="shared" si="66"/>
        <v/>
      </c>
      <c r="H90" s="2" t="str">
        <f t="shared" si="66"/>
        <v/>
      </c>
      <c r="I90" s="2" t="str">
        <f t="shared" si="66"/>
        <v/>
      </c>
      <c r="J90" s="2" t="str">
        <f t="shared" si="66"/>
        <v/>
      </c>
      <c r="K90" s="2" t="str">
        <f t="shared" si="66"/>
        <v/>
      </c>
      <c r="L90" s="2"/>
      <c r="M90" s="2" t="str">
        <f t="shared" ref="M90:S90" si="67">V30</f>
        <v/>
      </c>
      <c r="N90" s="2" t="str">
        <f t="shared" si="67"/>
        <v/>
      </c>
      <c r="O90" s="2" t="str">
        <f t="shared" si="67"/>
        <v/>
      </c>
      <c r="P90" s="2" t="str">
        <f t="shared" si="67"/>
        <v/>
      </c>
      <c r="Q90" s="2" t="str">
        <f t="shared" si="67"/>
        <v/>
      </c>
      <c r="R90" s="2" t="str">
        <f t="shared" si="67"/>
        <v/>
      </c>
      <c r="S90" s="2" t="str">
        <f t="shared" si="67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>
      <c r="A91" s="2" t="str">
        <f t="shared" si="9"/>
        <v>Erik</v>
      </c>
      <c r="B91" s="178" t="str">
        <f t="shared" ref="B91:K91" si="68">L31</f>
        <v>Loss</v>
      </c>
      <c r="C91" s="2" t="str">
        <f t="shared" si="68"/>
        <v/>
      </c>
      <c r="D91" s="2" t="str">
        <f t="shared" si="68"/>
        <v/>
      </c>
      <c r="E91" s="2" t="str">
        <f t="shared" si="68"/>
        <v/>
      </c>
      <c r="F91" s="2" t="str">
        <f t="shared" si="68"/>
        <v/>
      </c>
      <c r="G91" s="2" t="str">
        <f t="shared" si="68"/>
        <v/>
      </c>
      <c r="H91" s="2" t="str">
        <f t="shared" si="68"/>
        <v/>
      </c>
      <c r="I91" s="2" t="str">
        <f t="shared" si="68"/>
        <v/>
      </c>
      <c r="J91" s="2" t="str">
        <f t="shared" si="68"/>
        <v/>
      </c>
      <c r="K91" s="2" t="str">
        <f t="shared" si="68"/>
        <v/>
      </c>
      <c r="L91" s="2"/>
      <c r="M91" s="2" t="str">
        <f t="shared" ref="M91:S91" si="69">V31</f>
        <v/>
      </c>
      <c r="N91" s="2" t="str">
        <f t="shared" si="69"/>
        <v/>
      </c>
      <c r="O91" s="2" t="str">
        <f t="shared" si="69"/>
        <v/>
      </c>
      <c r="P91" s="2" t="str">
        <f t="shared" si="69"/>
        <v/>
      </c>
      <c r="Q91" s="2" t="str">
        <f t="shared" si="69"/>
        <v/>
      </c>
      <c r="R91" s="2" t="str">
        <f t="shared" si="69"/>
        <v/>
      </c>
      <c r="S91" s="2" t="str">
        <f t="shared" si="69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>
      <c r="A92" s="176" t="str">
        <f t="shared" si="9"/>
        <v>Jack</v>
      </c>
      <c r="B92" s="178" t="str">
        <f t="shared" ref="B92:K92" si="70">L32</f>
        <v>Loss</v>
      </c>
      <c r="C92" s="2" t="str">
        <f t="shared" si="70"/>
        <v/>
      </c>
      <c r="D92" s="2" t="str">
        <f t="shared" si="70"/>
        <v/>
      </c>
      <c r="E92" s="2" t="str">
        <f t="shared" si="70"/>
        <v/>
      </c>
      <c r="F92" s="2" t="str">
        <f t="shared" si="70"/>
        <v/>
      </c>
      <c r="G92" s="2" t="str">
        <f t="shared" si="70"/>
        <v/>
      </c>
      <c r="H92" s="2" t="str">
        <f t="shared" si="70"/>
        <v/>
      </c>
      <c r="I92" s="2" t="str">
        <f t="shared" si="70"/>
        <v/>
      </c>
      <c r="J92" s="2" t="str">
        <f t="shared" si="70"/>
        <v/>
      </c>
      <c r="K92" s="2" t="str">
        <f t="shared" si="70"/>
        <v/>
      </c>
      <c r="L92" s="2"/>
      <c r="M92" s="2" t="str">
        <f t="shared" ref="M92:S92" si="71">V32</f>
        <v/>
      </c>
      <c r="N92" s="2" t="str">
        <f t="shared" si="71"/>
        <v/>
      </c>
      <c r="O92" s="2" t="str">
        <f t="shared" si="71"/>
        <v/>
      </c>
      <c r="P92" s="2" t="str">
        <f t="shared" si="71"/>
        <v/>
      </c>
      <c r="Q92" s="2" t="str">
        <f t="shared" si="71"/>
        <v/>
      </c>
      <c r="R92" s="2" t="str">
        <f t="shared" si="71"/>
        <v/>
      </c>
      <c r="S92" s="2" t="str">
        <f t="shared" si="71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>
      <c r="A93" s="2" t="str">
        <f t="shared" si="9"/>
        <v/>
      </c>
      <c r="B93" s="178" t="str">
        <f t="shared" ref="B93:K93" si="72">L33</f>
        <v>Loss</v>
      </c>
      <c r="C93" s="2" t="str">
        <f t="shared" si="72"/>
        <v/>
      </c>
      <c r="D93" s="2" t="str">
        <f t="shared" si="72"/>
        <v/>
      </c>
      <c r="E93" s="2" t="str">
        <f t="shared" si="72"/>
        <v/>
      </c>
      <c r="F93" s="2" t="str">
        <f t="shared" si="72"/>
        <v/>
      </c>
      <c r="G93" s="2" t="str">
        <f t="shared" si="72"/>
        <v/>
      </c>
      <c r="H93" s="2" t="str">
        <f t="shared" si="72"/>
        <v/>
      </c>
      <c r="I93" s="2" t="str">
        <f t="shared" si="72"/>
        <v/>
      </c>
      <c r="J93" s="2" t="str">
        <f t="shared" si="72"/>
        <v/>
      </c>
      <c r="K93" s="2" t="str">
        <f t="shared" si="72"/>
        <v/>
      </c>
      <c r="L93" s="2"/>
      <c r="M93" s="2" t="str">
        <f t="shared" ref="M93:S93" si="73">V33</f>
        <v/>
      </c>
      <c r="N93" s="2" t="str">
        <f t="shared" si="73"/>
        <v/>
      </c>
      <c r="O93" s="2" t="str">
        <f t="shared" si="73"/>
        <v/>
      </c>
      <c r="P93" s="2" t="str">
        <f t="shared" si="73"/>
        <v/>
      </c>
      <c r="Q93" s="2" t="str">
        <f t="shared" si="73"/>
        <v/>
      </c>
      <c r="R93" s="2" t="str">
        <f t="shared" si="73"/>
        <v/>
      </c>
      <c r="S93" s="2" t="str">
        <f t="shared" si="73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>
      <c r="A94" s="2" t="str">
        <f t="shared" si="9"/>
        <v/>
      </c>
      <c r="B94" s="178" t="str">
        <f t="shared" ref="B94:K94" si="74">L34</f>
        <v>Loss</v>
      </c>
      <c r="C94" s="2" t="str">
        <f t="shared" si="74"/>
        <v/>
      </c>
      <c r="D94" s="2" t="str">
        <f t="shared" si="74"/>
        <v/>
      </c>
      <c r="E94" s="2" t="str">
        <f t="shared" si="74"/>
        <v/>
      </c>
      <c r="F94" s="2" t="str">
        <f t="shared" si="74"/>
        <v/>
      </c>
      <c r="G94" s="2" t="str">
        <f t="shared" si="74"/>
        <v/>
      </c>
      <c r="H94" s="2" t="str">
        <f t="shared" si="74"/>
        <v/>
      </c>
      <c r="I94" s="2" t="str">
        <f t="shared" si="74"/>
        <v/>
      </c>
      <c r="J94" s="2" t="str">
        <f t="shared" si="74"/>
        <v/>
      </c>
      <c r="K94" s="2" t="str">
        <f t="shared" si="74"/>
        <v/>
      </c>
      <c r="L94" s="2"/>
      <c r="M94" s="2" t="str">
        <f t="shared" ref="M94:S94" si="75">V34</f>
        <v/>
      </c>
      <c r="N94" s="2" t="str">
        <f t="shared" si="75"/>
        <v/>
      </c>
      <c r="O94" s="2" t="str">
        <f t="shared" si="75"/>
        <v/>
      </c>
      <c r="P94" s="2" t="str">
        <f t="shared" si="75"/>
        <v/>
      </c>
      <c r="Q94" s="2" t="str">
        <f t="shared" si="75"/>
        <v/>
      </c>
      <c r="R94" s="2" t="str">
        <f t="shared" si="75"/>
        <v/>
      </c>
      <c r="S94" s="2" t="str">
        <f t="shared" si="75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>
      <c r="A95" s="2" t="str">
        <f t="shared" si="9"/>
        <v/>
      </c>
      <c r="B95" s="178" t="str">
        <f t="shared" ref="B95:K95" si="76">L35</f>
        <v>Loss</v>
      </c>
      <c r="C95" s="2" t="str">
        <f t="shared" si="76"/>
        <v/>
      </c>
      <c r="D95" s="2" t="str">
        <f t="shared" si="76"/>
        <v/>
      </c>
      <c r="E95" s="2" t="str">
        <f t="shared" si="76"/>
        <v/>
      </c>
      <c r="F95" s="2" t="str">
        <f t="shared" si="76"/>
        <v/>
      </c>
      <c r="G95" s="2" t="str">
        <f t="shared" si="76"/>
        <v/>
      </c>
      <c r="H95" s="2" t="str">
        <f t="shared" si="76"/>
        <v/>
      </c>
      <c r="I95" s="2" t="str">
        <f t="shared" si="76"/>
        <v/>
      </c>
      <c r="J95" s="2" t="str">
        <f t="shared" si="76"/>
        <v/>
      </c>
      <c r="K95" s="2" t="str">
        <f t="shared" si="76"/>
        <v/>
      </c>
      <c r="L95" s="2"/>
      <c r="M95" s="2" t="str">
        <f t="shared" ref="M95:S95" si="77">V35</f>
        <v/>
      </c>
      <c r="N95" s="2" t="str">
        <f t="shared" si="77"/>
        <v/>
      </c>
      <c r="O95" s="2" t="str">
        <f t="shared" si="77"/>
        <v/>
      </c>
      <c r="P95" s="2" t="str">
        <f t="shared" si="77"/>
        <v/>
      </c>
      <c r="Q95" s="2" t="str">
        <f t="shared" si="77"/>
        <v/>
      </c>
      <c r="R95" s="2" t="str">
        <f t="shared" si="77"/>
        <v/>
      </c>
      <c r="S95" s="2" t="str">
        <f t="shared" si="77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>
      <c r="A96" s="2" t="str">
        <f t="shared" si="9"/>
        <v/>
      </c>
      <c r="B96" s="178" t="str">
        <f t="shared" ref="B96:K96" si="78">L36</f>
        <v>Loss</v>
      </c>
      <c r="C96" s="2" t="str">
        <f t="shared" si="78"/>
        <v/>
      </c>
      <c r="D96" s="2" t="str">
        <f t="shared" si="78"/>
        <v/>
      </c>
      <c r="E96" s="2" t="str">
        <f t="shared" si="78"/>
        <v/>
      </c>
      <c r="F96" s="2" t="str">
        <f t="shared" si="78"/>
        <v/>
      </c>
      <c r="G96" s="2" t="str">
        <f t="shared" si="78"/>
        <v/>
      </c>
      <c r="H96" s="2" t="str">
        <f t="shared" si="78"/>
        <v/>
      </c>
      <c r="I96" s="2" t="str">
        <f t="shared" si="78"/>
        <v/>
      </c>
      <c r="J96" s="2" t="str">
        <f t="shared" si="78"/>
        <v/>
      </c>
      <c r="K96" s="2" t="str">
        <f t="shared" si="78"/>
        <v/>
      </c>
      <c r="L96" s="2"/>
      <c r="M96" s="2" t="str">
        <f t="shared" ref="M96:S96" si="79">V36</f>
        <v/>
      </c>
      <c r="N96" s="2" t="str">
        <f t="shared" si="79"/>
        <v/>
      </c>
      <c r="O96" s="2" t="str">
        <f t="shared" si="79"/>
        <v/>
      </c>
      <c r="P96" s="2" t="str">
        <f t="shared" si="79"/>
        <v/>
      </c>
      <c r="Q96" s="2" t="str">
        <f t="shared" si="79"/>
        <v/>
      </c>
      <c r="R96" s="2" t="str">
        <f t="shared" si="79"/>
        <v/>
      </c>
      <c r="S96" s="2" t="str">
        <f t="shared" si="79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>
      <c r="A97" s="2" t="str">
        <f t="shared" si="9"/>
        <v/>
      </c>
      <c r="B97" s="178" t="str">
        <f t="shared" ref="B97:K97" si="80">L37</f>
        <v>Loss</v>
      </c>
      <c r="C97" s="2" t="str">
        <f t="shared" si="80"/>
        <v/>
      </c>
      <c r="D97" s="2" t="str">
        <f t="shared" si="80"/>
        <v/>
      </c>
      <c r="E97" s="2" t="str">
        <f t="shared" si="80"/>
        <v/>
      </c>
      <c r="F97" s="2" t="str">
        <f t="shared" si="80"/>
        <v/>
      </c>
      <c r="G97" s="2" t="str">
        <f t="shared" si="80"/>
        <v/>
      </c>
      <c r="H97" s="2" t="str">
        <f t="shared" si="80"/>
        <v/>
      </c>
      <c r="I97" s="2" t="str">
        <f t="shared" si="80"/>
        <v/>
      </c>
      <c r="J97" s="2" t="str">
        <f t="shared" si="80"/>
        <v/>
      </c>
      <c r="K97" s="2" t="str">
        <f t="shared" si="80"/>
        <v/>
      </c>
      <c r="L97" s="2"/>
      <c r="M97" s="2" t="str">
        <f t="shared" ref="M97:S97" si="81">V37</f>
        <v/>
      </c>
      <c r="N97" s="2" t="str">
        <f t="shared" si="81"/>
        <v/>
      </c>
      <c r="O97" s="2" t="str">
        <f t="shared" si="81"/>
        <v/>
      </c>
      <c r="P97" s="2" t="str">
        <f t="shared" si="81"/>
        <v/>
      </c>
      <c r="Q97" s="2" t="str">
        <f t="shared" si="81"/>
        <v/>
      </c>
      <c r="R97" s="2" t="str">
        <f t="shared" si="81"/>
        <v/>
      </c>
      <c r="S97" s="2" t="str">
        <f t="shared" si="81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>
      <c r="A98" s="176" t="str">
        <f t="shared" si="9"/>
        <v>Pulled Cups</v>
      </c>
      <c r="B98" s="178" t="str">
        <f t="shared" ref="B98:K98" si="82">L38</f>
        <v/>
      </c>
      <c r="C98" s="2" t="str">
        <f t="shared" si="82"/>
        <v/>
      </c>
      <c r="D98" s="2" t="str">
        <f t="shared" si="82"/>
        <v/>
      </c>
      <c r="E98" s="2" t="str">
        <f t="shared" si="82"/>
        <v/>
      </c>
      <c r="F98" s="2" t="str">
        <f t="shared" si="82"/>
        <v/>
      </c>
      <c r="G98" s="2" t="str">
        <f t="shared" si="82"/>
        <v/>
      </c>
      <c r="H98" s="2" t="str">
        <f t="shared" si="82"/>
        <v/>
      </c>
      <c r="I98" s="2" t="str">
        <f t="shared" si="82"/>
        <v/>
      </c>
      <c r="J98" s="2" t="str">
        <f t="shared" si="82"/>
        <v/>
      </c>
      <c r="K98" s="2" t="str">
        <f t="shared" si="82"/>
        <v/>
      </c>
      <c r="L98" s="2"/>
      <c r="M98" s="2" t="str">
        <f t="shared" ref="M98:S98" si="83">V38</f>
        <v/>
      </c>
      <c r="N98" s="2" t="str">
        <f t="shared" si="83"/>
        <v/>
      </c>
      <c r="O98" s="2" t="str">
        <f t="shared" si="83"/>
        <v/>
      </c>
      <c r="P98" s="2" t="str">
        <f t="shared" si="83"/>
        <v/>
      </c>
      <c r="Q98" s="2" t="str">
        <f t="shared" si="83"/>
        <v/>
      </c>
      <c r="R98" s="2" t="str">
        <f t="shared" si="83"/>
        <v/>
      </c>
      <c r="S98" s="2" t="str">
        <f t="shared" si="83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>
      <c r="A99" s="176" t="str">
        <f t="shared" si="9"/>
        <v>Total</v>
      </c>
      <c r="B99" s="178" t="str">
        <f t="shared" ref="B99:K99" si="84">L39</f>
        <v/>
      </c>
      <c r="C99" s="2" t="str">
        <f t="shared" si="84"/>
        <v/>
      </c>
      <c r="D99" s="129">
        <f t="shared" si="84"/>
        <v>77</v>
      </c>
      <c r="E99" s="2" t="str">
        <f t="shared" si="84"/>
        <v/>
      </c>
      <c r="F99" s="2" t="str">
        <f t="shared" si="84"/>
        <v/>
      </c>
      <c r="G99" s="2" t="str">
        <f t="shared" si="84"/>
        <v/>
      </c>
      <c r="H99" s="2" t="str">
        <f t="shared" si="84"/>
        <v/>
      </c>
      <c r="I99" s="128">
        <f t="shared" si="84"/>
        <v>0.3719806763</v>
      </c>
      <c r="J99" s="2" t="str">
        <f t="shared" si="84"/>
        <v/>
      </c>
      <c r="K99" s="2" t="str">
        <f t="shared" si="84"/>
        <v/>
      </c>
      <c r="L99" s="2"/>
      <c r="M99" s="2" t="str">
        <f t="shared" ref="M99:S99" si="85">V39</f>
        <v/>
      </c>
      <c r="N99" s="2" t="str">
        <f t="shared" si="85"/>
        <v/>
      </c>
      <c r="O99" s="2" t="str">
        <f t="shared" si="85"/>
        <v/>
      </c>
      <c r="P99" s="2" t="str">
        <f t="shared" si="85"/>
        <v/>
      </c>
      <c r="Q99" s="2" t="str">
        <f t="shared" si="85"/>
        <v/>
      </c>
      <c r="R99" s="2" t="str">
        <f t="shared" si="85"/>
        <v/>
      </c>
      <c r="S99" s="2" t="str">
        <f t="shared" si="85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 t="str">
        <f t="shared" si="9"/>
        <v/>
      </c>
      <c r="B100" s="178" t="str">
        <f t="shared" ref="B100:K100" si="86">L40</f>
        <v/>
      </c>
      <c r="C100" s="2" t="str">
        <f t="shared" si="86"/>
        <v/>
      </c>
      <c r="D100" s="2" t="str">
        <f t="shared" si="86"/>
        <v/>
      </c>
      <c r="E100" s="2" t="str">
        <f t="shared" si="86"/>
        <v/>
      </c>
      <c r="F100" s="2" t="str">
        <f t="shared" si="86"/>
        <v/>
      </c>
      <c r="G100" s="2" t="str">
        <f t="shared" si="86"/>
        <v/>
      </c>
      <c r="H100" s="2" t="str">
        <f t="shared" si="86"/>
        <v/>
      </c>
      <c r="I100" s="2" t="str">
        <f t="shared" si="86"/>
        <v/>
      </c>
      <c r="J100" s="2" t="str">
        <f t="shared" si="86"/>
        <v/>
      </c>
      <c r="K100" s="2" t="str">
        <f t="shared" si="86"/>
        <v/>
      </c>
      <c r="L100" s="2"/>
      <c r="M100" s="2" t="str">
        <f t="shared" ref="M100:S100" si="87">V40</f>
        <v/>
      </c>
      <c r="N100" s="2" t="str">
        <f t="shared" si="87"/>
        <v/>
      </c>
      <c r="O100" s="2" t="str">
        <f t="shared" si="87"/>
        <v/>
      </c>
      <c r="P100" s="2" t="str">
        <f t="shared" si="87"/>
        <v/>
      </c>
      <c r="Q100" s="2" t="str">
        <f t="shared" si="87"/>
        <v/>
      </c>
      <c r="R100" s="2" t="str">
        <f t="shared" si="87"/>
        <v/>
      </c>
      <c r="S100" s="2" t="str">
        <f t="shared" si="87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176" t="str">
        <f t="shared" si="9"/>
        <v>Gargantuan</v>
      </c>
      <c r="B101" s="178" t="str">
        <f t="shared" ref="B101:K101" si="88">L41</f>
        <v/>
      </c>
      <c r="C101" s="2" t="str">
        <f t="shared" si="88"/>
        <v/>
      </c>
      <c r="D101" s="2" t="str">
        <f t="shared" si="88"/>
        <v/>
      </c>
      <c r="E101" s="176" t="str">
        <f t="shared" si="88"/>
        <v>Result</v>
      </c>
      <c r="F101" s="166" t="str">
        <f t="shared" si="88"/>
        <v>Loss</v>
      </c>
      <c r="G101" s="2" t="str">
        <f t="shared" si="88"/>
        <v/>
      </c>
      <c r="H101" s="176" t="str">
        <f t="shared" si="88"/>
        <v>Margin</v>
      </c>
      <c r="I101" s="129">
        <f t="shared" si="88"/>
        <v>-1</v>
      </c>
      <c r="J101" s="2" t="str">
        <f t="shared" si="88"/>
        <v/>
      </c>
      <c r="K101" s="2" t="str">
        <f t="shared" si="88"/>
        <v/>
      </c>
      <c r="L101" s="2"/>
      <c r="M101" s="2" t="str">
        <f t="shared" ref="M101:S101" si="89">V41</f>
        <v/>
      </c>
      <c r="N101" s="2" t="str">
        <f t="shared" si="89"/>
        <v/>
      </c>
      <c r="O101" s="2" t="str">
        <f t="shared" si="89"/>
        <v/>
      </c>
      <c r="P101" s="2" t="str">
        <f t="shared" si="89"/>
        <v/>
      </c>
      <c r="Q101" s="2" t="str">
        <f t="shared" si="89"/>
        <v/>
      </c>
      <c r="R101" s="2" t="str">
        <f t="shared" si="89"/>
        <v/>
      </c>
      <c r="S101" s="2" t="str">
        <f t="shared" si="89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176" t="str">
        <f t="shared" si="9"/>
        <v>Name</v>
      </c>
      <c r="B102" s="178" t="str">
        <f t="shared" ref="B102:K102" si="90">L42</f>
        <v>W/L?</v>
      </c>
      <c r="C102" s="176" t="str">
        <f t="shared" si="90"/>
        <v>Shot Order</v>
      </c>
      <c r="D102" s="176" t="str">
        <f t="shared" si="90"/>
        <v>Total Cups</v>
      </c>
      <c r="E102" s="176" t="str">
        <f t="shared" si="90"/>
        <v>Tops</v>
      </c>
      <c r="F102" s="176" t="str">
        <f t="shared" si="90"/>
        <v>Top Isos</v>
      </c>
      <c r="G102" s="176" t="str">
        <f t="shared" si="90"/>
        <v>Bottoms</v>
      </c>
      <c r="H102" s="176" t="str">
        <f t="shared" si="90"/>
        <v>Bottom Isos</v>
      </c>
      <c r="I102" s="176" t="str">
        <f t="shared" si="90"/>
        <v>Misses</v>
      </c>
      <c r="J102" s="2" t="str">
        <f t="shared" si="90"/>
        <v/>
      </c>
      <c r="K102" s="2" t="str">
        <f t="shared" si="90"/>
        <v/>
      </c>
      <c r="L102" s="2"/>
      <c r="M102" s="2" t="str">
        <f t="shared" ref="M102:S102" si="91">V42</f>
        <v/>
      </c>
      <c r="N102" s="2" t="str">
        <f t="shared" si="91"/>
        <v/>
      </c>
      <c r="O102" s="2" t="str">
        <f t="shared" si="91"/>
        <v/>
      </c>
      <c r="P102" s="2" t="str">
        <f t="shared" si="91"/>
        <v/>
      </c>
      <c r="Q102" s="2" t="str">
        <f t="shared" si="91"/>
        <v/>
      </c>
      <c r="R102" s="2" t="str">
        <f t="shared" si="91"/>
        <v/>
      </c>
      <c r="S102" s="2" t="str">
        <f t="shared" si="91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176" t="str">
        <f t="shared" si="9"/>
        <v>Tyler</v>
      </c>
      <c r="B103" s="178" t="str">
        <f t="shared" ref="B103:K103" si="92">L43</f>
        <v>Loss</v>
      </c>
      <c r="C103" s="2">
        <f t="shared" si="92"/>
        <v>3</v>
      </c>
      <c r="D103" s="2">
        <f t="shared" si="92"/>
        <v>10</v>
      </c>
      <c r="E103" s="2">
        <f t="shared" si="92"/>
        <v>8</v>
      </c>
      <c r="F103" s="2">
        <f t="shared" si="92"/>
        <v>0</v>
      </c>
      <c r="G103" s="2">
        <f t="shared" si="92"/>
        <v>1</v>
      </c>
      <c r="H103" s="2">
        <f t="shared" si="92"/>
        <v>1</v>
      </c>
      <c r="I103" s="2">
        <f t="shared" si="92"/>
        <v>41</v>
      </c>
      <c r="J103" s="2" t="str">
        <f t="shared" si="92"/>
        <v/>
      </c>
      <c r="K103" s="2" t="str">
        <f t="shared" si="92"/>
        <v/>
      </c>
      <c r="L103" s="2"/>
      <c r="M103" s="2" t="str">
        <f t="shared" ref="M103:S103" si="93">V43</f>
        <v/>
      </c>
      <c r="N103" s="2" t="str">
        <f t="shared" si="93"/>
        <v/>
      </c>
      <c r="O103" s="2" t="str">
        <f t="shared" si="93"/>
        <v/>
      </c>
      <c r="P103" s="2" t="str">
        <f t="shared" si="93"/>
        <v/>
      </c>
      <c r="Q103" s="2" t="str">
        <f t="shared" si="93"/>
        <v/>
      </c>
      <c r="R103" s="2" t="str">
        <f t="shared" si="93"/>
        <v/>
      </c>
      <c r="S103" s="2" t="str">
        <f t="shared" si="93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 t="str">
        <f t="shared" si="9"/>
        <v>Lucas</v>
      </c>
      <c r="B104" s="178" t="str">
        <f t="shared" ref="B104:K104" si="94">L44</f>
        <v>Loss</v>
      </c>
      <c r="C104" s="2">
        <f t="shared" si="94"/>
        <v>1</v>
      </c>
      <c r="D104" s="2">
        <f t="shared" si="94"/>
        <v>18</v>
      </c>
      <c r="E104" s="2">
        <f t="shared" si="94"/>
        <v>8</v>
      </c>
      <c r="F104" s="2">
        <f t="shared" si="94"/>
        <v>3</v>
      </c>
      <c r="G104" s="2">
        <f t="shared" si="94"/>
        <v>6</v>
      </c>
      <c r="H104" s="2">
        <f t="shared" si="94"/>
        <v>1</v>
      </c>
      <c r="I104" s="2">
        <f t="shared" si="94"/>
        <v>38</v>
      </c>
      <c r="J104" s="2" t="str">
        <f t="shared" si="94"/>
        <v/>
      </c>
      <c r="K104" s="2" t="str">
        <f t="shared" si="94"/>
        <v/>
      </c>
      <c r="L104" s="2"/>
      <c r="M104" s="2" t="str">
        <f t="shared" ref="M104:S104" si="95">V44</f>
        <v/>
      </c>
      <c r="N104" s="2" t="str">
        <f t="shared" si="95"/>
        <v/>
      </c>
      <c r="O104" s="2" t="str">
        <f t="shared" si="95"/>
        <v/>
      </c>
      <c r="P104" s="2" t="str">
        <f t="shared" si="95"/>
        <v/>
      </c>
      <c r="Q104" s="2" t="str">
        <f t="shared" si="95"/>
        <v/>
      </c>
      <c r="R104" s="2" t="str">
        <f t="shared" si="95"/>
        <v/>
      </c>
      <c r="S104" s="2" t="str">
        <f t="shared" si="95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176" t="str">
        <f t="shared" si="9"/>
        <v>Porco</v>
      </c>
      <c r="B105" s="178" t="str">
        <f t="shared" ref="B105:K105" si="96">L45</f>
        <v>Loss</v>
      </c>
      <c r="C105" s="2">
        <f t="shared" si="96"/>
        <v>6</v>
      </c>
      <c r="D105" s="2">
        <f t="shared" si="96"/>
        <v>22</v>
      </c>
      <c r="E105" s="2">
        <f t="shared" si="96"/>
        <v>13</v>
      </c>
      <c r="F105" s="2">
        <f t="shared" si="96"/>
        <v>2</v>
      </c>
      <c r="G105" s="2">
        <f t="shared" si="96"/>
        <v>7</v>
      </c>
      <c r="H105" s="2">
        <f t="shared" si="96"/>
        <v>0</v>
      </c>
      <c r="I105" s="2">
        <f t="shared" si="96"/>
        <v>37</v>
      </c>
      <c r="J105" s="2" t="str">
        <f t="shared" si="96"/>
        <v/>
      </c>
      <c r="K105" s="2" t="str">
        <f t="shared" si="96"/>
        <v/>
      </c>
      <c r="L105" s="2"/>
      <c r="M105" s="2" t="str">
        <f t="shared" ref="M105:S105" si="97">V45</f>
        <v/>
      </c>
      <c r="N105" s="2" t="str">
        <f t="shared" si="97"/>
        <v/>
      </c>
      <c r="O105" s="2" t="str">
        <f t="shared" si="97"/>
        <v/>
      </c>
      <c r="P105" s="2" t="str">
        <f t="shared" si="97"/>
        <v/>
      </c>
      <c r="Q105" s="2" t="str">
        <f t="shared" si="97"/>
        <v/>
      </c>
      <c r="R105" s="2" t="str">
        <f t="shared" si="97"/>
        <v/>
      </c>
      <c r="S105" s="2" t="str">
        <f t="shared" si="97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176" t="str">
        <f t="shared" si="9"/>
        <v>Andy Yu</v>
      </c>
      <c r="B106" s="178" t="str">
        <f t="shared" ref="B106:K106" si="98">L46</f>
        <v>Loss</v>
      </c>
      <c r="C106" s="2">
        <f t="shared" si="98"/>
        <v>4</v>
      </c>
      <c r="D106" s="2">
        <f t="shared" si="98"/>
        <v>15</v>
      </c>
      <c r="E106" s="2">
        <f t="shared" si="98"/>
        <v>2</v>
      </c>
      <c r="F106" s="2">
        <f t="shared" si="98"/>
        <v>0</v>
      </c>
      <c r="G106" s="2">
        <f t="shared" si="98"/>
        <v>8</v>
      </c>
      <c r="H106" s="2">
        <f t="shared" si="98"/>
        <v>5</v>
      </c>
      <c r="I106" s="2">
        <f t="shared" si="98"/>
        <v>39</v>
      </c>
      <c r="J106" s="2" t="str">
        <f t="shared" si="98"/>
        <v/>
      </c>
      <c r="K106" s="2" t="str">
        <f t="shared" si="98"/>
        <v/>
      </c>
      <c r="L106" s="2"/>
      <c r="M106" s="2" t="str">
        <f t="shared" ref="M106:S106" si="99">V46</f>
        <v/>
      </c>
      <c r="N106" s="2" t="str">
        <f t="shared" si="99"/>
        <v/>
      </c>
      <c r="O106" s="2" t="str">
        <f t="shared" si="99"/>
        <v/>
      </c>
      <c r="P106" s="2" t="str">
        <f t="shared" si="99"/>
        <v/>
      </c>
      <c r="Q106" s="2" t="str">
        <f t="shared" si="99"/>
        <v/>
      </c>
      <c r="R106" s="2" t="str">
        <f t="shared" si="99"/>
        <v/>
      </c>
      <c r="S106" s="2" t="str">
        <f t="shared" si="99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 t="str">
        <f t="shared" si="9"/>
        <v>Dli</v>
      </c>
      <c r="B107" s="178" t="str">
        <f t="shared" ref="B107:K107" si="100">L47</f>
        <v>Loss</v>
      </c>
      <c r="C107" s="2">
        <f t="shared" si="100"/>
        <v>5</v>
      </c>
      <c r="D107" s="2">
        <f t="shared" si="100"/>
        <v>17</v>
      </c>
      <c r="E107" s="2">
        <f t="shared" si="100"/>
        <v>4</v>
      </c>
      <c r="F107" s="2">
        <f t="shared" si="100"/>
        <v>1</v>
      </c>
      <c r="G107" s="2">
        <f t="shared" si="100"/>
        <v>12</v>
      </c>
      <c r="H107" s="2">
        <f t="shared" si="100"/>
        <v>0</v>
      </c>
      <c r="I107" s="2">
        <f t="shared" si="100"/>
        <v>38</v>
      </c>
      <c r="J107" s="2" t="str">
        <f t="shared" si="100"/>
        <v/>
      </c>
      <c r="K107" s="2" t="str">
        <f t="shared" si="100"/>
        <v/>
      </c>
      <c r="L107" s="2"/>
      <c r="M107" s="2" t="str">
        <f t="shared" ref="M107:S107" si="101">V47</f>
        <v/>
      </c>
      <c r="N107" s="2" t="str">
        <f t="shared" si="101"/>
        <v/>
      </c>
      <c r="O107" s="2" t="str">
        <f t="shared" si="101"/>
        <v/>
      </c>
      <c r="P107" s="2" t="str">
        <f t="shared" si="101"/>
        <v/>
      </c>
      <c r="Q107" s="2" t="str">
        <f t="shared" si="101"/>
        <v/>
      </c>
      <c r="R107" s="2" t="str">
        <f t="shared" si="101"/>
        <v/>
      </c>
      <c r="S107" s="2" t="str">
        <f t="shared" si="101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 t="str">
        <f t="shared" si="9"/>
        <v>Somil</v>
      </c>
      <c r="B108" s="178" t="str">
        <f t="shared" ref="B108:K108" si="102">L48</f>
        <v>Loss</v>
      </c>
      <c r="C108" s="2">
        <f t="shared" si="102"/>
        <v>2</v>
      </c>
      <c r="D108" s="2">
        <f t="shared" si="102"/>
        <v>15</v>
      </c>
      <c r="E108" s="2">
        <f t="shared" si="102"/>
        <v>4</v>
      </c>
      <c r="F108" s="2">
        <f t="shared" si="102"/>
        <v>0</v>
      </c>
      <c r="G108" s="2">
        <f t="shared" si="102"/>
        <v>11</v>
      </c>
      <c r="H108" s="2">
        <f t="shared" si="102"/>
        <v>0</v>
      </c>
      <c r="I108" s="2">
        <f t="shared" si="102"/>
        <v>41</v>
      </c>
      <c r="J108" s="2" t="str">
        <f t="shared" si="102"/>
        <v/>
      </c>
      <c r="K108" s="2" t="str">
        <f t="shared" si="102"/>
        <v/>
      </c>
      <c r="L108" s="2"/>
      <c r="M108" s="2" t="str">
        <f t="shared" ref="M108:S108" si="103">V48</f>
        <v/>
      </c>
      <c r="N108" s="2" t="str">
        <f t="shared" si="103"/>
        <v/>
      </c>
      <c r="O108" s="2" t="str">
        <f t="shared" si="103"/>
        <v/>
      </c>
      <c r="P108" s="2" t="str">
        <f t="shared" si="103"/>
        <v/>
      </c>
      <c r="Q108" s="2" t="str">
        <f t="shared" si="103"/>
        <v/>
      </c>
      <c r="R108" s="2" t="str">
        <f t="shared" si="103"/>
        <v/>
      </c>
      <c r="S108" s="2" t="str">
        <f t="shared" si="103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 t="str">
        <f t="shared" si="9"/>
        <v>VIshal</v>
      </c>
      <c r="B109" s="178" t="str">
        <f t="shared" ref="B109:K109" si="104">L49</f>
        <v>Loss</v>
      </c>
      <c r="C109" s="2" t="str">
        <f t="shared" si="104"/>
        <v/>
      </c>
      <c r="D109" s="2" t="str">
        <f t="shared" si="104"/>
        <v/>
      </c>
      <c r="E109" s="2" t="str">
        <f t="shared" si="104"/>
        <v/>
      </c>
      <c r="F109" s="2" t="str">
        <f t="shared" si="104"/>
        <v/>
      </c>
      <c r="G109" s="2" t="str">
        <f t="shared" si="104"/>
        <v/>
      </c>
      <c r="H109" s="2" t="str">
        <f t="shared" si="104"/>
        <v/>
      </c>
      <c r="I109" s="2" t="str">
        <f t="shared" si="104"/>
        <v/>
      </c>
      <c r="J109" s="2" t="str">
        <f t="shared" si="104"/>
        <v/>
      </c>
      <c r="K109" s="2" t="str">
        <f t="shared" si="104"/>
        <v/>
      </c>
      <c r="L109" s="2"/>
      <c r="M109" s="2" t="str">
        <f t="shared" ref="M109:S109" si="105">V49</f>
        <v/>
      </c>
      <c r="N109" s="2" t="str">
        <f t="shared" si="105"/>
        <v/>
      </c>
      <c r="O109" s="2" t="str">
        <f t="shared" si="105"/>
        <v/>
      </c>
      <c r="P109" s="2" t="str">
        <f t="shared" si="105"/>
        <v/>
      </c>
      <c r="Q109" s="2" t="str">
        <f t="shared" si="105"/>
        <v/>
      </c>
      <c r="R109" s="2" t="str">
        <f t="shared" si="105"/>
        <v/>
      </c>
      <c r="S109" s="2" t="str">
        <f t="shared" si="105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 t="str">
        <f t="shared" si="9"/>
        <v>Sam</v>
      </c>
      <c r="B110" s="178" t="str">
        <f t="shared" ref="B110:K110" si="106">L50</f>
        <v>Loss</v>
      </c>
      <c r="C110" s="2" t="str">
        <f t="shared" si="106"/>
        <v/>
      </c>
      <c r="D110" s="2" t="str">
        <f t="shared" si="106"/>
        <v/>
      </c>
      <c r="E110" s="2" t="str">
        <f t="shared" si="106"/>
        <v/>
      </c>
      <c r="F110" s="2" t="str">
        <f t="shared" si="106"/>
        <v/>
      </c>
      <c r="G110" s="2" t="str">
        <f t="shared" si="106"/>
        <v/>
      </c>
      <c r="H110" s="2" t="str">
        <f t="shared" si="106"/>
        <v/>
      </c>
      <c r="I110" s="2" t="str">
        <f t="shared" si="106"/>
        <v/>
      </c>
      <c r="J110" s="2" t="str">
        <f t="shared" si="106"/>
        <v/>
      </c>
      <c r="K110" s="2" t="str">
        <f t="shared" si="106"/>
        <v/>
      </c>
      <c r="L110" s="2"/>
      <c r="M110" s="2" t="str">
        <f t="shared" ref="M110:S110" si="107">V50</f>
        <v/>
      </c>
      <c r="N110" s="2" t="str">
        <f t="shared" si="107"/>
        <v/>
      </c>
      <c r="O110" s="2" t="str">
        <f t="shared" si="107"/>
        <v/>
      </c>
      <c r="P110" s="2" t="str">
        <f t="shared" si="107"/>
        <v/>
      </c>
      <c r="Q110" s="2" t="str">
        <f t="shared" si="107"/>
        <v/>
      </c>
      <c r="R110" s="2" t="str">
        <f t="shared" si="107"/>
        <v/>
      </c>
      <c r="S110" s="2" t="str">
        <f t="shared" si="107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 t="str">
        <f t="shared" si="9"/>
        <v>Charlie</v>
      </c>
      <c r="B111" s="178" t="str">
        <f t="shared" ref="B111:K111" si="108">L51</f>
        <v>Loss</v>
      </c>
      <c r="C111" s="2" t="str">
        <f t="shared" si="108"/>
        <v/>
      </c>
      <c r="D111" s="2" t="str">
        <f t="shared" si="108"/>
        <v/>
      </c>
      <c r="E111" s="2" t="str">
        <f t="shared" si="108"/>
        <v/>
      </c>
      <c r="F111" s="2" t="str">
        <f t="shared" si="108"/>
        <v/>
      </c>
      <c r="G111" s="2" t="str">
        <f t="shared" si="108"/>
        <v/>
      </c>
      <c r="H111" s="2" t="str">
        <f t="shared" si="108"/>
        <v/>
      </c>
      <c r="I111" s="2" t="str">
        <f t="shared" si="108"/>
        <v/>
      </c>
      <c r="J111" s="2" t="str">
        <f t="shared" si="108"/>
        <v/>
      </c>
      <c r="K111" s="2" t="str">
        <f t="shared" si="108"/>
        <v/>
      </c>
      <c r="L111" s="2"/>
      <c r="M111" s="2" t="str">
        <f t="shared" ref="M111:S111" si="109">V51</f>
        <v/>
      </c>
      <c r="N111" s="2" t="str">
        <f t="shared" si="109"/>
        <v/>
      </c>
      <c r="O111" s="2" t="str">
        <f t="shared" si="109"/>
        <v/>
      </c>
      <c r="P111" s="2" t="str">
        <f t="shared" si="109"/>
        <v/>
      </c>
      <c r="Q111" s="2" t="str">
        <f t="shared" si="109"/>
        <v/>
      </c>
      <c r="R111" s="2" t="str">
        <f t="shared" si="109"/>
        <v/>
      </c>
      <c r="S111" s="2" t="str">
        <f t="shared" si="109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176" t="str">
        <f t="shared" si="9"/>
        <v>Daniel</v>
      </c>
      <c r="B112" s="178" t="str">
        <f t="shared" ref="B112:K112" si="110">L52</f>
        <v>Loss</v>
      </c>
      <c r="C112" s="2" t="str">
        <f t="shared" si="110"/>
        <v/>
      </c>
      <c r="D112" s="2" t="str">
        <f t="shared" si="110"/>
        <v/>
      </c>
      <c r="E112" s="2" t="str">
        <f t="shared" si="110"/>
        <v/>
      </c>
      <c r="F112" s="2" t="str">
        <f t="shared" si="110"/>
        <v/>
      </c>
      <c r="G112" s="2" t="str">
        <f t="shared" si="110"/>
        <v/>
      </c>
      <c r="H112" s="2" t="str">
        <f t="shared" si="110"/>
        <v/>
      </c>
      <c r="I112" s="2" t="str">
        <f t="shared" si="110"/>
        <v/>
      </c>
      <c r="J112" s="2" t="str">
        <f t="shared" si="110"/>
        <v/>
      </c>
      <c r="K112" s="2" t="str">
        <f t="shared" si="110"/>
        <v/>
      </c>
      <c r="L112" s="2"/>
      <c r="M112" s="2" t="str">
        <f t="shared" ref="M112:S112" si="111">V52</f>
        <v/>
      </c>
      <c r="N112" s="2" t="str">
        <f t="shared" si="111"/>
        <v/>
      </c>
      <c r="O112" s="2" t="str">
        <f t="shared" si="111"/>
        <v/>
      </c>
      <c r="P112" s="2" t="str">
        <f t="shared" si="111"/>
        <v/>
      </c>
      <c r="Q112" s="2" t="str">
        <f t="shared" si="111"/>
        <v/>
      </c>
      <c r="R112" s="2" t="str">
        <f t="shared" si="111"/>
        <v/>
      </c>
      <c r="S112" s="2" t="str">
        <f t="shared" si="111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 t="str">
        <f t="shared" si="9"/>
        <v/>
      </c>
      <c r="B113" s="178" t="str">
        <f t="shared" ref="B113:K113" si="112">L53</f>
        <v>Loss</v>
      </c>
      <c r="C113" s="2" t="str">
        <f t="shared" si="112"/>
        <v/>
      </c>
      <c r="D113" s="2" t="str">
        <f t="shared" si="112"/>
        <v/>
      </c>
      <c r="E113" s="2" t="str">
        <f t="shared" si="112"/>
        <v/>
      </c>
      <c r="F113" s="2" t="str">
        <f t="shared" si="112"/>
        <v/>
      </c>
      <c r="G113" s="2" t="str">
        <f t="shared" si="112"/>
        <v/>
      </c>
      <c r="H113" s="2" t="str">
        <f t="shared" si="112"/>
        <v/>
      </c>
      <c r="I113" s="2" t="str">
        <f t="shared" si="112"/>
        <v/>
      </c>
      <c r="J113" s="2" t="str">
        <f t="shared" si="112"/>
        <v/>
      </c>
      <c r="K113" s="2" t="str">
        <f t="shared" si="112"/>
        <v/>
      </c>
      <c r="L113" s="2"/>
      <c r="M113" s="2" t="str">
        <f t="shared" ref="M113:S113" si="113">V53</f>
        <v/>
      </c>
      <c r="N113" s="2" t="str">
        <f t="shared" si="113"/>
        <v/>
      </c>
      <c r="O113" s="2" t="str">
        <f t="shared" si="113"/>
        <v/>
      </c>
      <c r="P113" s="2" t="str">
        <f t="shared" si="113"/>
        <v/>
      </c>
      <c r="Q113" s="2" t="str">
        <f t="shared" si="113"/>
        <v/>
      </c>
      <c r="R113" s="2" t="str">
        <f t="shared" si="113"/>
        <v/>
      </c>
      <c r="S113" s="2" t="str">
        <f t="shared" si="113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 t="str">
        <f t="shared" si="9"/>
        <v/>
      </c>
      <c r="B114" s="178" t="str">
        <f t="shared" ref="B114:K114" si="114">L54</f>
        <v>Loss</v>
      </c>
      <c r="C114" s="2" t="str">
        <f t="shared" si="114"/>
        <v/>
      </c>
      <c r="D114" s="2" t="str">
        <f t="shared" si="114"/>
        <v/>
      </c>
      <c r="E114" s="2" t="str">
        <f t="shared" si="114"/>
        <v/>
      </c>
      <c r="F114" s="2" t="str">
        <f t="shared" si="114"/>
        <v/>
      </c>
      <c r="G114" s="2" t="str">
        <f t="shared" si="114"/>
        <v/>
      </c>
      <c r="H114" s="2" t="str">
        <f t="shared" si="114"/>
        <v/>
      </c>
      <c r="I114" s="2" t="str">
        <f t="shared" si="114"/>
        <v/>
      </c>
      <c r="J114" s="2" t="str">
        <f t="shared" si="114"/>
        <v/>
      </c>
      <c r="K114" s="2" t="str">
        <f t="shared" si="114"/>
        <v/>
      </c>
      <c r="L114" s="2"/>
      <c r="M114" s="2" t="str">
        <f t="shared" ref="M114:S114" si="115">V54</f>
        <v/>
      </c>
      <c r="N114" s="2" t="str">
        <f t="shared" si="115"/>
        <v/>
      </c>
      <c r="O114" s="2" t="str">
        <f t="shared" si="115"/>
        <v/>
      </c>
      <c r="P114" s="2" t="str">
        <f t="shared" si="115"/>
        <v/>
      </c>
      <c r="Q114" s="2" t="str">
        <f t="shared" si="115"/>
        <v/>
      </c>
      <c r="R114" s="2" t="str">
        <f t="shared" si="115"/>
        <v/>
      </c>
      <c r="S114" s="2" t="str">
        <f t="shared" si="115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 t="str">
        <f t="shared" si="9"/>
        <v/>
      </c>
      <c r="B115" s="178" t="str">
        <f t="shared" ref="B115:K115" si="116">L55</f>
        <v>Loss</v>
      </c>
      <c r="C115" s="2" t="str">
        <f t="shared" si="116"/>
        <v/>
      </c>
      <c r="D115" s="2" t="str">
        <f t="shared" si="116"/>
        <v/>
      </c>
      <c r="E115" s="2" t="str">
        <f t="shared" si="116"/>
        <v/>
      </c>
      <c r="F115" s="2" t="str">
        <f t="shared" si="116"/>
        <v/>
      </c>
      <c r="G115" s="2" t="str">
        <f t="shared" si="116"/>
        <v/>
      </c>
      <c r="H115" s="2" t="str">
        <f t="shared" si="116"/>
        <v/>
      </c>
      <c r="I115" s="2" t="str">
        <f t="shared" si="116"/>
        <v/>
      </c>
      <c r="J115" s="2" t="str">
        <f t="shared" si="116"/>
        <v/>
      </c>
      <c r="K115" s="2" t="str">
        <f t="shared" si="116"/>
        <v/>
      </c>
      <c r="L115" s="2"/>
      <c r="M115" s="2" t="str">
        <f t="shared" ref="M115:S115" si="117">V55</f>
        <v/>
      </c>
      <c r="N115" s="2" t="str">
        <f t="shared" si="117"/>
        <v/>
      </c>
      <c r="O115" s="2" t="str">
        <f t="shared" si="117"/>
        <v/>
      </c>
      <c r="P115" s="2" t="str">
        <f t="shared" si="117"/>
        <v/>
      </c>
      <c r="Q115" s="2" t="str">
        <f t="shared" si="117"/>
        <v/>
      </c>
      <c r="R115" s="2" t="str">
        <f t="shared" si="117"/>
        <v/>
      </c>
      <c r="S115" s="2" t="str">
        <f t="shared" si="117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 t="str">
        <f t="shared" si="9"/>
        <v/>
      </c>
      <c r="B116" s="178" t="str">
        <f t="shared" ref="B116:K116" si="118">L56</f>
        <v>Loss</v>
      </c>
      <c r="C116" s="2" t="str">
        <f t="shared" si="118"/>
        <v/>
      </c>
      <c r="D116" s="2" t="str">
        <f t="shared" si="118"/>
        <v/>
      </c>
      <c r="E116" s="2" t="str">
        <f t="shared" si="118"/>
        <v/>
      </c>
      <c r="F116" s="2" t="str">
        <f t="shared" si="118"/>
        <v/>
      </c>
      <c r="G116" s="2" t="str">
        <f t="shared" si="118"/>
        <v/>
      </c>
      <c r="H116" s="2" t="str">
        <f t="shared" si="118"/>
        <v/>
      </c>
      <c r="I116" s="2" t="str">
        <f t="shared" si="118"/>
        <v/>
      </c>
      <c r="J116" s="2" t="str">
        <f t="shared" si="118"/>
        <v/>
      </c>
      <c r="K116" s="2" t="str">
        <f t="shared" si="118"/>
        <v/>
      </c>
      <c r="L116" s="2"/>
      <c r="M116" s="2" t="str">
        <f t="shared" ref="M116:S116" si="119">V56</f>
        <v/>
      </c>
      <c r="N116" s="2" t="str">
        <f t="shared" si="119"/>
        <v/>
      </c>
      <c r="O116" s="2" t="str">
        <f t="shared" si="119"/>
        <v/>
      </c>
      <c r="P116" s="2" t="str">
        <f t="shared" si="119"/>
        <v/>
      </c>
      <c r="Q116" s="2" t="str">
        <f t="shared" si="119"/>
        <v/>
      </c>
      <c r="R116" s="2" t="str">
        <f t="shared" si="119"/>
        <v/>
      </c>
      <c r="S116" s="2" t="str">
        <f t="shared" si="119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 t="str">
        <f t="shared" si="9"/>
        <v/>
      </c>
      <c r="B117" s="178" t="str">
        <f t="shared" ref="B117:K117" si="120">L57</f>
        <v>Loss</v>
      </c>
      <c r="C117" s="2" t="str">
        <f t="shared" si="120"/>
        <v/>
      </c>
      <c r="D117" s="2" t="str">
        <f t="shared" si="120"/>
        <v/>
      </c>
      <c r="E117" s="2" t="str">
        <f t="shared" si="120"/>
        <v/>
      </c>
      <c r="F117" s="2" t="str">
        <f t="shared" si="120"/>
        <v/>
      </c>
      <c r="G117" s="2" t="str">
        <f t="shared" si="120"/>
        <v/>
      </c>
      <c r="H117" s="2" t="str">
        <f t="shared" si="120"/>
        <v/>
      </c>
      <c r="I117" s="2" t="str">
        <f t="shared" si="120"/>
        <v/>
      </c>
      <c r="J117" s="2" t="str">
        <f t="shared" si="120"/>
        <v/>
      </c>
      <c r="K117" s="2" t="str">
        <f t="shared" si="120"/>
        <v/>
      </c>
      <c r="L117" s="2"/>
      <c r="M117" s="2" t="str">
        <f t="shared" ref="M117:S117" si="121">V57</f>
        <v/>
      </c>
      <c r="N117" s="2" t="str">
        <f t="shared" si="121"/>
        <v/>
      </c>
      <c r="O117" s="2" t="str">
        <f t="shared" si="121"/>
        <v/>
      </c>
      <c r="P117" s="2" t="str">
        <f t="shared" si="121"/>
        <v/>
      </c>
      <c r="Q117" s="2" t="str">
        <f t="shared" si="121"/>
        <v/>
      </c>
      <c r="R117" s="2" t="str">
        <f t="shared" si="121"/>
        <v/>
      </c>
      <c r="S117" s="2" t="str">
        <f t="shared" si="121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176" t="str">
        <f t="shared" si="9"/>
        <v>Pulled Cups</v>
      </c>
      <c r="B118" s="178" t="str">
        <f t="shared" ref="B118:K118" si="122">L58</f>
        <v/>
      </c>
      <c r="C118" s="2" t="str">
        <f t="shared" si="122"/>
        <v/>
      </c>
      <c r="D118" s="2">
        <f t="shared" si="122"/>
        <v>2</v>
      </c>
      <c r="E118" s="2" t="str">
        <f t="shared" si="122"/>
        <v/>
      </c>
      <c r="F118" s="2" t="str">
        <f t="shared" si="122"/>
        <v/>
      </c>
      <c r="G118" s="2" t="str">
        <f t="shared" si="122"/>
        <v/>
      </c>
      <c r="H118" s="2" t="str">
        <f t="shared" si="122"/>
        <v/>
      </c>
      <c r="I118" s="2" t="str">
        <f t="shared" si="122"/>
        <v/>
      </c>
      <c r="J118" s="2" t="str">
        <f t="shared" si="122"/>
        <v/>
      </c>
      <c r="K118" s="2" t="str">
        <f t="shared" si="122"/>
        <v/>
      </c>
      <c r="L118" s="2"/>
      <c r="M118" s="2" t="str">
        <f t="shared" ref="M118:S118" si="123">V58</f>
        <v/>
      </c>
      <c r="N118" s="2" t="str">
        <f t="shared" si="123"/>
        <v/>
      </c>
      <c r="O118" s="2" t="str">
        <f t="shared" si="123"/>
        <v/>
      </c>
      <c r="P118" s="2" t="str">
        <f t="shared" si="123"/>
        <v/>
      </c>
      <c r="Q118" s="2" t="str">
        <f t="shared" si="123"/>
        <v/>
      </c>
      <c r="R118" s="2" t="str">
        <f t="shared" si="123"/>
        <v/>
      </c>
      <c r="S118" s="2" t="str">
        <f t="shared" si="123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76" t="str">
        <f t="shared" si="9"/>
        <v>Total</v>
      </c>
      <c r="B119" s="178" t="str">
        <f t="shared" ref="B119:K119" si="124">L59</f>
        <v/>
      </c>
      <c r="C119" s="2" t="str">
        <f t="shared" si="124"/>
        <v/>
      </c>
      <c r="D119" s="129">
        <f t="shared" si="124"/>
        <v>99</v>
      </c>
      <c r="E119" s="2" t="str">
        <f t="shared" si="124"/>
        <v/>
      </c>
      <c r="F119" s="2" t="str">
        <f t="shared" si="124"/>
        <v/>
      </c>
      <c r="G119" s="2" t="str">
        <f t="shared" si="124"/>
        <v/>
      </c>
      <c r="H119" s="2" t="str">
        <f t="shared" si="124"/>
        <v/>
      </c>
      <c r="I119" s="128">
        <f t="shared" si="124"/>
        <v>0.2930513595</v>
      </c>
      <c r="J119" s="2" t="str">
        <f t="shared" si="124"/>
        <v/>
      </c>
      <c r="K119" s="2" t="str">
        <f t="shared" si="124"/>
        <v/>
      </c>
      <c r="L119" s="2"/>
      <c r="M119" s="2" t="str">
        <f t="shared" ref="M119:S119" si="125">V59</f>
        <v/>
      </c>
      <c r="N119" s="2" t="str">
        <f t="shared" si="125"/>
        <v/>
      </c>
      <c r="O119" s="2" t="str">
        <f t="shared" si="125"/>
        <v/>
      </c>
      <c r="P119" s="2" t="str">
        <f t="shared" si="125"/>
        <v/>
      </c>
      <c r="Q119" s="2" t="str">
        <f t="shared" si="125"/>
        <v/>
      </c>
      <c r="R119" s="2" t="str">
        <f t="shared" si="125"/>
        <v/>
      </c>
      <c r="S119" s="2" t="str">
        <f t="shared" si="125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 t="str">
        <f t="shared" si="9"/>
        <v/>
      </c>
      <c r="B120" s="2" t="str">
        <f t="shared" ref="B120:B175" si="128">M60</f>
        <v/>
      </c>
      <c r="C120" s="2" t="str">
        <f t="shared" ref="C120:K120" si="126">M60</f>
        <v/>
      </c>
      <c r="D120" s="2" t="str">
        <f t="shared" si="126"/>
        <v/>
      </c>
      <c r="E120" s="2" t="str">
        <f t="shared" si="126"/>
        <v/>
      </c>
      <c r="F120" s="2" t="str">
        <f t="shared" si="126"/>
        <v/>
      </c>
      <c r="G120" s="2" t="str">
        <f t="shared" si="126"/>
        <v/>
      </c>
      <c r="H120" s="2" t="str">
        <f t="shared" si="126"/>
        <v/>
      </c>
      <c r="I120" s="2" t="str">
        <f t="shared" si="126"/>
        <v/>
      </c>
      <c r="J120" s="2" t="str">
        <f t="shared" si="126"/>
        <v/>
      </c>
      <c r="K120" s="2" t="str">
        <f t="shared" si="126"/>
        <v/>
      </c>
      <c r="L120" s="2"/>
      <c r="M120" s="2" t="str">
        <f t="shared" ref="M120:S120" si="127">V60</f>
        <v/>
      </c>
      <c r="N120" s="2" t="str">
        <f t="shared" si="127"/>
        <v/>
      </c>
      <c r="O120" s="2" t="str">
        <f t="shared" si="127"/>
        <v/>
      </c>
      <c r="P120" s="2" t="str">
        <f t="shared" si="127"/>
        <v/>
      </c>
      <c r="Q120" s="2" t="str">
        <f t="shared" si="127"/>
        <v/>
      </c>
      <c r="R120" s="2" t="str">
        <f t="shared" si="127"/>
        <v/>
      </c>
      <c r="S120" s="2" t="str">
        <f t="shared" si="127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28"/>
        <v/>
      </c>
      <c r="C121" s="2" t="str">
        <f t="shared" ref="C121:K121" si="129">M61</f>
        <v/>
      </c>
      <c r="D121" s="2" t="str">
        <f t="shared" si="129"/>
        <v/>
      </c>
      <c r="E121" s="2" t="str">
        <f t="shared" si="129"/>
        <v/>
      </c>
      <c r="F121" s="2" t="str">
        <f t="shared" si="129"/>
        <v/>
      </c>
      <c r="G121" s="2" t="str">
        <f t="shared" si="129"/>
        <v/>
      </c>
      <c r="H121" s="2" t="str">
        <f t="shared" si="129"/>
        <v/>
      </c>
      <c r="I121" s="2" t="str">
        <f t="shared" si="129"/>
        <v/>
      </c>
      <c r="J121" s="2" t="str">
        <f t="shared" si="129"/>
        <v/>
      </c>
      <c r="K121" s="2" t="str">
        <f t="shared" si="129"/>
        <v/>
      </c>
      <c r="L121" s="2"/>
      <c r="M121" s="2" t="str">
        <f t="shared" ref="M121:S121" si="130">V61</f>
        <v/>
      </c>
      <c r="N121" s="2" t="str">
        <f t="shared" si="130"/>
        <v/>
      </c>
      <c r="O121" s="2" t="str">
        <f t="shared" si="130"/>
        <v/>
      </c>
      <c r="P121" s="2" t="str">
        <f t="shared" si="130"/>
        <v/>
      </c>
      <c r="Q121" s="2" t="str">
        <f t="shared" si="130"/>
        <v/>
      </c>
      <c r="R121" s="2" t="str">
        <f t="shared" si="130"/>
        <v/>
      </c>
      <c r="S121" s="2" t="str">
        <f t="shared" si="130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28"/>
        <v/>
      </c>
      <c r="C122" s="2" t="str">
        <f t="shared" ref="C122:K122" si="131">M62</f>
        <v/>
      </c>
      <c r="D122" s="2" t="str">
        <f t="shared" si="131"/>
        <v/>
      </c>
      <c r="E122" s="2" t="str">
        <f t="shared" si="131"/>
        <v/>
      </c>
      <c r="F122" s="2" t="str">
        <f t="shared" si="131"/>
        <v/>
      </c>
      <c r="G122" s="2" t="str">
        <f t="shared" si="131"/>
        <v/>
      </c>
      <c r="H122" s="2" t="str">
        <f t="shared" si="131"/>
        <v/>
      </c>
      <c r="I122" s="2" t="str">
        <f t="shared" si="131"/>
        <v/>
      </c>
      <c r="J122" s="2" t="str">
        <f t="shared" si="131"/>
        <v/>
      </c>
      <c r="K122" s="2" t="str">
        <f t="shared" si="131"/>
        <v/>
      </c>
      <c r="L122" s="2"/>
      <c r="M122" s="2" t="str">
        <f t="shared" ref="M122:S122" si="132">V62</f>
        <v/>
      </c>
      <c r="N122" s="2" t="str">
        <f t="shared" si="132"/>
        <v/>
      </c>
      <c r="O122" s="2" t="str">
        <f t="shared" si="132"/>
        <v/>
      </c>
      <c r="P122" s="2" t="str">
        <f t="shared" si="132"/>
        <v/>
      </c>
      <c r="Q122" s="2" t="str">
        <f t="shared" si="132"/>
        <v/>
      </c>
      <c r="R122" s="2" t="str">
        <f t="shared" si="132"/>
        <v/>
      </c>
      <c r="S122" s="2" t="str">
        <f t="shared" si="132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28"/>
        <v/>
      </c>
      <c r="C123" s="2" t="str">
        <f t="shared" ref="C123:K123" si="133">M63</f>
        <v/>
      </c>
      <c r="D123" s="2" t="str">
        <f t="shared" si="133"/>
        <v/>
      </c>
      <c r="E123" s="2" t="str">
        <f t="shared" si="133"/>
        <v/>
      </c>
      <c r="F123" s="2" t="str">
        <f t="shared" si="133"/>
        <v/>
      </c>
      <c r="G123" s="2" t="str">
        <f t="shared" si="133"/>
        <v/>
      </c>
      <c r="H123" s="2" t="str">
        <f t="shared" si="133"/>
        <v/>
      </c>
      <c r="I123" s="2" t="str">
        <f t="shared" si="133"/>
        <v/>
      </c>
      <c r="J123" s="2" t="str">
        <f t="shared" si="133"/>
        <v/>
      </c>
      <c r="K123" s="2" t="str">
        <f t="shared" si="133"/>
        <v/>
      </c>
      <c r="L123" s="2"/>
      <c r="M123" s="2" t="str">
        <f t="shared" ref="M123:S123" si="134">V63</f>
        <v/>
      </c>
      <c r="N123" s="2" t="str">
        <f t="shared" si="134"/>
        <v/>
      </c>
      <c r="O123" s="2" t="str">
        <f t="shared" si="134"/>
        <v/>
      </c>
      <c r="P123" s="2" t="str">
        <f t="shared" si="134"/>
        <v/>
      </c>
      <c r="Q123" s="2" t="str">
        <f t="shared" si="134"/>
        <v/>
      </c>
      <c r="R123" s="2" t="str">
        <f t="shared" si="134"/>
        <v/>
      </c>
      <c r="S123" s="2" t="str">
        <f t="shared" si="134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28"/>
        <v/>
      </c>
      <c r="C124" s="2" t="str">
        <f t="shared" ref="C124:K124" si="135">M64</f>
        <v/>
      </c>
      <c r="D124" s="2" t="str">
        <f t="shared" si="135"/>
        <v/>
      </c>
      <c r="E124" s="2" t="str">
        <f t="shared" si="135"/>
        <v/>
      </c>
      <c r="F124" s="2" t="str">
        <f t="shared" si="135"/>
        <v/>
      </c>
      <c r="G124" s="2" t="str">
        <f t="shared" si="135"/>
        <v/>
      </c>
      <c r="H124" s="2" t="str">
        <f t="shared" si="135"/>
        <v/>
      </c>
      <c r="I124" s="2" t="str">
        <f t="shared" si="135"/>
        <v/>
      </c>
      <c r="J124" s="2" t="str">
        <f t="shared" si="135"/>
        <v/>
      </c>
      <c r="K124" s="2" t="str">
        <f t="shared" si="135"/>
        <v/>
      </c>
      <c r="L124" s="2"/>
      <c r="M124" s="2" t="str">
        <f t="shared" ref="M124:S124" si="136">V64</f>
        <v/>
      </c>
      <c r="N124" s="2" t="str">
        <f t="shared" si="136"/>
        <v/>
      </c>
      <c r="O124" s="2" t="str">
        <f t="shared" si="136"/>
        <v/>
      </c>
      <c r="P124" s="2" t="str">
        <f t="shared" si="136"/>
        <v/>
      </c>
      <c r="Q124" s="2" t="str">
        <f t="shared" si="136"/>
        <v/>
      </c>
      <c r="R124" s="2" t="str">
        <f t="shared" si="136"/>
        <v/>
      </c>
      <c r="S124" s="2" t="str">
        <f t="shared" si="136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28"/>
        <v/>
      </c>
      <c r="C125" s="2" t="str">
        <f t="shared" ref="C125:K125" si="137">M65</f>
        <v/>
      </c>
      <c r="D125" s="2" t="str">
        <f t="shared" si="137"/>
        <v/>
      </c>
      <c r="E125" s="2" t="str">
        <f t="shared" si="137"/>
        <v/>
      </c>
      <c r="F125" s="2" t="str">
        <f t="shared" si="137"/>
        <v/>
      </c>
      <c r="G125" s="2" t="str">
        <f t="shared" si="137"/>
        <v/>
      </c>
      <c r="H125" s="2" t="str">
        <f t="shared" si="137"/>
        <v/>
      </c>
      <c r="I125" s="2" t="str">
        <f t="shared" si="137"/>
        <v/>
      </c>
      <c r="J125" s="2" t="str">
        <f t="shared" si="137"/>
        <v/>
      </c>
      <c r="K125" s="2" t="str">
        <f t="shared" si="137"/>
        <v/>
      </c>
      <c r="L125" s="2"/>
      <c r="M125" s="2" t="str">
        <f t="shared" ref="M125:S125" si="138">V65</f>
        <v/>
      </c>
      <c r="N125" s="2" t="str">
        <f t="shared" si="138"/>
        <v/>
      </c>
      <c r="O125" s="2" t="str">
        <f t="shared" si="138"/>
        <v/>
      </c>
      <c r="P125" s="2" t="str">
        <f t="shared" si="138"/>
        <v/>
      </c>
      <c r="Q125" s="2" t="str">
        <f t="shared" si="138"/>
        <v/>
      </c>
      <c r="R125" s="2" t="str">
        <f t="shared" si="138"/>
        <v/>
      </c>
      <c r="S125" s="2" t="str">
        <f t="shared" si="138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28"/>
        <v/>
      </c>
      <c r="C126" s="2" t="str">
        <f t="shared" ref="C126:K126" si="139">M66</f>
        <v/>
      </c>
      <c r="D126" s="2" t="str">
        <f t="shared" si="139"/>
        <v/>
      </c>
      <c r="E126" s="2" t="str">
        <f t="shared" si="139"/>
        <v/>
      </c>
      <c r="F126" s="2" t="str">
        <f t="shared" si="139"/>
        <v/>
      </c>
      <c r="G126" s="2" t="str">
        <f t="shared" si="139"/>
        <v/>
      </c>
      <c r="H126" s="2" t="str">
        <f t="shared" si="139"/>
        <v/>
      </c>
      <c r="I126" s="2" t="str">
        <f t="shared" si="139"/>
        <v/>
      </c>
      <c r="J126" s="2" t="str">
        <f t="shared" si="139"/>
        <v/>
      </c>
      <c r="K126" s="2" t="str">
        <f t="shared" si="139"/>
        <v/>
      </c>
      <c r="L126" s="2"/>
      <c r="M126" s="2" t="str">
        <f t="shared" ref="M126:S126" si="140">V66</f>
        <v/>
      </c>
      <c r="N126" s="2" t="str">
        <f t="shared" si="140"/>
        <v/>
      </c>
      <c r="O126" s="2" t="str">
        <f t="shared" si="140"/>
        <v/>
      </c>
      <c r="P126" s="2" t="str">
        <f t="shared" si="140"/>
        <v/>
      </c>
      <c r="Q126" s="2" t="str">
        <f t="shared" si="140"/>
        <v/>
      </c>
      <c r="R126" s="2" t="str">
        <f t="shared" si="140"/>
        <v/>
      </c>
      <c r="S126" s="2" t="str">
        <f t="shared" si="140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28"/>
        <v/>
      </c>
      <c r="C127" s="2" t="str">
        <f t="shared" ref="C127:K127" si="141">M67</f>
        <v/>
      </c>
      <c r="D127" s="2" t="str">
        <f t="shared" si="141"/>
        <v/>
      </c>
      <c r="E127" s="2" t="str">
        <f t="shared" si="141"/>
        <v/>
      </c>
      <c r="F127" s="2" t="str">
        <f t="shared" si="141"/>
        <v/>
      </c>
      <c r="G127" s="2" t="str">
        <f t="shared" si="141"/>
        <v/>
      </c>
      <c r="H127" s="2" t="str">
        <f t="shared" si="141"/>
        <v/>
      </c>
      <c r="I127" s="2" t="str">
        <f t="shared" si="141"/>
        <v/>
      </c>
      <c r="J127" s="2" t="str">
        <f t="shared" si="141"/>
        <v/>
      </c>
      <c r="K127" s="2" t="str">
        <f t="shared" si="141"/>
        <v/>
      </c>
      <c r="L127" s="2"/>
      <c r="M127" s="2" t="str">
        <f t="shared" ref="M127:S127" si="142">V67</f>
        <v/>
      </c>
      <c r="N127" s="2" t="str">
        <f t="shared" si="142"/>
        <v/>
      </c>
      <c r="O127" s="2" t="str">
        <f t="shared" si="142"/>
        <v/>
      </c>
      <c r="P127" s="2" t="str">
        <f t="shared" si="142"/>
        <v/>
      </c>
      <c r="Q127" s="2" t="str">
        <f t="shared" si="142"/>
        <v/>
      </c>
      <c r="R127" s="2" t="str">
        <f t="shared" si="142"/>
        <v/>
      </c>
      <c r="S127" s="2" t="str">
        <f t="shared" si="142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28"/>
        <v/>
      </c>
      <c r="C128" s="2" t="str">
        <f t="shared" ref="C128:K128" si="143">M68</f>
        <v/>
      </c>
      <c r="D128" s="2" t="str">
        <f t="shared" si="143"/>
        <v/>
      </c>
      <c r="E128" s="2" t="str">
        <f t="shared" si="143"/>
        <v/>
      </c>
      <c r="F128" s="2" t="str">
        <f t="shared" si="143"/>
        <v/>
      </c>
      <c r="G128" s="2" t="str">
        <f t="shared" si="143"/>
        <v/>
      </c>
      <c r="H128" s="2" t="str">
        <f t="shared" si="143"/>
        <v/>
      </c>
      <c r="I128" s="2" t="str">
        <f t="shared" si="143"/>
        <v/>
      </c>
      <c r="J128" s="2" t="str">
        <f t="shared" si="143"/>
        <v/>
      </c>
      <c r="K128" s="2" t="str">
        <f t="shared" si="143"/>
        <v/>
      </c>
      <c r="L128" s="2"/>
      <c r="M128" s="2" t="str">
        <f t="shared" ref="M128:S128" si="144">V68</f>
        <v/>
      </c>
      <c r="N128" s="2" t="str">
        <f t="shared" si="144"/>
        <v/>
      </c>
      <c r="O128" s="2" t="str">
        <f t="shared" si="144"/>
        <v/>
      </c>
      <c r="P128" s="2" t="str">
        <f t="shared" si="144"/>
        <v/>
      </c>
      <c r="Q128" s="2" t="str">
        <f t="shared" si="144"/>
        <v/>
      </c>
      <c r="R128" s="2" t="str">
        <f t="shared" si="144"/>
        <v/>
      </c>
      <c r="S128" s="2" t="str">
        <f t="shared" si="144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28"/>
        <v/>
      </c>
      <c r="C129" s="2" t="str">
        <f t="shared" ref="C129:K129" si="145">M69</f>
        <v/>
      </c>
      <c r="D129" s="2" t="str">
        <f t="shared" si="145"/>
        <v/>
      </c>
      <c r="E129" s="2" t="str">
        <f t="shared" si="145"/>
        <v/>
      </c>
      <c r="F129" s="2" t="str">
        <f t="shared" si="145"/>
        <v/>
      </c>
      <c r="G129" s="2" t="str">
        <f t="shared" si="145"/>
        <v/>
      </c>
      <c r="H129" s="2" t="str">
        <f t="shared" si="145"/>
        <v/>
      </c>
      <c r="I129" s="2" t="str">
        <f t="shared" si="145"/>
        <v/>
      </c>
      <c r="J129" s="2" t="str">
        <f t="shared" si="145"/>
        <v/>
      </c>
      <c r="K129" s="2" t="str">
        <f t="shared" si="145"/>
        <v/>
      </c>
      <c r="L129" s="2"/>
      <c r="M129" s="2" t="str">
        <f t="shared" ref="M129:S129" si="146">V69</f>
        <v/>
      </c>
      <c r="N129" s="2" t="str">
        <f t="shared" si="146"/>
        <v/>
      </c>
      <c r="O129" s="2" t="str">
        <f t="shared" si="146"/>
        <v/>
      </c>
      <c r="P129" s="2" t="str">
        <f t="shared" si="146"/>
        <v/>
      </c>
      <c r="Q129" s="2" t="str">
        <f t="shared" si="146"/>
        <v/>
      </c>
      <c r="R129" s="2" t="str">
        <f t="shared" si="146"/>
        <v/>
      </c>
      <c r="S129" s="2" t="str">
        <f t="shared" si="146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28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28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28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28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28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28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28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28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28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28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28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28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28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28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28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28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28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28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28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28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28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28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28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28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28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28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28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28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28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28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28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28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28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28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28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28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28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28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28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28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28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28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28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28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28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28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AB1000">
    <cfRule type="containsText" dxfId="2" priority="1" operator="containsText" text="Win">
      <formula>NOT(ISERROR(SEARCH(("Win"),(A1))))</formula>
    </cfRule>
  </conditionalFormatting>
  <conditionalFormatting sqref="A1:AB1000">
    <cfRule type="containsText" dxfId="3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Schedule'!C3</f>
        <v>Team C</v>
      </c>
      <c r="B1" s="2"/>
      <c r="C1" s="2"/>
      <c r="D1" s="2"/>
      <c r="E1" s="2" t="s">
        <v>145</v>
      </c>
      <c r="F1" s="166" t="str">
        <f>if(D19&gt;N19, "Win", if(D19&lt;N19, "Loss", ""))</f>
        <v>Loss</v>
      </c>
      <c r="G1" s="2"/>
      <c r="H1" s="17" t="s">
        <v>146</v>
      </c>
      <c r="I1" s="152">
        <f>D19-N19</f>
        <v>-22</v>
      </c>
      <c r="J1" s="167" t="s">
        <v>184</v>
      </c>
      <c r="K1" s="168" t="str">
        <f>'Full Schedule'!D3</f>
        <v>Migos</v>
      </c>
      <c r="L1" s="2"/>
      <c r="M1" s="2"/>
      <c r="N1" s="2"/>
      <c r="O1" s="17" t="s">
        <v>145</v>
      </c>
      <c r="P1" s="166" t="str">
        <f>if(N19&gt;D19, "Win", if(N19&lt;D19, "Loss", ""))</f>
        <v>Win</v>
      </c>
      <c r="Q1" s="2"/>
      <c r="R1" s="17" t="s">
        <v>146</v>
      </c>
      <c r="S1" s="152">
        <f>N19-D19</f>
        <v>22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Du</v>
      </c>
      <c r="B3" s="24" t="str">
        <f>F1</f>
        <v>Loss</v>
      </c>
      <c r="C3" s="24">
        <v>5.0</v>
      </c>
      <c r="D3" s="2">
        <f t="shared" ref="D3:D17" si="1">if(I3&gt;0, sum(E3:H3), "")</f>
        <v>12</v>
      </c>
      <c r="E3" s="24">
        <v>8.0</v>
      </c>
      <c r="F3" s="24">
        <v>0.0</v>
      </c>
      <c r="G3" s="24">
        <v>4.0</v>
      </c>
      <c r="H3" s="24">
        <v>0.0</v>
      </c>
      <c r="I3" s="24">
        <v>23.0</v>
      </c>
      <c r="J3" s="2"/>
      <c r="K3" s="2" t="str">
        <f t="array" ref="K3">xlookup($K$1, 'General Info'!$F$3:$K$3, 'General Info'!$F4:$K4)</f>
        <v>Arnav</v>
      </c>
      <c r="L3" s="24" t="str">
        <f>P1</f>
        <v>Win</v>
      </c>
      <c r="M3" s="24">
        <v>6.0</v>
      </c>
      <c r="N3" s="2">
        <f t="shared" ref="N3:N17" si="2">if(S3&gt;0, sum(O3:R3), "")</f>
        <v>20</v>
      </c>
      <c r="O3" s="24">
        <v>6.0</v>
      </c>
      <c r="P3" s="24">
        <v>1.0</v>
      </c>
      <c r="Q3" s="24">
        <v>13.0</v>
      </c>
      <c r="R3" s="24">
        <v>0.0</v>
      </c>
      <c r="S3" s="24">
        <v>21.0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Neo</v>
      </c>
      <c r="B4" s="24" t="str">
        <f>F1</f>
        <v>Loss</v>
      </c>
      <c r="C4" s="24">
        <v>1.0</v>
      </c>
      <c r="D4" s="2">
        <f t="shared" si="1"/>
        <v>8</v>
      </c>
      <c r="E4" s="24">
        <v>3.0</v>
      </c>
      <c r="F4" s="24">
        <v>0.0</v>
      </c>
      <c r="G4" s="24">
        <v>5.0</v>
      </c>
      <c r="H4" s="24">
        <v>0.0</v>
      </c>
      <c r="I4" s="24">
        <v>23.0</v>
      </c>
      <c r="J4" s="2"/>
      <c r="K4" s="2" t="str">
        <f t="array" ref="K4">xlookup($K$1, 'General Info'!$F$3:$K$3, 'General Info'!$F5:$K5)</f>
        <v>Brendan</v>
      </c>
      <c r="L4" s="24" t="str">
        <f>P1</f>
        <v>Win</v>
      </c>
      <c r="M4" s="24">
        <v>1.0</v>
      </c>
      <c r="N4" s="2">
        <f t="shared" si="2"/>
        <v>19</v>
      </c>
      <c r="O4" s="24">
        <v>9.0</v>
      </c>
      <c r="P4" s="24">
        <v>2.0</v>
      </c>
      <c r="Q4" s="24">
        <v>6.0</v>
      </c>
      <c r="R4" s="24">
        <v>2.0</v>
      </c>
      <c r="S4" s="24">
        <v>21.0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Fritz</v>
      </c>
      <c r="B5" s="2" t="str">
        <f>F1</f>
        <v>Loss</v>
      </c>
      <c r="C5" s="24">
        <v>6.0</v>
      </c>
      <c r="D5" s="2">
        <f t="shared" si="1"/>
        <v>26</v>
      </c>
      <c r="E5" s="24">
        <v>6.0</v>
      </c>
      <c r="F5" s="24">
        <v>6.0</v>
      </c>
      <c r="G5" s="24">
        <v>11.0</v>
      </c>
      <c r="H5" s="24">
        <v>3.0</v>
      </c>
      <c r="I5" s="24">
        <v>17.0</v>
      </c>
      <c r="J5" s="2"/>
      <c r="K5" s="2" t="str">
        <f t="array" ref="K5">xlookup($K$1, 'General Info'!$F$3:$K$3, 'General Info'!$F6:$K6)</f>
        <v>Kumbatovic</v>
      </c>
      <c r="L5" s="2" t="str">
        <f>P1</f>
        <v>Win</v>
      </c>
      <c r="M5" s="24">
        <v>2.0</v>
      </c>
      <c r="N5" s="2">
        <f t="shared" si="2"/>
        <v>12</v>
      </c>
      <c r="O5" s="24">
        <v>7.0</v>
      </c>
      <c r="P5" s="24">
        <v>3.0</v>
      </c>
      <c r="Q5" s="24">
        <v>1.0</v>
      </c>
      <c r="R5" s="24">
        <v>1.0</v>
      </c>
      <c r="S5" s="24">
        <v>24.0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Eric</v>
      </c>
      <c r="B6" s="24" t="str">
        <f>F1</f>
        <v>Loss</v>
      </c>
      <c r="C6" s="24">
        <v>4.0</v>
      </c>
      <c r="D6" s="2">
        <f t="shared" si="1"/>
        <v>12</v>
      </c>
      <c r="E6" s="24">
        <v>9.0</v>
      </c>
      <c r="F6" s="24">
        <v>0.0</v>
      </c>
      <c r="G6" s="24">
        <v>3.0</v>
      </c>
      <c r="H6" s="24">
        <v>0.0</v>
      </c>
      <c r="I6" s="24">
        <v>21.0</v>
      </c>
      <c r="J6" s="2"/>
      <c r="K6" s="2" t="str">
        <f t="array" ref="K6">xlookup($K$1, 'General Info'!$F$3:$K$3, 'General Info'!$F7:$K7)</f>
        <v>Paul</v>
      </c>
      <c r="L6" s="24" t="str">
        <f>P1</f>
        <v>Win</v>
      </c>
      <c r="M6" s="24">
        <v>5.0</v>
      </c>
      <c r="N6" s="2">
        <f t="shared" si="2"/>
        <v>17</v>
      </c>
      <c r="O6" s="24">
        <v>9.0</v>
      </c>
      <c r="P6" s="24">
        <v>0.0</v>
      </c>
      <c r="Q6" s="24">
        <v>8.0</v>
      </c>
      <c r="R6" s="24">
        <v>0.0</v>
      </c>
      <c r="S6" s="24">
        <v>22.0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Ilt</v>
      </c>
      <c r="B7" s="24" t="str">
        <f>F1</f>
        <v>Loss</v>
      </c>
      <c r="C7" s="24">
        <v>3.0</v>
      </c>
      <c r="D7" s="2">
        <f t="shared" si="1"/>
        <v>9</v>
      </c>
      <c r="E7" s="24">
        <v>2.0</v>
      </c>
      <c r="F7" s="24">
        <v>0.0</v>
      </c>
      <c r="G7" s="24">
        <v>7.0</v>
      </c>
      <c r="H7" s="24">
        <v>0.0</v>
      </c>
      <c r="I7" s="24">
        <v>22.0</v>
      </c>
      <c r="J7" s="2"/>
      <c r="K7" s="2" t="str">
        <f t="array" ref="K7">xlookup($K$1, 'General Info'!$F$3:$K$3, 'General Info'!$F8:$K8)</f>
        <v>Raymond</v>
      </c>
      <c r="L7" s="24" t="str">
        <f>P1</f>
        <v>Win</v>
      </c>
      <c r="M7" s="24"/>
      <c r="N7" s="2" t="str">
        <f t="shared" si="2"/>
        <v/>
      </c>
      <c r="O7" s="24"/>
      <c r="P7" s="24"/>
      <c r="Q7" s="24"/>
      <c r="R7" s="24"/>
      <c r="S7" s="24"/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Matvey</v>
      </c>
      <c r="B8" s="24" t="str">
        <f>F1</f>
        <v>Loss</v>
      </c>
      <c r="C8" s="24">
        <v>2.0</v>
      </c>
      <c r="D8" s="2">
        <f t="shared" si="1"/>
        <v>11</v>
      </c>
      <c r="E8" s="24">
        <v>5.0</v>
      </c>
      <c r="F8" s="24">
        <v>2.0</v>
      </c>
      <c r="G8" s="24">
        <v>4.0</v>
      </c>
      <c r="H8" s="24">
        <v>0.0</v>
      </c>
      <c r="I8" s="24">
        <v>23.0</v>
      </c>
      <c r="J8" s="2"/>
      <c r="K8" s="2" t="str">
        <f t="array" ref="K8">xlookup($K$1, 'General Info'!$F$3:$K$3, 'General Info'!$F9:$K9)</f>
        <v>TC</v>
      </c>
      <c r="L8" s="24" t="str">
        <f>P1</f>
        <v>Win</v>
      </c>
      <c r="M8" s="24">
        <v>4.0</v>
      </c>
      <c r="N8" s="2">
        <f t="shared" si="2"/>
        <v>14</v>
      </c>
      <c r="O8" s="24">
        <v>5.0</v>
      </c>
      <c r="P8" s="24">
        <v>0.0</v>
      </c>
      <c r="Q8" s="24">
        <v>9.0</v>
      </c>
      <c r="R8" s="24">
        <v>0.0</v>
      </c>
      <c r="S8" s="24">
        <v>22.0</v>
      </c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James</v>
      </c>
      <c r="B9" s="2" t="str">
        <f>F1</f>
        <v>Loss</v>
      </c>
      <c r="C9" s="2"/>
      <c r="D9" s="2" t="str">
        <f t="shared" si="1"/>
        <v/>
      </c>
      <c r="E9" s="2"/>
      <c r="F9" s="2"/>
      <c r="G9" s="2"/>
      <c r="H9" s="2"/>
      <c r="I9" s="2"/>
      <c r="J9" s="2"/>
      <c r="K9" s="2" t="str">
        <f t="array" ref="K9">xlookup($K$1, 'General Info'!$F$3:$K$3, 'General Info'!$F10:$K10)</f>
        <v>Kyi</v>
      </c>
      <c r="L9" s="2" t="str">
        <f>P1</f>
        <v>Win</v>
      </c>
      <c r="M9" s="24">
        <v>3.0</v>
      </c>
      <c r="N9" s="2">
        <f t="shared" si="2"/>
        <v>15</v>
      </c>
      <c r="O9" s="24">
        <v>2.0</v>
      </c>
      <c r="P9" s="24">
        <v>1.0</v>
      </c>
      <c r="Q9" s="24">
        <v>10.0</v>
      </c>
      <c r="R9" s="24">
        <v>2.0</v>
      </c>
      <c r="S9" s="24">
        <v>22.0</v>
      </c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Sebastian</v>
      </c>
      <c r="B10" s="24" t="str">
        <f>F1</f>
        <v>Loss</v>
      </c>
      <c r="C10" s="24"/>
      <c r="D10" s="2" t="str">
        <f t="shared" si="1"/>
        <v/>
      </c>
      <c r="E10" s="24"/>
      <c r="F10" s="24"/>
      <c r="G10" s="24"/>
      <c r="H10" s="24"/>
      <c r="I10" s="24"/>
      <c r="J10" s="2"/>
      <c r="K10" s="2" t="str">
        <f t="array" ref="K10">xlookup($K$1, 'General Info'!$F$3:$K$3, 'General Info'!$F11:$K11)</f>
        <v>Jwu</v>
      </c>
      <c r="L10" s="24" t="str">
        <f>P1</f>
        <v>Win</v>
      </c>
      <c r="M10" s="2"/>
      <c r="N10" s="2" t="str">
        <f t="shared" si="2"/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Erik</v>
      </c>
      <c r="B11" s="2" t="str">
        <f>F1</f>
        <v>Loss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Parker</v>
      </c>
      <c r="L11" s="2" t="str">
        <f>P1</f>
        <v>Win</v>
      </c>
      <c r="M11" s="2"/>
      <c r="N11" s="2" t="str">
        <f t="shared" si="2"/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>Jack</v>
      </c>
      <c r="B12" s="2" t="str">
        <f>F1</f>
        <v>Loss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>Henry</v>
      </c>
      <c r="L12" s="2" t="str">
        <f>P1</f>
        <v>Win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/>
      </c>
      <c r="B13" s="2" t="str">
        <f>F1</f>
        <v>Loss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>Ayush</v>
      </c>
      <c r="L13" s="2" t="str">
        <f>P1</f>
        <v>Win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Loss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Win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Loss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Win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Loss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Win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Loss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Win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27"/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27">
        <v>3.0</v>
      </c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78</v>
      </c>
      <c r="E19" s="2"/>
      <c r="F19" s="2"/>
      <c r="G19" s="2"/>
      <c r="H19" s="2"/>
      <c r="I19" s="174">
        <f>sum(D3:D17)/(sum(D3:D17)+sum(I3:I17))</f>
        <v>0.3768115942</v>
      </c>
      <c r="J19" s="2"/>
      <c r="K19" s="171" t="s">
        <v>152</v>
      </c>
      <c r="L19" s="172"/>
      <c r="M19" s="172"/>
      <c r="N19" s="173">
        <f>sum(N3:N18)</f>
        <v>100</v>
      </c>
      <c r="O19" s="2"/>
      <c r="P19" s="2"/>
      <c r="Q19" s="2"/>
      <c r="R19" s="2"/>
      <c r="S19" s="174">
        <f>sum(N3:N17)/(sum(N3:N17)+sum(S3:S17))</f>
        <v>0.423580786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Schedule'!C4</f>
        <v>Gargantuan</v>
      </c>
      <c r="B21" s="2"/>
      <c r="C21" s="2"/>
      <c r="D21" s="2"/>
      <c r="E21" s="2" t="s">
        <v>145</v>
      </c>
      <c r="F21" s="166" t="str">
        <f>if(D39&gt;N39, "Win", if(D39&lt;N39, "Loss", ""))</f>
        <v>Loss</v>
      </c>
      <c r="G21" s="2"/>
      <c r="H21" s="17" t="s">
        <v>146</v>
      </c>
      <c r="I21" s="152">
        <f>D39-N39</f>
        <v>-19</v>
      </c>
      <c r="J21" s="167" t="s">
        <v>184</v>
      </c>
      <c r="K21" s="165" t="str">
        <f>'Full Schedule'!D4</f>
        <v>Candice?</v>
      </c>
      <c r="L21" s="2"/>
      <c r="M21" s="2"/>
      <c r="N21" s="2"/>
      <c r="O21" s="17" t="s">
        <v>145</v>
      </c>
      <c r="P21" s="166" t="str">
        <f>if(N39&gt;D39, "Win", if(N39&lt;D39, "Loss", ""))</f>
        <v>Win</v>
      </c>
      <c r="Q21" s="2"/>
      <c r="R21" s="17" t="s">
        <v>146</v>
      </c>
      <c r="S21" s="152">
        <f>N39-D39</f>
        <v>19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Tyler</v>
      </c>
      <c r="B23" s="24" t="str">
        <f>F21</f>
        <v>Loss</v>
      </c>
      <c r="C23" s="2"/>
      <c r="D23" s="2">
        <f t="shared" ref="D23:D37" si="3">if(I23&gt;0, sum(E23:H23), "")</f>
        <v>11</v>
      </c>
      <c r="E23" s="24">
        <v>4.0</v>
      </c>
      <c r="F23" s="24">
        <v>0.0</v>
      </c>
      <c r="G23" s="24">
        <v>5.0</v>
      </c>
      <c r="H23" s="24">
        <v>2.0</v>
      </c>
      <c r="I23" s="24">
        <v>24.0</v>
      </c>
      <c r="J23" s="2"/>
      <c r="K23" s="2" t="str">
        <f t="array" ref="K23">xlookup($K$21, 'General Info'!$F$3:$K$3, 'General Info'!$F4:$K4)</f>
        <v>John</v>
      </c>
      <c r="L23" s="24" t="str">
        <f>P21</f>
        <v>Win</v>
      </c>
      <c r="M23" s="2"/>
      <c r="N23" s="2">
        <f t="shared" ref="N23:N37" si="4">if(S23&gt;0, sum(O23:R23), "")</f>
        <v>20</v>
      </c>
      <c r="O23" s="24">
        <v>3.0</v>
      </c>
      <c r="P23" s="24">
        <v>1.0</v>
      </c>
      <c r="Q23" s="24">
        <v>15.0</v>
      </c>
      <c r="R23" s="24">
        <v>1.0</v>
      </c>
      <c r="S23" s="24">
        <v>24.0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Lucas</v>
      </c>
      <c r="B24" s="24" t="str">
        <f>F21</f>
        <v>Loss</v>
      </c>
      <c r="C24" s="2"/>
      <c r="D24" s="2">
        <f t="shared" si="3"/>
        <v>19</v>
      </c>
      <c r="E24" s="24">
        <v>13.0</v>
      </c>
      <c r="F24" s="24">
        <v>2.0</v>
      </c>
      <c r="G24" s="24">
        <v>4.0</v>
      </c>
      <c r="H24" s="24">
        <v>0.0</v>
      </c>
      <c r="I24" s="24">
        <v>24.0</v>
      </c>
      <c r="J24" s="2"/>
      <c r="K24" s="2" t="str">
        <f t="array" ref="K24">xlookup($K$21, 'General Info'!$F$3:$K$3, 'General Info'!$F5:$K5)</f>
        <v>Cole</v>
      </c>
      <c r="L24" s="24" t="str">
        <f>P21</f>
        <v>Win</v>
      </c>
      <c r="M24" s="2"/>
      <c r="N24" s="2">
        <f t="shared" si="4"/>
        <v>13</v>
      </c>
      <c r="O24" s="24">
        <v>9.0</v>
      </c>
      <c r="P24" s="24">
        <v>1.0</v>
      </c>
      <c r="Q24" s="24">
        <v>3.0</v>
      </c>
      <c r="R24" s="24">
        <v>0.0</v>
      </c>
      <c r="S24" s="24">
        <v>24.0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Porco</v>
      </c>
      <c r="B25" s="2" t="str">
        <f>F21</f>
        <v>Loss</v>
      </c>
      <c r="C25" s="2"/>
      <c r="D25" s="2">
        <f t="shared" si="3"/>
        <v>11</v>
      </c>
      <c r="E25" s="24">
        <v>7.0</v>
      </c>
      <c r="F25" s="24">
        <v>1.0</v>
      </c>
      <c r="G25" s="24">
        <v>3.0</v>
      </c>
      <c r="H25" s="24">
        <v>0.0</v>
      </c>
      <c r="I25" s="24">
        <v>25.0</v>
      </c>
      <c r="J25" s="2"/>
      <c r="K25" s="2" t="str">
        <f t="array" ref="K25">xlookup($K$21, 'General Info'!$F$3:$K$3, 'General Info'!$F6:$K6)</f>
        <v>Dannegger</v>
      </c>
      <c r="L25" s="2" t="str">
        <f>P21</f>
        <v>Win</v>
      </c>
      <c r="M25" s="2"/>
      <c r="N25" s="2">
        <f t="shared" si="4"/>
        <v>22</v>
      </c>
      <c r="O25" s="24">
        <v>11.0</v>
      </c>
      <c r="P25" s="24">
        <v>2.0</v>
      </c>
      <c r="Q25" s="24">
        <v>8.0</v>
      </c>
      <c r="R25" s="24">
        <v>1.0</v>
      </c>
      <c r="S25" s="24">
        <v>24.0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Andy Yu</v>
      </c>
      <c r="B26" s="24" t="str">
        <f>F21</f>
        <v>Loss</v>
      </c>
      <c r="C26" s="2"/>
      <c r="D26" s="2">
        <f t="shared" si="3"/>
        <v>17</v>
      </c>
      <c r="E26" s="24">
        <v>9.0</v>
      </c>
      <c r="F26" s="24">
        <v>2.0</v>
      </c>
      <c r="G26" s="24">
        <v>5.0</v>
      </c>
      <c r="H26" s="24">
        <v>1.0</v>
      </c>
      <c r="I26" s="24">
        <v>23.0</v>
      </c>
      <c r="J26" s="2"/>
      <c r="K26" s="2" t="str">
        <f t="array" ref="K26">xlookup($K$21, 'General Info'!$F$3:$K$3, 'General Info'!$F7:$K7)</f>
        <v>KZ</v>
      </c>
      <c r="L26" s="24" t="str">
        <f>P21</f>
        <v>Win</v>
      </c>
      <c r="M26" s="2"/>
      <c r="N26" s="2">
        <f t="shared" si="4"/>
        <v>19</v>
      </c>
      <c r="O26" s="24">
        <v>9.0</v>
      </c>
      <c r="P26" s="24">
        <v>0.0</v>
      </c>
      <c r="Q26" s="24">
        <v>10.0</v>
      </c>
      <c r="R26" s="24">
        <v>0.0</v>
      </c>
      <c r="S26" s="24">
        <v>20.0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Dli</v>
      </c>
      <c r="B27" s="24" t="str">
        <f>F21</f>
        <v>Loss</v>
      </c>
      <c r="C27" s="2"/>
      <c r="D27" s="2">
        <f t="shared" si="3"/>
        <v>15</v>
      </c>
      <c r="E27" s="24">
        <v>3.0</v>
      </c>
      <c r="F27" s="24">
        <v>0.0</v>
      </c>
      <c r="G27" s="24">
        <v>11.0</v>
      </c>
      <c r="H27" s="24">
        <v>1.0</v>
      </c>
      <c r="I27" s="24">
        <v>22.0</v>
      </c>
      <c r="J27" s="2"/>
      <c r="K27" s="2" t="str">
        <f t="array" ref="K27">xlookup($K$21, 'General Info'!$F$3:$K$3, 'General Info'!$F8:$K8)</f>
        <v>Adi</v>
      </c>
      <c r="L27" s="24" t="str">
        <f>P21</f>
        <v>Win</v>
      </c>
      <c r="M27" s="2"/>
      <c r="N27" s="2">
        <f t="shared" si="4"/>
        <v>17</v>
      </c>
      <c r="O27" s="24">
        <v>9.0</v>
      </c>
      <c r="P27" s="24">
        <v>0.0</v>
      </c>
      <c r="Q27" s="24">
        <v>8.0</v>
      </c>
      <c r="R27" s="24">
        <v>0.0</v>
      </c>
      <c r="S27" s="24">
        <v>22.0</v>
      </c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Somil</v>
      </c>
      <c r="B28" s="24" t="str">
        <f>F21</f>
        <v>Loss</v>
      </c>
      <c r="C28" s="2"/>
      <c r="D28" s="2">
        <f t="shared" si="3"/>
        <v>8</v>
      </c>
      <c r="E28" s="24">
        <v>4.0</v>
      </c>
      <c r="F28" s="24">
        <v>0.0</v>
      </c>
      <c r="G28" s="24">
        <v>4.0</v>
      </c>
      <c r="H28" s="24">
        <v>0.0</v>
      </c>
      <c r="I28" s="24">
        <v>24.0</v>
      </c>
      <c r="J28" s="2"/>
      <c r="K28" s="2" t="str">
        <f t="array" ref="K28">xlookup($K$21, 'General Info'!$F$3:$K$3, 'General Info'!$F9:$K9)</f>
        <v>Gavin</v>
      </c>
      <c r="L28" s="24" t="str">
        <f>P21</f>
        <v>Win</v>
      </c>
      <c r="M28" s="2"/>
      <c r="N28" s="2">
        <f t="shared" si="4"/>
        <v>10</v>
      </c>
      <c r="O28" s="24">
        <v>0.0</v>
      </c>
      <c r="P28" s="24">
        <v>0.0</v>
      </c>
      <c r="Q28" s="24">
        <v>9.0</v>
      </c>
      <c r="R28" s="24">
        <v>1.0</v>
      </c>
      <c r="S28" s="24">
        <v>24.0</v>
      </c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VIshal</v>
      </c>
      <c r="B29" s="2" t="str">
        <f>F21</f>
        <v>Loss</v>
      </c>
      <c r="C29" s="2"/>
      <c r="D29" s="2" t="str">
        <f t="shared" si="3"/>
        <v/>
      </c>
      <c r="E29" s="2"/>
      <c r="F29" s="2"/>
      <c r="G29" s="2"/>
      <c r="H29" s="2"/>
      <c r="I29" s="2"/>
      <c r="J29" s="2"/>
      <c r="K29" s="2" t="str">
        <f t="array" ref="K29">xlookup($K$21, 'General Info'!$F$3:$K$3, 'General Info'!$F10:$K10)</f>
        <v>David</v>
      </c>
      <c r="L29" s="2" t="str">
        <f>P21</f>
        <v>Win</v>
      </c>
      <c r="M29" s="2"/>
      <c r="N29" s="2" t="str">
        <f t="shared" si="4"/>
        <v/>
      </c>
      <c r="O29" s="24"/>
      <c r="P29" s="24"/>
      <c r="Q29" s="24"/>
      <c r="R29" s="24"/>
      <c r="S29" s="24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Sam</v>
      </c>
      <c r="B30" s="24" t="str">
        <f>F21</f>
        <v>Loss</v>
      </c>
      <c r="C30" s="2"/>
      <c r="D30" s="2" t="str">
        <f t="shared" si="3"/>
        <v/>
      </c>
      <c r="E30" s="2"/>
      <c r="F30" s="2"/>
      <c r="G30" s="2"/>
      <c r="H30" s="2"/>
      <c r="I30" s="2"/>
      <c r="J30" s="2"/>
      <c r="K30" s="2" t="str">
        <f t="array" ref="K30">xlookup($K$21, 'General Info'!$F$3:$K$3, 'General Info'!$F11:$K11)</f>
        <v>Kento</v>
      </c>
      <c r="L30" s="24" t="str">
        <f>P21</f>
        <v>Win</v>
      </c>
      <c r="M30" s="2"/>
      <c r="N30" s="2" t="str">
        <f t="shared" si="4"/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Charlie</v>
      </c>
      <c r="B31" s="2" t="str">
        <f>F21</f>
        <v>Loss</v>
      </c>
      <c r="C31" s="2"/>
      <c r="D31" s="2" t="str">
        <f t="shared" si="3"/>
        <v/>
      </c>
      <c r="E31" s="2"/>
      <c r="F31" s="2"/>
      <c r="G31" s="2"/>
      <c r="H31" s="2"/>
      <c r="I31" s="2"/>
      <c r="J31" s="2"/>
      <c r="K31" s="2" t="str">
        <f t="array" ref="K31">xlookup($K$21, 'General Info'!$F$3:$K$3, 'General Info'!$F12:$K12)</f>
        <v>Jacob</v>
      </c>
      <c r="L31" s="2" t="str">
        <f>P21</f>
        <v>Win</v>
      </c>
      <c r="M31" s="2"/>
      <c r="N31" s="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>Daniel</v>
      </c>
      <c r="B32" s="2" t="str">
        <f>F21</f>
        <v>Loss</v>
      </c>
      <c r="C32" s="2"/>
      <c r="D32" s="2" t="str">
        <f t="shared" si="3"/>
        <v/>
      </c>
      <c r="E32" s="2"/>
      <c r="F32" s="2"/>
      <c r="G32" s="2"/>
      <c r="H32" s="2"/>
      <c r="I32" s="2"/>
      <c r="J32" s="2"/>
      <c r="K32" s="2" t="str">
        <f t="array" ref="K32">xlookup($K$21, 'General Info'!$F$3:$K$3, 'General Info'!$F13:$K13)</f>
        <v/>
      </c>
      <c r="L32" s="2" t="str">
        <f>P21</f>
        <v>Win</v>
      </c>
      <c r="M32" s="2"/>
      <c r="N32" s="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tr">
        <f t="array" ref="A33">xlookup($A$21, 'General Info'!$F$3:$K$3, 'General Info'!$F14:$K14)</f>
        <v/>
      </c>
      <c r="B33" s="2" t="str">
        <f>F21</f>
        <v>Loss</v>
      </c>
      <c r="C33" s="2"/>
      <c r="D33" s="2" t="str">
        <f t="shared" si="3"/>
        <v/>
      </c>
      <c r="E33" s="2"/>
      <c r="F33" s="2"/>
      <c r="G33" s="2"/>
      <c r="H33" s="2"/>
      <c r="I33" s="2"/>
      <c r="J33" s="2"/>
      <c r="K33" s="2" t="str">
        <f t="array" ref="K33">xlookup($K$21, 'General Info'!$F$3:$K$3, 'General Info'!$F14:$K14)</f>
        <v/>
      </c>
      <c r="L33" s="2" t="str">
        <f>P21</f>
        <v>Win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Loss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Win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Loss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Win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Loss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Win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Loss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Win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27"/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27">
        <v>-1.0</v>
      </c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81</v>
      </c>
      <c r="E39" s="2"/>
      <c r="F39" s="2"/>
      <c r="G39" s="2"/>
      <c r="H39" s="2"/>
      <c r="I39" s="174">
        <f>sum(D23:D37)/(sum(D23:D37)+sum(I23:I37))</f>
        <v>0.3632286996</v>
      </c>
      <c r="J39" s="2"/>
      <c r="K39" s="171" t="s">
        <v>152</v>
      </c>
      <c r="L39" s="172"/>
      <c r="M39" s="172"/>
      <c r="N39" s="173">
        <f>sum(N23:N38)</f>
        <v>100</v>
      </c>
      <c r="O39" s="2"/>
      <c r="P39" s="2"/>
      <c r="Q39" s="2"/>
      <c r="R39" s="2"/>
      <c r="S39" s="174">
        <f>sum(N23:N37)/(sum(N23:N37)+sum(S23:S37))</f>
        <v>0.4225941423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Schedule'!C5</f>
        <v>Team E</v>
      </c>
      <c r="B41" s="2"/>
      <c r="C41" s="2"/>
      <c r="D41" s="2"/>
      <c r="E41" s="2" t="s">
        <v>145</v>
      </c>
      <c r="F41" s="166" t="str">
        <f>if(D59&gt;N59, "Win", if(D59&lt;N59, "Loss", ""))</f>
        <v>Loss</v>
      </c>
      <c r="G41" s="2"/>
      <c r="H41" s="17" t="s">
        <v>146</v>
      </c>
      <c r="I41" s="152">
        <f>D59-N59</f>
        <v>-2</v>
      </c>
      <c r="J41" s="167" t="s">
        <v>184</v>
      </c>
      <c r="K41" s="165" t="str">
        <f>'Full Schedule'!D5</f>
        <v>Team F</v>
      </c>
      <c r="L41" s="2"/>
      <c r="M41" s="2"/>
      <c r="N41" s="2"/>
      <c r="O41" s="17" t="s">
        <v>145</v>
      </c>
      <c r="P41" s="166" t="str">
        <f>if(N59&gt;D59, "Win", if(N59&lt;D59, "Loss", ""))</f>
        <v>Win</v>
      </c>
      <c r="Q41" s="2"/>
      <c r="R41" s="17" t="s">
        <v>146</v>
      </c>
      <c r="S41" s="152">
        <f>N59-D59</f>
        <v>2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Guel</v>
      </c>
      <c r="B43" s="24" t="str">
        <f>F41</f>
        <v>Loss</v>
      </c>
      <c r="C43" s="24">
        <v>6.0</v>
      </c>
      <c r="D43" s="2">
        <f t="shared" ref="D43:D57" si="5">if(I43&gt;0, sum(E43:H43), "")</f>
        <v>20</v>
      </c>
      <c r="E43" s="24">
        <v>6.0</v>
      </c>
      <c r="F43" s="24">
        <v>3.0</v>
      </c>
      <c r="G43" s="24">
        <v>6.0</v>
      </c>
      <c r="H43" s="24">
        <v>5.0</v>
      </c>
      <c r="I43" s="24">
        <v>21.0</v>
      </c>
      <c r="J43" s="2"/>
      <c r="K43" s="2" t="str">
        <f t="array" ref="K43">xlookup($K$41, 'General Info'!$F$3:$K$3, 'General Info'!$F4:$K4)</f>
        <v>Jay</v>
      </c>
      <c r="L43" s="24" t="str">
        <f>P41</f>
        <v>Win</v>
      </c>
      <c r="M43" s="24">
        <v>6.0</v>
      </c>
      <c r="N43" s="2">
        <f t="shared" ref="N43:N57" si="6">if(S43&gt;0, sum(O43:R43), "")</f>
        <v>24</v>
      </c>
      <c r="O43" s="24">
        <v>8.0</v>
      </c>
      <c r="P43" s="24">
        <v>2.0</v>
      </c>
      <c r="Q43" s="24">
        <v>14.0</v>
      </c>
      <c r="R43" s="24">
        <v>0.0</v>
      </c>
      <c r="S43" s="24">
        <v>19.0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Pasha</v>
      </c>
      <c r="B44" s="24" t="str">
        <f>F41</f>
        <v>Loss</v>
      </c>
      <c r="C44" s="24">
        <v>2.0</v>
      </c>
      <c r="D44" s="2">
        <f t="shared" si="5"/>
        <v>23</v>
      </c>
      <c r="E44" s="24">
        <v>13.0</v>
      </c>
      <c r="F44" s="24">
        <v>0.0</v>
      </c>
      <c r="G44" s="24">
        <v>10.0</v>
      </c>
      <c r="H44" s="24">
        <v>0.0</v>
      </c>
      <c r="I44" s="24">
        <v>21.0</v>
      </c>
      <c r="J44" s="2"/>
      <c r="K44" s="2" t="str">
        <f t="array" ref="K44">xlookup($K$41, 'General Info'!$F$3:$K$3, 'General Info'!$F5:$K5)</f>
        <v>Schmid</v>
      </c>
      <c r="L44" s="24" t="str">
        <f>P41</f>
        <v>Win</v>
      </c>
      <c r="M44" s="24">
        <v>1.0</v>
      </c>
      <c r="N44" s="2">
        <f t="shared" si="6"/>
        <v>18</v>
      </c>
      <c r="O44" s="24">
        <v>13.0</v>
      </c>
      <c r="P44" s="24">
        <v>0.0</v>
      </c>
      <c r="Q44" s="24">
        <v>4.0</v>
      </c>
      <c r="R44" s="24">
        <v>1.0</v>
      </c>
      <c r="S44" s="24">
        <v>20.0</v>
      </c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Yost</v>
      </c>
      <c r="B45" s="2" t="str">
        <f>F41</f>
        <v>Loss</v>
      </c>
      <c r="C45" s="24">
        <v>4.0</v>
      </c>
      <c r="D45" s="2">
        <f t="shared" si="5"/>
        <v>14</v>
      </c>
      <c r="E45" s="24">
        <v>8.0</v>
      </c>
      <c r="F45" s="24">
        <v>1.0</v>
      </c>
      <c r="G45" s="24">
        <v>4.0</v>
      </c>
      <c r="H45" s="24">
        <v>1.0</v>
      </c>
      <c r="I45" s="24">
        <v>22.0</v>
      </c>
      <c r="J45" s="2"/>
      <c r="K45" s="2" t="str">
        <f t="array" ref="K45">xlookup($K$41, 'General Info'!$F$3:$K$3, 'General Info'!$F6:$K6)</f>
        <v>DC</v>
      </c>
      <c r="L45" s="2" t="str">
        <f>P41</f>
        <v>Win</v>
      </c>
      <c r="M45" s="24">
        <v>2.0</v>
      </c>
      <c r="N45" s="2">
        <f t="shared" si="6"/>
        <v>17</v>
      </c>
      <c r="O45" s="24">
        <v>8.0</v>
      </c>
      <c r="P45" s="24">
        <v>0.0</v>
      </c>
      <c r="Q45" s="24">
        <v>8.0</v>
      </c>
      <c r="R45" s="24">
        <v>1.0</v>
      </c>
      <c r="S45" s="24">
        <v>24.0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Sean</v>
      </c>
      <c r="B46" s="24" t="str">
        <f>F41</f>
        <v>Loss</v>
      </c>
      <c r="C46" s="24">
        <v>5.0</v>
      </c>
      <c r="D46" s="2">
        <f t="shared" si="5"/>
        <v>11</v>
      </c>
      <c r="E46" s="24">
        <v>5.0</v>
      </c>
      <c r="F46" s="24">
        <v>1.0</v>
      </c>
      <c r="G46" s="24">
        <v>4.0</v>
      </c>
      <c r="H46" s="24">
        <v>1.0</v>
      </c>
      <c r="I46" s="24">
        <v>22.0</v>
      </c>
      <c r="J46" s="2"/>
      <c r="K46" s="2" t="str">
        <f t="array" ref="K46">xlookup($K$41, 'General Info'!$F$3:$K$3, 'General Info'!$F7:$K7)</f>
        <v>Steven</v>
      </c>
      <c r="L46" s="24" t="str">
        <f>P41</f>
        <v>Win</v>
      </c>
      <c r="M46" s="24">
        <v>4.0</v>
      </c>
      <c r="N46" s="2">
        <f t="shared" si="6"/>
        <v>19</v>
      </c>
      <c r="O46" s="24">
        <v>0.0</v>
      </c>
      <c r="P46" s="24">
        <v>1.0</v>
      </c>
      <c r="Q46" s="24">
        <v>17.0</v>
      </c>
      <c r="R46" s="24">
        <v>1.0</v>
      </c>
      <c r="S46" s="24">
        <v>20.0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Samos</v>
      </c>
      <c r="B47" s="24" t="str">
        <f>F41</f>
        <v>Loss</v>
      </c>
      <c r="C47" s="24">
        <v>1.0</v>
      </c>
      <c r="D47" s="2">
        <f t="shared" si="5"/>
        <v>15</v>
      </c>
      <c r="E47" s="24">
        <v>4.0</v>
      </c>
      <c r="F47" s="24">
        <v>0.0</v>
      </c>
      <c r="G47" s="24">
        <v>11.0</v>
      </c>
      <c r="H47" s="24">
        <v>0.0</v>
      </c>
      <c r="I47" s="24">
        <v>24.0</v>
      </c>
      <c r="J47" s="2"/>
      <c r="K47" s="2" t="str">
        <f t="array" ref="K47">xlookup($K$41, 'General Info'!$F$3:$K$3, 'General Info'!$F8:$K8)</f>
        <v>Dave</v>
      </c>
      <c r="L47" s="24" t="str">
        <f>P41</f>
        <v>Win</v>
      </c>
      <c r="M47" s="24">
        <v>5.0</v>
      </c>
      <c r="N47" s="2">
        <f t="shared" si="6"/>
        <v>10</v>
      </c>
      <c r="O47" s="24">
        <v>6.0</v>
      </c>
      <c r="P47" s="24">
        <v>1.0</v>
      </c>
      <c r="Q47" s="24">
        <v>3.0</v>
      </c>
      <c r="R47" s="24">
        <v>0.0</v>
      </c>
      <c r="S47" s="24">
        <v>23.0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Soho</v>
      </c>
      <c r="B48" s="24" t="str">
        <f>F41</f>
        <v>Loss</v>
      </c>
      <c r="C48" s="24"/>
      <c r="D48" s="2" t="str">
        <f t="shared" si="5"/>
        <v/>
      </c>
      <c r="E48" s="24"/>
      <c r="F48" s="24"/>
      <c r="G48" s="24"/>
      <c r="H48" s="24"/>
      <c r="I48" s="24"/>
      <c r="J48" s="2"/>
      <c r="K48" s="2" t="str">
        <f t="array" ref="K48">xlookup($K$41, 'General Info'!$F$3:$K$3, 'General Info'!$F9:$K9)</f>
        <v>Lulu</v>
      </c>
      <c r="L48" s="24" t="str">
        <f>P41</f>
        <v>Win</v>
      </c>
      <c r="M48" s="24">
        <v>3.0</v>
      </c>
      <c r="N48" s="2">
        <f t="shared" si="6"/>
        <v>11</v>
      </c>
      <c r="O48" s="24">
        <v>5.0</v>
      </c>
      <c r="P48" s="24">
        <v>1.0</v>
      </c>
      <c r="Q48" s="24">
        <v>5.0</v>
      </c>
      <c r="R48" s="24">
        <v>0.0</v>
      </c>
      <c r="S48" s="24">
        <v>24.0</v>
      </c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Haldar</v>
      </c>
      <c r="B49" s="2" t="str">
        <f>F41</f>
        <v>Loss</v>
      </c>
      <c r="C49" s="2"/>
      <c r="D49" s="2" t="str">
        <f t="shared" si="5"/>
        <v/>
      </c>
      <c r="E49" s="2"/>
      <c r="F49" s="2"/>
      <c r="G49" s="2"/>
      <c r="H49" s="2"/>
      <c r="I49" s="2"/>
      <c r="J49" s="2"/>
      <c r="K49" s="2" t="str">
        <f t="array" ref="K49">xlookup($K$41, 'General Info'!$F$3:$K$3, 'General Info'!$F10:$K10)</f>
        <v>Will</v>
      </c>
      <c r="L49" s="2" t="str">
        <f>P41</f>
        <v>Win</v>
      </c>
      <c r="M49" s="24"/>
      <c r="N49" s="2" t="str">
        <f t="shared" si="6"/>
        <v/>
      </c>
      <c r="O49" s="24"/>
      <c r="P49" s="24"/>
      <c r="Q49" s="24"/>
      <c r="R49" s="24"/>
      <c r="S49" s="24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Dji</v>
      </c>
      <c r="B50" s="24" t="str">
        <f>F41</f>
        <v>Loss</v>
      </c>
      <c r="C50" s="24">
        <v>3.0</v>
      </c>
      <c r="D50" s="2">
        <f t="shared" si="5"/>
        <v>15</v>
      </c>
      <c r="E50" s="24">
        <v>3.0</v>
      </c>
      <c r="F50" s="24">
        <v>1.0</v>
      </c>
      <c r="G50" s="24">
        <v>9.0</v>
      </c>
      <c r="H50" s="24">
        <v>2.0</v>
      </c>
      <c r="I50" s="24">
        <v>23.0</v>
      </c>
      <c r="J50" s="2"/>
      <c r="K50" s="2" t="str">
        <f t="array" ref="K50">xlookup($K$41, 'General Info'!$F$3:$K$3, 'General Info'!$F11:$K11)</f>
        <v>Hershey</v>
      </c>
      <c r="L50" s="24" t="str">
        <f>P41</f>
        <v>Win</v>
      </c>
      <c r="M50" s="24"/>
      <c r="N50" s="2" t="str">
        <f t="shared" si="6"/>
        <v/>
      </c>
      <c r="O50" s="24"/>
      <c r="P50" s="24"/>
      <c r="Q50" s="24"/>
      <c r="R50" s="24"/>
      <c r="S50" s="24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Lubke</v>
      </c>
      <c r="B51" s="2" t="str">
        <f>F41</f>
        <v>Loss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Byun</v>
      </c>
      <c r="L51" s="2" t="str">
        <f>P41</f>
        <v>Win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David (pledge)</v>
      </c>
      <c r="B52" s="2" t="str">
        <f>F41</f>
        <v>Loss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Ted</v>
      </c>
      <c r="L52" s="2" t="str">
        <f>P41</f>
        <v>Win</v>
      </c>
      <c r="M52" s="2"/>
      <c r="N52" s="2" t="str">
        <f t="shared" si="6"/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>Will</v>
      </c>
      <c r="B53" s="2" t="str">
        <f>F41</f>
        <v>Loss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>Gio</v>
      </c>
      <c r="L53" s="2" t="str">
        <f>P41</f>
        <v>Win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Loss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Win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Loss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Win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Loss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Win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Loss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Win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175"/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175">
        <v>1.0</v>
      </c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98</v>
      </c>
      <c r="E59" s="2"/>
      <c r="F59" s="2"/>
      <c r="G59" s="2"/>
      <c r="H59" s="2"/>
      <c r="I59" s="174">
        <f>sum(D43:D57)/(sum(D43:D57)+sum(I43:I57))</f>
        <v>0.4242424242</v>
      </c>
      <c r="J59" s="2"/>
      <c r="K59" s="171" t="s">
        <v>152</v>
      </c>
      <c r="L59" s="172"/>
      <c r="M59" s="172"/>
      <c r="N59" s="173">
        <f>sum(N43:N58)</f>
        <v>100</v>
      </c>
      <c r="O59" s="2"/>
      <c r="P59" s="2"/>
      <c r="Q59" s="2"/>
      <c r="R59" s="2"/>
      <c r="S59" s="174">
        <f>sum(N43:N57)/(sum(N43:N57)+sum(S43:S57))</f>
        <v>0.4323144105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idden="1">
      <c r="A61" s="176" t="str">
        <f t="shared" ref="A61:A129" si="9">K1</f>
        <v>Migos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Win</v>
      </c>
      <c r="G61" s="2" t="str">
        <f t="shared" si="7"/>
        <v/>
      </c>
      <c r="H61" s="176" t="str">
        <f t="shared" si="7"/>
        <v>Margin</v>
      </c>
      <c r="I61" s="129">
        <f t="shared" si="7"/>
        <v>22</v>
      </c>
      <c r="J61" s="2" t="str">
        <f t="shared" si="7"/>
        <v/>
      </c>
      <c r="K61" s="2" t="str">
        <f t="shared" si="7"/>
        <v/>
      </c>
      <c r="L61" s="2"/>
      <c r="M61" s="2" t="str">
        <f t="shared" ref="M61:M129" si="11">V1</f>
        <v/>
      </c>
      <c r="N61" s="2" t="str">
        <f t="shared" ref="N61:N129" si="12">X1</f>
        <v/>
      </c>
      <c r="O61" s="2" t="str">
        <f t="shared" ref="O61:T61" si="8">X1</f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 hidden="1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176"/>
      <c r="M62" s="2" t="str">
        <f t="shared" si="11"/>
        <v/>
      </c>
      <c r="N62" s="176" t="str">
        <f t="shared" si="12"/>
        <v/>
      </c>
      <c r="O62" s="2" t="str">
        <f t="shared" ref="O62:S62" si="13">X2</f>
        <v/>
      </c>
      <c r="P62" s="2" t="str">
        <f t="shared" si="13"/>
        <v/>
      </c>
      <c r="Q62" s="2" t="str">
        <f t="shared" si="13"/>
        <v/>
      </c>
      <c r="R62" s="2" t="str">
        <f t="shared" si="13"/>
        <v/>
      </c>
      <c r="S62" s="2" t="str">
        <f t="shared" si="13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hidden="1">
      <c r="A63" s="178" t="str">
        <f t="shared" si="9"/>
        <v>Arnav</v>
      </c>
      <c r="B63" s="178" t="str">
        <f t="shared" ref="B63:K63" si="14">L3</f>
        <v>Win</v>
      </c>
      <c r="C63" s="178">
        <f t="shared" si="14"/>
        <v>6</v>
      </c>
      <c r="D63" s="178">
        <f t="shared" si="14"/>
        <v>20</v>
      </c>
      <c r="E63" s="178">
        <f t="shared" si="14"/>
        <v>6</v>
      </c>
      <c r="F63" s="178">
        <f t="shared" si="14"/>
        <v>1</v>
      </c>
      <c r="G63" s="178">
        <f t="shared" si="14"/>
        <v>13</v>
      </c>
      <c r="H63" s="178">
        <f t="shared" si="14"/>
        <v>0</v>
      </c>
      <c r="I63" s="178">
        <f t="shared" si="14"/>
        <v>21</v>
      </c>
      <c r="J63" s="2" t="str">
        <f t="shared" si="14"/>
        <v/>
      </c>
      <c r="K63" s="2" t="str">
        <f t="shared" si="14"/>
        <v/>
      </c>
      <c r="L63" s="2"/>
      <c r="M63" s="2" t="str">
        <f t="shared" si="11"/>
        <v/>
      </c>
      <c r="N63" s="2" t="str">
        <f t="shared" si="12"/>
        <v/>
      </c>
      <c r="O63" s="2" t="str">
        <f t="shared" ref="O63:S63" si="15">X3</f>
        <v/>
      </c>
      <c r="P63" s="2" t="str">
        <f t="shared" si="15"/>
        <v/>
      </c>
      <c r="Q63" s="2" t="str">
        <f t="shared" si="15"/>
        <v/>
      </c>
      <c r="R63" s="2" t="str">
        <f t="shared" si="15"/>
        <v/>
      </c>
      <c r="S63" s="2" t="str">
        <f t="shared" si="15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hidden="1">
      <c r="A64" s="178" t="str">
        <f t="shared" si="9"/>
        <v>Brendan</v>
      </c>
      <c r="B64" s="178" t="str">
        <f t="shared" ref="B64:K64" si="16">L4</f>
        <v>Win</v>
      </c>
      <c r="C64" s="178">
        <f t="shared" si="16"/>
        <v>1</v>
      </c>
      <c r="D64" s="178">
        <f t="shared" si="16"/>
        <v>19</v>
      </c>
      <c r="E64" s="178">
        <f t="shared" si="16"/>
        <v>9</v>
      </c>
      <c r="F64" s="178">
        <f t="shared" si="16"/>
        <v>2</v>
      </c>
      <c r="G64" s="178">
        <f t="shared" si="16"/>
        <v>6</v>
      </c>
      <c r="H64" s="178">
        <f t="shared" si="16"/>
        <v>2</v>
      </c>
      <c r="I64" s="178">
        <f t="shared" si="16"/>
        <v>21</v>
      </c>
      <c r="J64" s="2" t="str">
        <f t="shared" si="16"/>
        <v/>
      </c>
      <c r="K64" s="2" t="str">
        <f t="shared" si="16"/>
        <v/>
      </c>
      <c r="L64" s="2" t="str">
        <f t="shared" ref="L64:L175" si="19">W4</f>
        <v/>
      </c>
      <c r="M64" s="2" t="str">
        <f t="shared" si="11"/>
        <v/>
      </c>
      <c r="N64" s="2" t="str">
        <f t="shared" si="12"/>
        <v/>
      </c>
      <c r="O64" s="2" t="str">
        <f t="shared" ref="O64:S64" si="17">X4</f>
        <v/>
      </c>
      <c r="P64" s="2" t="str">
        <f t="shared" si="17"/>
        <v/>
      </c>
      <c r="Q64" s="2" t="str">
        <f t="shared" si="17"/>
        <v/>
      </c>
      <c r="R64" s="2" t="str">
        <f t="shared" si="17"/>
        <v/>
      </c>
      <c r="S64" s="2" t="str">
        <f t="shared" si="17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hidden="1">
      <c r="A65" s="178" t="str">
        <f t="shared" si="9"/>
        <v>Kumbatovic</v>
      </c>
      <c r="B65" s="178" t="str">
        <f t="shared" ref="B65:K65" si="18">L5</f>
        <v>Win</v>
      </c>
      <c r="C65" s="178">
        <f t="shared" si="18"/>
        <v>2</v>
      </c>
      <c r="D65" s="178">
        <f t="shared" si="18"/>
        <v>12</v>
      </c>
      <c r="E65" s="178">
        <f t="shared" si="18"/>
        <v>7</v>
      </c>
      <c r="F65" s="178">
        <f t="shared" si="18"/>
        <v>3</v>
      </c>
      <c r="G65" s="178">
        <f t="shared" si="18"/>
        <v>1</v>
      </c>
      <c r="H65" s="178">
        <f t="shared" si="18"/>
        <v>1</v>
      </c>
      <c r="I65" s="178">
        <f t="shared" si="18"/>
        <v>24</v>
      </c>
      <c r="J65" s="2" t="str">
        <f t="shared" si="18"/>
        <v/>
      </c>
      <c r="K65" s="2" t="str">
        <f t="shared" si="18"/>
        <v/>
      </c>
      <c r="L65" s="2" t="str">
        <f t="shared" si="19"/>
        <v/>
      </c>
      <c r="M65" s="2" t="str">
        <f t="shared" si="11"/>
        <v/>
      </c>
      <c r="N65" s="2" t="str">
        <f t="shared" si="12"/>
        <v/>
      </c>
      <c r="O65" s="2" t="str">
        <f t="shared" ref="O65:S65" si="20">X5</f>
        <v/>
      </c>
      <c r="P65" s="2" t="str">
        <f t="shared" si="20"/>
        <v/>
      </c>
      <c r="Q65" s="2" t="str">
        <f t="shared" si="20"/>
        <v/>
      </c>
      <c r="R65" s="2" t="str">
        <f t="shared" si="20"/>
        <v/>
      </c>
      <c r="S65" s="2" t="str">
        <f t="shared" si="20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hidden="1">
      <c r="A66" s="178" t="str">
        <f t="shared" si="9"/>
        <v>Paul</v>
      </c>
      <c r="B66" s="178" t="str">
        <f t="shared" ref="B66:K66" si="21">L6</f>
        <v>Win</v>
      </c>
      <c r="C66" s="178">
        <f t="shared" si="21"/>
        <v>5</v>
      </c>
      <c r="D66" s="178">
        <f t="shared" si="21"/>
        <v>17</v>
      </c>
      <c r="E66" s="178">
        <f t="shared" si="21"/>
        <v>9</v>
      </c>
      <c r="F66" s="178">
        <f t="shared" si="21"/>
        <v>0</v>
      </c>
      <c r="G66" s="178">
        <f t="shared" si="21"/>
        <v>8</v>
      </c>
      <c r="H66" s="178">
        <f t="shared" si="21"/>
        <v>0</v>
      </c>
      <c r="I66" s="178">
        <f t="shared" si="21"/>
        <v>22</v>
      </c>
      <c r="J66" s="2" t="str">
        <f t="shared" si="21"/>
        <v/>
      </c>
      <c r="K66" s="2" t="str">
        <f t="shared" si="21"/>
        <v/>
      </c>
      <c r="L66" s="2" t="str">
        <f t="shared" si="19"/>
        <v/>
      </c>
      <c r="M66" s="2" t="str">
        <f t="shared" si="11"/>
        <v/>
      </c>
      <c r="N66" s="2" t="str">
        <f t="shared" si="12"/>
        <v/>
      </c>
      <c r="O66" s="2" t="str">
        <f t="shared" ref="O66:S66" si="22">X6</f>
        <v/>
      </c>
      <c r="P66" s="2" t="str">
        <f t="shared" si="22"/>
        <v/>
      </c>
      <c r="Q66" s="2" t="str">
        <f t="shared" si="22"/>
        <v/>
      </c>
      <c r="R66" s="2" t="str">
        <f t="shared" si="22"/>
        <v/>
      </c>
      <c r="S66" s="2" t="str">
        <f t="shared" si="22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hidden="1">
      <c r="A67" s="178" t="str">
        <f t="shared" si="9"/>
        <v>Raymond</v>
      </c>
      <c r="B67" s="178" t="str">
        <f t="shared" ref="B67:K67" si="23">L7</f>
        <v>Win</v>
      </c>
      <c r="C67" s="178" t="str">
        <f t="shared" si="23"/>
        <v/>
      </c>
      <c r="D67" s="178" t="str">
        <f t="shared" si="23"/>
        <v/>
      </c>
      <c r="E67" s="178" t="str">
        <f t="shared" si="23"/>
        <v/>
      </c>
      <c r="F67" s="178" t="str">
        <f t="shared" si="23"/>
        <v/>
      </c>
      <c r="G67" s="178" t="str">
        <f t="shared" si="23"/>
        <v/>
      </c>
      <c r="H67" s="178" t="str">
        <f t="shared" si="23"/>
        <v/>
      </c>
      <c r="I67" s="178" t="str">
        <f t="shared" si="23"/>
        <v/>
      </c>
      <c r="J67" s="2" t="str">
        <f t="shared" si="23"/>
        <v/>
      </c>
      <c r="K67" s="2" t="str">
        <f t="shared" si="23"/>
        <v/>
      </c>
      <c r="L67" s="2" t="str">
        <f t="shared" si="19"/>
        <v/>
      </c>
      <c r="M67" s="2" t="str">
        <f t="shared" si="11"/>
        <v/>
      </c>
      <c r="N67" s="2" t="str">
        <f t="shared" si="12"/>
        <v/>
      </c>
      <c r="O67" s="2" t="str">
        <f t="shared" ref="O67:S67" si="24">X7</f>
        <v/>
      </c>
      <c r="P67" s="2" t="str">
        <f t="shared" si="24"/>
        <v/>
      </c>
      <c r="Q67" s="2" t="str">
        <f t="shared" si="24"/>
        <v/>
      </c>
      <c r="R67" s="2" t="str">
        <f t="shared" si="24"/>
        <v/>
      </c>
      <c r="S67" s="2" t="str">
        <f t="shared" si="2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hidden="1">
      <c r="A68" s="178" t="str">
        <f t="shared" si="9"/>
        <v>TC</v>
      </c>
      <c r="B68" s="178" t="str">
        <f t="shared" ref="B68:K68" si="25">L8</f>
        <v>Win</v>
      </c>
      <c r="C68" s="178">
        <f t="shared" si="25"/>
        <v>4</v>
      </c>
      <c r="D68" s="178">
        <f t="shared" si="25"/>
        <v>14</v>
      </c>
      <c r="E68" s="178">
        <f t="shared" si="25"/>
        <v>5</v>
      </c>
      <c r="F68" s="178">
        <f t="shared" si="25"/>
        <v>0</v>
      </c>
      <c r="G68" s="178">
        <f t="shared" si="25"/>
        <v>9</v>
      </c>
      <c r="H68" s="178">
        <f t="shared" si="25"/>
        <v>0</v>
      </c>
      <c r="I68" s="178">
        <f t="shared" si="25"/>
        <v>22</v>
      </c>
      <c r="J68" s="2" t="str">
        <f t="shared" si="25"/>
        <v/>
      </c>
      <c r="K68" s="2" t="str">
        <f t="shared" si="25"/>
        <v/>
      </c>
      <c r="L68" s="2" t="str">
        <f t="shared" si="19"/>
        <v/>
      </c>
      <c r="M68" s="2" t="str">
        <f t="shared" si="11"/>
        <v/>
      </c>
      <c r="N68" s="2" t="str">
        <f t="shared" si="12"/>
        <v/>
      </c>
      <c r="O68" s="2" t="str">
        <f t="shared" ref="O68:S68" si="26">X8</f>
        <v/>
      </c>
      <c r="P68" s="2" t="str">
        <f t="shared" si="26"/>
        <v/>
      </c>
      <c r="Q68" s="2" t="str">
        <f t="shared" si="26"/>
        <v/>
      </c>
      <c r="R68" s="2" t="str">
        <f t="shared" si="26"/>
        <v/>
      </c>
      <c r="S68" s="2" t="str">
        <f t="shared" si="26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hidden="1">
      <c r="A69" s="178" t="str">
        <f t="shared" si="9"/>
        <v>Kyi</v>
      </c>
      <c r="B69" s="178" t="str">
        <f t="shared" ref="B69:K69" si="27">L9</f>
        <v>Win</v>
      </c>
      <c r="C69" s="178">
        <f t="shared" si="27"/>
        <v>3</v>
      </c>
      <c r="D69" s="178">
        <f t="shared" si="27"/>
        <v>15</v>
      </c>
      <c r="E69" s="178">
        <f t="shared" si="27"/>
        <v>2</v>
      </c>
      <c r="F69" s="178">
        <f t="shared" si="27"/>
        <v>1</v>
      </c>
      <c r="G69" s="178">
        <f t="shared" si="27"/>
        <v>10</v>
      </c>
      <c r="H69" s="178">
        <f t="shared" si="27"/>
        <v>2</v>
      </c>
      <c r="I69" s="178">
        <f t="shared" si="27"/>
        <v>22</v>
      </c>
      <c r="J69" s="2" t="str">
        <f t="shared" si="27"/>
        <v/>
      </c>
      <c r="K69" s="2" t="str">
        <f t="shared" si="27"/>
        <v/>
      </c>
      <c r="L69" s="2" t="str">
        <f t="shared" si="19"/>
        <v/>
      </c>
      <c r="M69" s="2" t="str">
        <f t="shared" si="11"/>
        <v/>
      </c>
      <c r="N69" s="2" t="str">
        <f t="shared" si="12"/>
        <v/>
      </c>
      <c r="O69" s="2" t="str">
        <f t="shared" ref="O69:S69" si="28">X9</f>
        <v/>
      </c>
      <c r="P69" s="2" t="str">
        <f t="shared" si="28"/>
        <v/>
      </c>
      <c r="Q69" s="2" t="str">
        <f t="shared" si="28"/>
        <v/>
      </c>
      <c r="R69" s="2" t="str">
        <f t="shared" si="28"/>
        <v/>
      </c>
      <c r="S69" s="2" t="str">
        <f t="shared" si="28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hidden="1">
      <c r="A70" s="178" t="str">
        <f t="shared" si="9"/>
        <v>Jwu</v>
      </c>
      <c r="B70" s="178" t="str">
        <f t="shared" ref="B70:K70" si="29">L10</f>
        <v>Win</v>
      </c>
      <c r="C70" s="178" t="str">
        <f t="shared" si="29"/>
        <v/>
      </c>
      <c r="D70" s="178" t="str">
        <f t="shared" si="29"/>
        <v/>
      </c>
      <c r="E70" s="178" t="str">
        <f t="shared" si="29"/>
        <v/>
      </c>
      <c r="F70" s="178" t="str">
        <f t="shared" si="29"/>
        <v/>
      </c>
      <c r="G70" s="178" t="str">
        <f t="shared" si="29"/>
        <v/>
      </c>
      <c r="H70" s="178" t="str">
        <f t="shared" si="29"/>
        <v/>
      </c>
      <c r="I70" s="178" t="str">
        <f t="shared" si="29"/>
        <v/>
      </c>
      <c r="J70" s="2" t="str">
        <f t="shared" si="29"/>
        <v/>
      </c>
      <c r="K70" s="2" t="str">
        <f t="shared" si="29"/>
        <v/>
      </c>
      <c r="L70" s="2" t="str">
        <f t="shared" si="19"/>
        <v/>
      </c>
      <c r="M70" s="2" t="str">
        <f t="shared" si="11"/>
        <v/>
      </c>
      <c r="N70" s="2" t="str">
        <f t="shared" si="12"/>
        <v/>
      </c>
      <c r="O70" s="2" t="str">
        <f t="shared" ref="O70:S70" si="30">X10</f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2" t="str">
        <f t="shared" si="30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hidden="1">
      <c r="A71" s="178" t="str">
        <f t="shared" si="9"/>
        <v>Parker</v>
      </c>
      <c r="B71" s="178" t="str">
        <f t="shared" ref="B71:K71" si="31">L11</f>
        <v>Win</v>
      </c>
      <c r="C71" s="178" t="str">
        <f t="shared" si="31"/>
        <v/>
      </c>
      <c r="D71" s="178" t="str">
        <f t="shared" si="31"/>
        <v/>
      </c>
      <c r="E71" s="178" t="str">
        <f t="shared" si="31"/>
        <v/>
      </c>
      <c r="F71" s="178" t="str">
        <f t="shared" si="31"/>
        <v/>
      </c>
      <c r="G71" s="178" t="str">
        <f t="shared" si="31"/>
        <v/>
      </c>
      <c r="H71" s="178" t="str">
        <f t="shared" si="31"/>
        <v/>
      </c>
      <c r="I71" s="178" t="str">
        <f t="shared" si="31"/>
        <v/>
      </c>
      <c r="J71" s="2" t="str">
        <f t="shared" si="31"/>
        <v/>
      </c>
      <c r="K71" s="2" t="str">
        <f t="shared" si="31"/>
        <v/>
      </c>
      <c r="L71" s="2" t="str">
        <f t="shared" si="19"/>
        <v/>
      </c>
      <c r="M71" s="2" t="str">
        <f t="shared" si="11"/>
        <v/>
      </c>
      <c r="N71" s="2" t="str">
        <f t="shared" si="12"/>
        <v/>
      </c>
      <c r="O71" s="2" t="str">
        <f t="shared" ref="O71:S71" si="32">X11</f>
        <v/>
      </c>
      <c r="P71" s="2" t="str">
        <f t="shared" si="32"/>
        <v/>
      </c>
      <c r="Q71" s="2" t="str">
        <f t="shared" si="32"/>
        <v/>
      </c>
      <c r="R71" s="2" t="str">
        <f t="shared" si="32"/>
        <v/>
      </c>
      <c r="S71" s="2" t="str">
        <f t="shared" si="32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hidden="1">
      <c r="A72" s="178" t="str">
        <f t="shared" si="9"/>
        <v>Henry</v>
      </c>
      <c r="B72" s="178" t="str">
        <f t="shared" ref="B72:K72" si="33">L12</f>
        <v>Win</v>
      </c>
      <c r="C72" s="178" t="str">
        <f t="shared" si="33"/>
        <v/>
      </c>
      <c r="D72" s="178" t="str">
        <f t="shared" si="33"/>
        <v/>
      </c>
      <c r="E72" s="178" t="str">
        <f t="shared" si="33"/>
        <v/>
      </c>
      <c r="F72" s="178" t="str">
        <f t="shared" si="33"/>
        <v/>
      </c>
      <c r="G72" s="178" t="str">
        <f t="shared" si="33"/>
        <v/>
      </c>
      <c r="H72" s="178" t="str">
        <f t="shared" si="33"/>
        <v/>
      </c>
      <c r="I72" s="178" t="str">
        <f t="shared" si="33"/>
        <v/>
      </c>
      <c r="J72" s="2" t="str">
        <f t="shared" si="33"/>
        <v/>
      </c>
      <c r="K72" s="2" t="str">
        <f t="shared" si="33"/>
        <v/>
      </c>
      <c r="L72" s="2" t="str">
        <f t="shared" si="19"/>
        <v/>
      </c>
      <c r="M72" s="2" t="str">
        <f t="shared" si="11"/>
        <v/>
      </c>
      <c r="N72" s="2" t="str">
        <f t="shared" si="12"/>
        <v/>
      </c>
      <c r="O72" s="2" t="str">
        <f t="shared" ref="O72:S72" si="34">X12</f>
        <v/>
      </c>
      <c r="P72" s="2" t="str">
        <f t="shared" si="34"/>
        <v/>
      </c>
      <c r="Q72" s="2" t="str">
        <f t="shared" si="34"/>
        <v/>
      </c>
      <c r="R72" s="2" t="str">
        <f t="shared" si="34"/>
        <v/>
      </c>
      <c r="S72" s="2" t="str">
        <f t="shared" si="3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hidden="1">
      <c r="A73" s="178" t="str">
        <f t="shared" si="9"/>
        <v>Ayush</v>
      </c>
      <c r="B73" s="178" t="str">
        <f t="shared" ref="B73:K73" si="35">L13</f>
        <v>Win</v>
      </c>
      <c r="C73" s="178" t="str">
        <f t="shared" si="35"/>
        <v/>
      </c>
      <c r="D73" s="178" t="str">
        <f t="shared" si="35"/>
        <v/>
      </c>
      <c r="E73" s="178" t="str">
        <f t="shared" si="35"/>
        <v/>
      </c>
      <c r="F73" s="178" t="str">
        <f t="shared" si="35"/>
        <v/>
      </c>
      <c r="G73" s="178" t="str">
        <f t="shared" si="35"/>
        <v/>
      </c>
      <c r="H73" s="178" t="str">
        <f t="shared" si="35"/>
        <v/>
      </c>
      <c r="I73" s="178" t="str">
        <f t="shared" si="35"/>
        <v/>
      </c>
      <c r="J73" s="2" t="str">
        <f t="shared" si="35"/>
        <v/>
      </c>
      <c r="K73" s="2" t="str">
        <f t="shared" si="35"/>
        <v/>
      </c>
      <c r="L73" s="2" t="str">
        <f t="shared" si="19"/>
        <v/>
      </c>
      <c r="M73" s="2" t="str">
        <f t="shared" si="11"/>
        <v/>
      </c>
      <c r="N73" s="2" t="str">
        <f t="shared" si="12"/>
        <v/>
      </c>
      <c r="O73" s="2" t="str">
        <f t="shared" ref="O73:S73" si="36">X13</f>
        <v/>
      </c>
      <c r="P73" s="2" t="str">
        <f t="shared" si="36"/>
        <v/>
      </c>
      <c r="Q73" s="2" t="str">
        <f t="shared" si="36"/>
        <v/>
      </c>
      <c r="R73" s="2" t="str">
        <f t="shared" si="36"/>
        <v/>
      </c>
      <c r="S73" s="2" t="str">
        <f t="shared" si="36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hidden="1">
      <c r="A74" s="178" t="str">
        <f t="shared" si="9"/>
        <v/>
      </c>
      <c r="B74" s="178" t="str">
        <f t="shared" ref="B74:K74" si="37">L14</f>
        <v>Win</v>
      </c>
      <c r="C74" s="178" t="str">
        <f t="shared" si="37"/>
        <v/>
      </c>
      <c r="D74" s="178" t="str">
        <f t="shared" si="37"/>
        <v/>
      </c>
      <c r="E74" s="178" t="str">
        <f t="shared" si="37"/>
        <v/>
      </c>
      <c r="F74" s="178" t="str">
        <f t="shared" si="37"/>
        <v/>
      </c>
      <c r="G74" s="178" t="str">
        <f t="shared" si="37"/>
        <v/>
      </c>
      <c r="H74" s="178" t="str">
        <f t="shared" si="37"/>
        <v/>
      </c>
      <c r="I74" s="178" t="str">
        <f t="shared" si="37"/>
        <v/>
      </c>
      <c r="J74" s="2" t="str">
        <f t="shared" si="37"/>
        <v/>
      </c>
      <c r="K74" s="2" t="str">
        <f t="shared" si="37"/>
        <v/>
      </c>
      <c r="L74" s="2" t="str">
        <f t="shared" si="19"/>
        <v/>
      </c>
      <c r="M74" s="2" t="str">
        <f t="shared" si="11"/>
        <v/>
      </c>
      <c r="N74" s="2" t="str">
        <f t="shared" si="12"/>
        <v/>
      </c>
      <c r="O74" s="2" t="str">
        <f t="shared" ref="O74:S74" si="38">X14</f>
        <v/>
      </c>
      <c r="P74" s="2" t="str">
        <f t="shared" si="38"/>
        <v/>
      </c>
      <c r="Q74" s="2" t="str">
        <f t="shared" si="38"/>
        <v/>
      </c>
      <c r="R74" s="2" t="str">
        <f t="shared" si="38"/>
        <v/>
      </c>
      <c r="S74" s="2" t="str">
        <f t="shared" si="38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hidden="1">
      <c r="A75" s="178" t="str">
        <f t="shared" si="9"/>
        <v/>
      </c>
      <c r="B75" s="178" t="str">
        <f t="shared" ref="B75:K75" si="39">L15</f>
        <v>Win</v>
      </c>
      <c r="C75" s="178" t="str">
        <f t="shared" si="39"/>
        <v/>
      </c>
      <c r="D75" s="178" t="str">
        <f t="shared" si="39"/>
        <v/>
      </c>
      <c r="E75" s="178" t="str">
        <f t="shared" si="39"/>
        <v/>
      </c>
      <c r="F75" s="178" t="str">
        <f t="shared" si="39"/>
        <v/>
      </c>
      <c r="G75" s="178" t="str">
        <f t="shared" si="39"/>
        <v/>
      </c>
      <c r="H75" s="178" t="str">
        <f t="shared" si="39"/>
        <v/>
      </c>
      <c r="I75" s="178" t="str">
        <f t="shared" si="39"/>
        <v/>
      </c>
      <c r="J75" s="2" t="str">
        <f t="shared" si="39"/>
        <v/>
      </c>
      <c r="K75" s="2" t="str">
        <f t="shared" si="39"/>
        <v/>
      </c>
      <c r="L75" s="2" t="str">
        <f t="shared" si="19"/>
        <v/>
      </c>
      <c r="M75" s="2" t="str">
        <f t="shared" si="11"/>
        <v/>
      </c>
      <c r="N75" s="2" t="str">
        <f t="shared" si="12"/>
        <v/>
      </c>
      <c r="O75" s="2" t="str">
        <f t="shared" ref="O75:S75" si="40">X15</f>
        <v/>
      </c>
      <c r="P75" s="2" t="str">
        <f t="shared" si="40"/>
        <v/>
      </c>
      <c r="Q75" s="2" t="str">
        <f t="shared" si="40"/>
        <v/>
      </c>
      <c r="R75" s="2" t="str">
        <f t="shared" si="40"/>
        <v/>
      </c>
      <c r="S75" s="2" t="str">
        <f t="shared" si="40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hidden="1">
      <c r="A76" s="178" t="str">
        <f t="shared" si="9"/>
        <v/>
      </c>
      <c r="B76" s="178" t="str">
        <f t="shared" ref="B76:K76" si="41">L16</f>
        <v>Win</v>
      </c>
      <c r="C76" s="178" t="str">
        <f t="shared" si="41"/>
        <v/>
      </c>
      <c r="D76" s="178" t="str">
        <f t="shared" si="41"/>
        <v/>
      </c>
      <c r="E76" s="178" t="str">
        <f t="shared" si="41"/>
        <v/>
      </c>
      <c r="F76" s="178" t="str">
        <f t="shared" si="41"/>
        <v/>
      </c>
      <c r="G76" s="178" t="str">
        <f t="shared" si="41"/>
        <v/>
      </c>
      <c r="H76" s="178" t="str">
        <f t="shared" si="41"/>
        <v/>
      </c>
      <c r="I76" s="178" t="str">
        <f t="shared" si="41"/>
        <v/>
      </c>
      <c r="J76" s="2" t="str">
        <f t="shared" si="41"/>
        <v/>
      </c>
      <c r="K76" s="2" t="str">
        <f t="shared" si="41"/>
        <v/>
      </c>
      <c r="L76" s="2" t="str">
        <f t="shared" si="19"/>
        <v/>
      </c>
      <c r="M76" s="2" t="str">
        <f t="shared" si="11"/>
        <v/>
      </c>
      <c r="N76" s="2" t="str">
        <f t="shared" si="12"/>
        <v/>
      </c>
      <c r="O76" s="2" t="str">
        <f t="shared" ref="O76:S76" si="42">X16</f>
        <v/>
      </c>
      <c r="P76" s="2" t="str">
        <f t="shared" si="42"/>
        <v/>
      </c>
      <c r="Q76" s="2" t="str">
        <f t="shared" si="42"/>
        <v/>
      </c>
      <c r="R76" s="2" t="str">
        <f t="shared" si="42"/>
        <v/>
      </c>
      <c r="S76" s="2" t="str">
        <f t="shared" si="42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hidden="1">
      <c r="A77" s="178" t="str">
        <f t="shared" si="9"/>
        <v/>
      </c>
      <c r="B77" s="178" t="str">
        <f t="shared" ref="B77:K77" si="43">L17</f>
        <v>Win</v>
      </c>
      <c r="C77" s="178" t="str">
        <f t="shared" si="43"/>
        <v/>
      </c>
      <c r="D77" s="178" t="str">
        <f t="shared" si="43"/>
        <v/>
      </c>
      <c r="E77" s="178" t="str">
        <f t="shared" si="43"/>
        <v/>
      </c>
      <c r="F77" s="178" t="str">
        <f t="shared" si="43"/>
        <v/>
      </c>
      <c r="G77" s="178" t="str">
        <f t="shared" si="43"/>
        <v/>
      </c>
      <c r="H77" s="178" t="str">
        <f t="shared" si="43"/>
        <v/>
      </c>
      <c r="I77" s="178" t="str">
        <f t="shared" si="43"/>
        <v/>
      </c>
      <c r="J77" s="2" t="str">
        <f t="shared" si="43"/>
        <v/>
      </c>
      <c r="K77" s="2" t="str">
        <f t="shared" si="43"/>
        <v/>
      </c>
      <c r="L77" s="2" t="str">
        <f t="shared" si="19"/>
        <v/>
      </c>
      <c r="M77" s="2" t="str">
        <f t="shared" si="11"/>
        <v/>
      </c>
      <c r="N77" s="2" t="str">
        <f t="shared" si="12"/>
        <v/>
      </c>
      <c r="O77" s="2" t="str">
        <f t="shared" ref="O77:S77" si="44">X17</f>
        <v/>
      </c>
      <c r="P77" s="2" t="str">
        <f t="shared" si="44"/>
        <v/>
      </c>
      <c r="Q77" s="2" t="str">
        <f t="shared" si="44"/>
        <v/>
      </c>
      <c r="R77" s="2" t="str">
        <f t="shared" si="44"/>
        <v/>
      </c>
      <c r="S77" s="2" t="str">
        <f t="shared" si="4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hidden="1">
      <c r="A78" s="178" t="str">
        <f t="shared" si="9"/>
        <v>Pulled Cups</v>
      </c>
      <c r="B78" s="178" t="str">
        <f t="shared" ref="B78:K78" si="45">L18</f>
        <v/>
      </c>
      <c r="C78" s="178" t="str">
        <f t="shared" si="45"/>
        <v/>
      </c>
      <c r="D78" s="178">
        <f t="shared" si="45"/>
        <v>3</v>
      </c>
      <c r="E78" s="178" t="str">
        <f t="shared" si="45"/>
        <v/>
      </c>
      <c r="F78" s="178" t="str">
        <f t="shared" si="45"/>
        <v/>
      </c>
      <c r="G78" s="178" t="str">
        <f t="shared" si="45"/>
        <v/>
      </c>
      <c r="H78" s="178" t="str">
        <f t="shared" si="45"/>
        <v/>
      </c>
      <c r="I78" s="178" t="str">
        <f t="shared" si="45"/>
        <v/>
      </c>
      <c r="J78" s="2" t="str">
        <f t="shared" si="45"/>
        <v/>
      </c>
      <c r="K78" s="2" t="str">
        <f t="shared" si="45"/>
        <v/>
      </c>
      <c r="L78" s="2" t="str">
        <f t="shared" si="19"/>
        <v/>
      </c>
      <c r="M78" s="2" t="str">
        <f t="shared" si="11"/>
        <v/>
      </c>
      <c r="N78" s="2" t="str">
        <f t="shared" si="12"/>
        <v/>
      </c>
      <c r="O78" s="2" t="str">
        <f t="shared" ref="O78:S78" si="46">X18</f>
        <v/>
      </c>
      <c r="P78" s="2" t="str">
        <f t="shared" si="46"/>
        <v/>
      </c>
      <c r="Q78" s="2" t="str">
        <f t="shared" si="46"/>
        <v/>
      </c>
      <c r="R78" s="2" t="str">
        <f t="shared" si="46"/>
        <v/>
      </c>
      <c r="S78" s="2" t="str">
        <f t="shared" si="46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hidden="1">
      <c r="A79" s="178" t="str">
        <f t="shared" si="9"/>
        <v>Total</v>
      </c>
      <c r="B79" s="178" t="str">
        <f t="shared" ref="B79:K79" si="47">L19</f>
        <v/>
      </c>
      <c r="C79" s="178" t="str">
        <f t="shared" si="47"/>
        <v/>
      </c>
      <c r="D79" s="179">
        <f t="shared" si="47"/>
        <v>100</v>
      </c>
      <c r="E79" s="178" t="str">
        <f t="shared" si="47"/>
        <v/>
      </c>
      <c r="F79" s="178" t="str">
        <f t="shared" si="47"/>
        <v/>
      </c>
      <c r="G79" s="178" t="str">
        <f t="shared" si="47"/>
        <v/>
      </c>
      <c r="H79" s="178" t="str">
        <f t="shared" si="47"/>
        <v/>
      </c>
      <c r="I79" s="180">
        <f t="shared" si="47"/>
        <v>0.423580786</v>
      </c>
      <c r="J79" s="2" t="str">
        <f t="shared" si="47"/>
        <v/>
      </c>
      <c r="K79" s="2" t="str">
        <f t="shared" si="47"/>
        <v/>
      </c>
      <c r="L79" s="2" t="str">
        <f t="shared" si="19"/>
        <v/>
      </c>
      <c r="M79" s="2" t="str">
        <f t="shared" si="11"/>
        <v/>
      </c>
      <c r="N79" s="129" t="str">
        <f t="shared" si="12"/>
        <v/>
      </c>
      <c r="O79" s="2" t="str">
        <f t="shared" ref="O79:S79" si="48">X19</f>
        <v/>
      </c>
      <c r="P79" s="2" t="str">
        <f t="shared" si="48"/>
        <v/>
      </c>
      <c r="Q79" s="2" t="str">
        <f t="shared" si="48"/>
        <v/>
      </c>
      <c r="R79" s="2" t="str">
        <f t="shared" si="48"/>
        <v/>
      </c>
      <c r="S79" s="2" t="str">
        <f t="shared" si="48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hidden="1">
      <c r="A80" s="178" t="str">
        <f t="shared" si="9"/>
        <v/>
      </c>
      <c r="B80" s="178" t="str">
        <f t="shared" ref="B80:K80" si="49">L20</f>
        <v/>
      </c>
      <c r="C80" s="178" t="str">
        <f t="shared" si="49"/>
        <v/>
      </c>
      <c r="D80" s="178" t="str">
        <f t="shared" si="49"/>
        <v/>
      </c>
      <c r="E80" s="178" t="str">
        <f t="shared" si="49"/>
        <v/>
      </c>
      <c r="F80" s="178" t="str">
        <f t="shared" si="49"/>
        <v/>
      </c>
      <c r="G80" s="178" t="str">
        <f t="shared" si="49"/>
        <v/>
      </c>
      <c r="H80" s="178" t="str">
        <f t="shared" si="49"/>
        <v/>
      </c>
      <c r="I80" s="178" t="str">
        <f t="shared" si="49"/>
        <v/>
      </c>
      <c r="J80" s="2" t="str">
        <f t="shared" si="49"/>
        <v/>
      </c>
      <c r="K80" s="2" t="str">
        <f t="shared" si="49"/>
        <v/>
      </c>
      <c r="L80" s="2" t="str">
        <f t="shared" si="19"/>
        <v/>
      </c>
      <c r="M80" s="2" t="str">
        <f t="shared" si="11"/>
        <v/>
      </c>
      <c r="N80" s="2" t="str">
        <f t="shared" si="12"/>
        <v/>
      </c>
      <c r="O80" s="2" t="str">
        <f t="shared" ref="O80:S80" si="50">X20</f>
        <v/>
      </c>
      <c r="P80" s="2" t="str">
        <f t="shared" si="50"/>
        <v/>
      </c>
      <c r="Q80" s="2" t="str">
        <f t="shared" si="50"/>
        <v/>
      </c>
      <c r="R80" s="2" t="str">
        <f t="shared" si="50"/>
        <v/>
      </c>
      <c r="S80" s="2" t="str">
        <f t="shared" si="50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hidden="1">
      <c r="A81" s="178" t="str">
        <f t="shared" si="9"/>
        <v>Candice?</v>
      </c>
      <c r="B81" s="178" t="str">
        <f t="shared" ref="B81:K81" si="51">L21</f>
        <v/>
      </c>
      <c r="C81" s="178" t="str">
        <f t="shared" si="51"/>
        <v/>
      </c>
      <c r="D81" s="178" t="str">
        <f t="shared" si="51"/>
        <v/>
      </c>
      <c r="E81" s="178" t="str">
        <f t="shared" si="51"/>
        <v>Result</v>
      </c>
      <c r="F81" s="181" t="str">
        <f t="shared" si="51"/>
        <v>Win</v>
      </c>
      <c r="G81" s="178" t="str">
        <f t="shared" si="51"/>
        <v/>
      </c>
      <c r="H81" s="178" t="str">
        <f t="shared" si="51"/>
        <v>Margin</v>
      </c>
      <c r="I81" s="179">
        <f t="shared" si="51"/>
        <v>19</v>
      </c>
      <c r="J81" s="2" t="str">
        <f t="shared" si="51"/>
        <v/>
      </c>
      <c r="K81" s="2" t="str">
        <f t="shared" si="51"/>
        <v/>
      </c>
      <c r="L81" s="2" t="str">
        <f t="shared" si="19"/>
        <v/>
      </c>
      <c r="M81" s="2" t="str">
        <f t="shared" si="11"/>
        <v/>
      </c>
      <c r="N81" s="2" t="str">
        <f t="shared" si="12"/>
        <v/>
      </c>
      <c r="O81" s="2" t="str">
        <f t="shared" ref="O81:S81" si="52">X21</f>
        <v/>
      </c>
      <c r="P81" s="2" t="str">
        <f t="shared" si="52"/>
        <v/>
      </c>
      <c r="Q81" s="2" t="str">
        <f t="shared" si="52"/>
        <v/>
      </c>
      <c r="R81" s="2" t="str">
        <f t="shared" si="52"/>
        <v/>
      </c>
      <c r="S81" s="2" t="str">
        <f t="shared" si="52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hidden="1">
      <c r="A82" s="178" t="str">
        <f t="shared" si="9"/>
        <v>Name</v>
      </c>
      <c r="B82" s="178" t="str">
        <f t="shared" ref="B82:K82" si="53">L22</f>
        <v>W/L?</v>
      </c>
      <c r="C82" s="178" t="str">
        <f t="shared" si="53"/>
        <v>Shot Order</v>
      </c>
      <c r="D82" s="178" t="str">
        <f t="shared" si="53"/>
        <v>Total Cups</v>
      </c>
      <c r="E82" s="178" t="str">
        <f t="shared" si="53"/>
        <v>Tops</v>
      </c>
      <c r="F82" s="178" t="str">
        <f t="shared" si="53"/>
        <v>Top Isos</v>
      </c>
      <c r="G82" s="178" t="str">
        <f t="shared" si="53"/>
        <v>Bottoms</v>
      </c>
      <c r="H82" s="178" t="str">
        <f t="shared" si="53"/>
        <v>Bottom Isos</v>
      </c>
      <c r="I82" s="178" t="str">
        <f t="shared" si="53"/>
        <v>Misses</v>
      </c>
      <c r="J82" s="2" t="str">
        <f t="shared" si="53"/>
        <v/>
      </c>
      <c r="K82" s="2" t="str">
        <f t="shared" si="53"/>
        <v/>
      </c>
      <c r="L82" s="2" t="str">
        <f t="shared" si="19"/>
        <v/>
      </c>
      <c r="M82" s="2" t="str">
        <f t="shared" si="11"/>
        <v/>
      </c>
      <c r="N82" s="176" t="str">
        <f t="shared" si="12"/>
        <v/>
      </c>
      <c r="O82" s="2" t="str">
        <f t="shared" ref="O82:S82" si="54">X22</f>
        <v/>
      </c>
      <c r="P82" s="2" t="str">
        <f t="shared" si="54"/>
        <v/>
      </c>
      <c r="Q82" s="2" t="str">
        <f t="shared" si="54"/>
        <v/>
      </c>
      <c r="R82" s="2" t="str">
        <f t="shared" si="54"/>
        <v/>
      </c>
      <c r="S82" s="2" t="str">
        <f t="shared" si="5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hidden="1">
      <c r="A83" s="178" t="str">
        <f t="shared" si="9"/>
        <v>John</v>
      </c>
      <c r="B83" s="178" t="str">
        <f t="shared" ref="B83:K83" si="55">L23</f>
        <v>Win</v>
      </c>
      <c r="C83" s="178" t="str">
        <f t="shared" si="55"/>
        <v/>
      </c>
      <c r="D83" s="178">
        <f t="shared" si="55"/>
        <v>20</v>
      </c>
      <c r="E83" s="178">
        <f t="shared" si="55"/>
        <v>3</v>
      </c>
      <c r="F83" s="178">
        <f t="shared" si="55"/>
        <v>1</v>
      </c>
      <c r="G83" s="178">
        <f t="shared" si="55"/>
        <v>15</v>
      </c>
      <c r="H83" s="178">
        <f t="shared" si="55"/>
        <v>1</v>
      </c>
      <c r="I83" s="178">
        <f t="shared" si="55"/>
        <v>24</v>
      </c>
      <c r="J83" s="2" t="str">
        <f t="shared" si="55"/>
        <v/>
      </c>
      <c r="K83" s="2" t="str">
        <f t="shared" si="55"/>
        <v/>
      </c>
      <c r="L83" s="2" t="str">
        <f t="shared" si="19"/>
        <v/>
      </c>
      <c r="M83" s="2" t="str">
        <f t="shared" si="11"/>
        <v/>
      </c>
      <c r="N83" s="2" t="str">
        <f t="shared" si="12"/>
        <v/>
      </c>
      <c r="O83" s="2" t="str">
        <f t="shared" ref="O83:S83" si="56">X23</f>
        <v/>
      </c>
      <c r="P83" s="2" t="str">
        <f t="shared" si="56"/>
        <v/>
      </c>
      <c r="Q83" s="2" t="str">
        <f t="shared" si="56"/>
        <v/>
      </c>
      <c r="R83" s="2" t="str">
        <f t="shared" si="56"/>
        <v/>
      </c>
      <c r="S83" s="2" t="str">
        <f t="shared" si="56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hidden="1">
      <c r="A84" s="178" t="str">
        <f t="shared" si="9"/>
        <v>Cole</v>
      </c>
      <c r="B84" s="178" t="str">
        <f t="shared" ref="B84:K84" si="57">L24</f>
        <v>Win</v>
      </c>
      <c r="C84" s="178" t="str">
        <f t="shared" si="57"/>
        <v/>
      </c>
      <c r="D84" s="178">
        <f t="shared" si="57"/>
        <v>13</v>
      </c>
      <c r="E84" s="178">
        <f t="shared" si="57"/>
        <v>9</v>
      </c>
      <c r="F84" s="178">
        <f t="shared" si="57"/>
        <v>1</v>
      </c>
      <c r="G84" s="178">
        <f t="shared" si="57"/>
        <v>3</v>
      </c>
      <c r="H84" s="178">
        <f t="shared" si="57"/>
        <v>0</v>
      </c>
      <c r="I84" s="178">
        <f t="shared" si="57"/>
        <v>24</v>
      </c>
      <c r="J84" s="2" t="str">
        <f t="shared" si="57"/>
        <v/>
      </c>
      <c r="K84" s="2" t="str">
        <f t="shared" si="57"/>
        <v/>
      </c>
      <c r="L84" s="2" t="str">
        <f t="shared" si="19"/>
        <v/>
      </c>
      <c r="M84" s="2" t="str">
        <f t="shared" si="11"/>
        <v/>
      </c>
      <c r="N84" s="2" t="str">
        <f t="shared" si="12"/>
        <v/>
      </c>
      <c r="O84" s="2" t="str">
        <f t="shared" ref="O84:S84" si="58">X24</f>
        <v/>
      </c>
      <c r="P84" s="2" t="str">
        <f t="shared" si="58"/>
        <v/>
      </c>
      <c r="Q84" s="2" t="str">
        <f t="shared" si="58"/>
        <v/>
      </c>
      <c r="R84" s="2" t="str">
        <f t="shared" si="58"/>
        <v/>
      </c>
      <c r="S84" s="2" t="str">
        <f t="shared" si="58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hidden="1">
      <c r="A85" s="178" t="str">
        <f t="shared" si="9"/>
        <v>Dannegger</v>
      </c>
      <c r="B85" s="178" t="str">
        <f t="shared" ref="B85:K85" si="59">L25</f>
        <v>Win</v>
      </c>
      <c r="C85" s="178" t="str">
        <f t="shared" si="59"/>
        <v/>
      </c>
      <c r="D85" s="178">
        <f t="shared" si="59"/>
        <v>22</v>
      </c>
      <c r="E85" s="178">
        <f t="shared" si="59"/>
        <v>11</v>
      </c>
      <c r="F85" s="178">
        <f t="shared" si="59"/>
        <v>2</v>
      </c>
      <c r="G85" s="178">
        <f t="shared" si="59"/>
        <v>8</v>
      </c>
      <c r="H85" s="178">
        <f t="shared" si="59"/>
        <v>1</v>
      </c>
      <c r="I85" s="178">
        <f t="shared" si="59"/>
        <v>24</v>
      </c>
      <c r="J85" s="2" t="str">
        <f t="shared" si="59"/>
        <v/>
      </c>
      <c r="K85" s="2" t="str">
        <f t="shared" si="59"/>
        <v/>
      </c>
      <c r="L85" s="2" t="str">
        <f t="shared" si="19"/>
        <v/>
      </c>
      <c r="M85" s="2" t="str">
        <f t="shared" si="11"/>
        <v/>
      </c>
      <c r="N85" s="2" t="str">
        <f t="shared" si="12"/>
        <v/>
      </c>
      <c r="O85" s="2" t="str">
        <f t="shared" ref="O85:S85" si="60">X25</f>
        <v/>
      </c>
      <c r="P85" s="2" t="str">
        <f t="shared" si="60"/>
        <v/>
      </c>
      <c r="Q85" s="2" t="str">
        <f t="shared" si="60"/>
        <v/>
      </c>
      <c r="R85" s="2" t="str">
        <f t="shared" si="60"/>
        <v/>
      </c>
      <c r="S85" s="2" t="str">
        <f t="shared" si="60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hidden="1">
      <c r="A86" s="178" t="str">
        <f t="shared" si="9"/>
        <v>KZ</v>
      </c>
      <c r="B86" s="178" t="str">
        <f t="shared" ref="B86:K86" si="61">L26</f>
        <v>Win</v>
      </c>
      <c r="C86" s="178" t="str">
        <f t="shared" si="61"/>
        <v/>
      </c>
      <c r="D86" s="178">
        <f t="shared" si="61"/>
        <v>19</v>
      </c>
      <c r="E86" s="178">
        <f t="shared" si="61"/>
        <v>9</v>
      </c>
      <c r="F86" s="178">
        <f t="shared" si="61"/>
        <v>0</v>
      </c>
      <c r="G86" s="178">
        <f t="shared" si="61"/>
        <v>10</v>
      </c>
      <c r="H86" s="178">
        <f t="shared" si="61"/>
        <v>0</v>
      </c>
      <c r="I86" s="178">
        <f t="shared" si="61"/>
        <v>20</v>
      </c>
      <c r="J86" s="2" t="str">
        <f t="shared" si="61"/>
        <v/>
      </c>
      <c r="K86" s="2" t="str">
        <f t="shared" si="61"/>
        <v/>
      </c>
      <c r="L86" s="2" t="str">
        <f t="shared" si="19"/>
        <v/>
      </c>
      <c r="M86" s="2" t="str">
        <f t="shared" si="11"/>
        <v/>
      </c>
      <c r="N86" s="2" t="str">
        <f t="shared" si="12"/>
        <v/>
      </c>
      <c r="O86" s="2" t="str">
        <f t="shared" ref="O86:S86" si="62">X26</f>
        <v/>
      </c>
      <c r="P86" s="2" t="str">
        <f t="shared" si="62"/>
        <v/>
      </c>
      <c r="Q86" s="2" t="str">
        <f t="shared" si="62"/>
        <v/>
      </c>
      <c r="R86" s="2" t="str">
        <f t="shared" si="62"/>
        <v/>
      </c>
      <c r="S86" s="2" t="str">
        <f t="shared" si="62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hidden="1">
      <c r="A87" s="178" t="str">
        <f t="shared" si="9"/>
        <v>Adi</v>
      </c>
      <c r="B87" s="178" t="str">
        <f t="shared" ref="B87:K87" si="63">L27</f>
        <v>Win</v>
      </c>
      <c r="C87" s="178" t="str">
        <f t="shared" si="63"/>
        <v/>
      </c>
      <c r="D87" s="178">
        <f t="shared" si="63"/>
        <v>17</v>
      </c>
      <c r="E87" s="178">
        <f t="shared" si="63"/>
        <v>9</v>
      </c>
      <c r="F87" s="178">
        <f t="shared" si="63"/>
        <v>0</v>
      </c>
      <c r="G87" s="178">
        <f t="shared" si="63"/>
        <v>8</v>
      </c>
      <c r="H87" s="178">
        <f t="shared" si="63"/>
        <v>0</v>
      </c>
      <c r="I87" s="178">
        <f t="shared" si="63"/>
        <v>22</v>
      </c>
      <c r="J87" s="2" t="str">
        <f t="shared" si="63"/>
        <v/>
      </c>
      <c r="K87" s="2" t="str">
        <f t="shared" si="63"/>
        <v/>
      </c>
      <c r="L87" s="2" t="str">
        <f t="shared" si="19"/>
        <v/>
      </c>
      <c r="M87" s="2" t="str">
        <f t="shared" si="11"/>
        <v/>
      </c>
      <c r="N87" s="2" t="str">
        <f t="shared" si="12"/>
        <v/>
      </c>
      <c r="O87" s="2" t="str">
        <f t="shared" ref="O87:S87" si="64">X27</f>
        <v/>
      </c>
      <c r="P87" s="2" t="str">
        <f t="shared" si="64"/>
        <v/>
      </c>
      <c r="Q87" s="2" t="str">
        <f t="shared" si="64"/>
        <v/>
      </c>
      <c r="R87" s="2" t="str">
        <f t="shared" si="64"/>
        <v/>
      </c>
      <c r="S87" s="2" t="str">
        <f t="shared" si="6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hidden="1">
      <c r="A88" s="178" t="str">
        <f t="shared" si="9"/>
        <v>Gavin</v>
      </c>
      <c r="B88" s="178" t="str">
        <f t="shared" ref="B88:K88" si="65">L28</f>
        <v>Win</v>
      </c>
      <c r="C88" s="178" t="str">
        <f t="shared" si="65"/>
        <v/>
      </c>
      <c r="D88" s="178">
        <f t="shared" si="65"/>
        <v>10</v>
      </c>
      <c r="E88" s="178">
        <f t="shared" si="65"/>
        <v>0</v>
      </c>
      <c r="F88" s="178">
        <f t="shared" si="65"/>
        <v>0</v>
      </c>
      <c r="G88" s="178">
        <f t="shared" si="65"/>
        <v>9</v>
      </c>
      <c r="H88" s="178">
        <f t="shared" si="65"/>
        <v>1</v>
      </c>
      <c r="I88" s="178">
        <f t="shared" si="65"/>
        <v>24</v>
      </c>
      <c r="J88" s="2" t="str">
        <f t="shared" si="65"/>
        <v/>
      </c>
      <c r="K88" s="2" t="str">
        <f t="shared" si="65"/>
        <v/>
      </c>
      <c r="L88" s="2" t="str">
        <f t="shared" si="19"/>
        <v/>
      </c>
      <c r="M88" s="2" t="str">
        <f t="shared" si="11"/>
        <v/>
      </c>
      <c r="N88" s="2" t="str">
        <f t="shared" si="12"/>
        <v/>
      </c>
      <c r="O88" s="2" t="str">
        <f t="shared" ref="O88:S88" si="66">X28</f>
        <v/>
      </c>
      <c r="P88" s="2" t="str">
        <f t="shared" si="66"/>
        <v/>
      </c>
      <c r="Q88" s="2" t="str">
        <f t="shared" si="66"/>
        <v/>
      </c>
      <c r="R88" s="2" t="str">
        <f t="shared" si="66"/>
        <v/>
      </c>
      <c r="S88" s="2" t="str">
        <f t="shared" si="66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hidden="1">
      <c r="A89" s="178" t="str">
        <f t="shared" si="9"/>
        <v>David</v>
      </c>
      <c r="B89" s="178" t="str">
        <f t="shared" ref="B89:K89" si="67">L29</f>
        <v>Win</v>
      </c>
      <c r="C89" s="178" t="str">
        <f t="shared" si="67"/>
        <v/>
      </c>
      <c r="D89" s="178" t="str">
        <f t="shared" si="67"/>
        <v/>
      </c>
      <c r="E89" s="178" t="str">
        <f t="shared" si="67"/>
        <v/>
      </c>
      <c r="F89" s="178" t="str">
        <f t="shared" si="67"/>
        <v/>
      </c>
      <c r="G89" s="178" t="str">
        <f t="shared" si="67"/>
        <v/>
      </c>
      <c r="H89" s="178" t="str">
        <f t="shared" si="67"/>
        <v/>
      </c>
      <c r="I89" s="178" t="str">
        <f t="shared" si="67"/>
        <v/>
      </c>
      <c r="J89" s="2" t="str">
        <f t="shared" si="67"/>
        <v/>
      </c>
      <c r="K89" s="2" t="str">
        <f t="shared" si="67"/>
        <v/>
      </c>
      <c r="L89" s="2" t="str">
        <f t="shared" si="19"/>
        <v/>
      </c>
      <c r="M89" s="2" t="str">
        <f t="shared" si="11"/>
        <v/>
      </c>
      <c r="N89" s="2" t="str">
        <f t="shared" si="12"/>
        <v/>
      </c>
      <c r="O89" s="2" t="str">
        <f t="shared" ref="O89:S89" si="68">X29</f>
        <v/>
      </c>
      <c r="P89" s="2" t="str">
        <f t="shared" si="68"/>
        <v/>
      </c>
      <c r="Q89" s="2" t="str">
        <f t="shared" si="68"/>
        <v/>
      </c>
      <c r="R89" s="2" t="str">
        <f t="shared" si="68"/>
        <v/>
      </c>
      <c r="S89" s="2" t="str">
        <f t="shared" si="68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hidden="1">
      <c r="A90" s="178" t="str">
        <f t="shared" si="9"/>
        <v>Kento</v>
      </c>
      <c r="B90" s="178" t="str">
        <f t="shared" ref="B90:K90" si="69">L30</f>
        <v>Win</v>
      </c>
      <c r="C90" s="178" t="str">
        <f t="shared" si="69"/>
        <v/>
      </c>
      <c r="D90" s="178" t="str">
        <f t="shared" si="69"/>
        <v/>
      </c>
      <c r="E90" s="178" t="str">
        <f t="shared" si="69"/>
        <v/>
      </c>
      <c r="F90" s="178" t="str">
        <f t="shared" si="69"/>
        <v/>
      </c>
      <c r="G90" s="178" t="str">
        <f t="shared" si="69"/>
        <v/>
      </c>
      <c r="H90" s="178" t="str">
        <f t="shared" si="69"/>
        <v/>
      </c>
      <c r="I90" s="178" t="str">
        <f t="shared" si="69"/>
        <v/>
      </c>
      <c r="J90" s="2" t="str">
        <f t="shared" si="69"/>
        <v/>
      </c>
      <c r="K90" s="2" t="str">
        <f t="shared" si="69"/>
        <v/>
      </c>
      <c r="L90" s="2" t="str">
        <f t="shared" si="19"/>
        <v/>
      </c>
      <c r="M90" s="2" t="str">
        <f t="shared" si="11"/>
        <v/>
      </c>
      <c r="N90" s="2" t="str">
        <f t="shared" si="12"/>
        <v/>
      </c>
      <c r="O90" s="2" t="str">
        <f t="shared" ref="O90:S90" si="70">X30</f>
        <v/>
      </c>
      <c r="P90" s="2" t="str">
        <f t="shared" si="70"/>
        <v/>
      </c>
      <c r="Q90" s="2" t="str">
        <f t="shared" si="70"/>
        <v/>
      </c>
      <c r="R90" s="2" t="str">
        <f t="shared" si="70"/>
        <v/>
      </c>
      <c r="S90" s="2" t="str">
        <f t="shared" si="70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hidden="1">
      <c r="A91" s="178" t="str">
        <f t="shared" si="9"/>
        <v>Jacob</v>
      </c>
      <c r="B91" s="178" t="str">
        <f t="shared" ref="B91:K91" si="71">L31</f>
        <v>Win</v>
      </c>
      <c r="C91" s="178" t="str">
        <f t="shared" si="71"/>
        <v/>
      </c>
      <c r="D91" s="178" t="str">
        <f t="shared" si="71"/>
        <v/>
      </c>
      <c r="E91" s="178" t="str">
        <f t="shared" si="71"/>
        <v/>
      </c>
      <c r="F91" s="178" t="str">
        <f t="shared" si="71"/>
        <v/>
      </c>
      <c r="G91" s="178" t="str">
        <f t="shared" si="71"/>
        <v/>
      </c>
      <c r="H91" s="178" t="str">
        <f t="shared" si="71"/>
        <v/>
      </c>
      <c r="I91" s="178" t="str">
        <f t="shared" si="71"/>
        <v/>
      </c>
      <c r="J91" s="2" t="str">
        <f t="shared" si="71"/>
        <v/>
      </c>
      <c r="K91" s="2" t="str">
        <f t="shared" si="71"/>
        <v/>
      </c>
      <c r="L91" s="2" t="str">
        <f t="shared" si="19"/>
        <v/>
      </c>
      <c r="M91" s="2" t="str">
        <f t="shared" si="11"/>
        <v/>
      </c>
      <c r="N91" s="2" t="str">
        <f t="shared" si="12"/>
        <v/>
      </c>
      <c r="O91" s="2" t="str">
        <f t="shared" ref="O91:S91" si="72">X31</f>
        <v/>
      </c>
      <c r="P91" s="2" t="str">
        <f t="shared" si="72"/>
        <v/>
      </c>
      <c r="Q91" s="2" t="str">
        <f t="shared" si="72"/>
        <v/>
      </c>
      <c r="R91" s="2" t="str">
        <f t="shared" si="72"/>
        <v/>
      </c>
      <c r="S91" s="2" t="str">
        <f t="shared" si="72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hidden="1">
      <c r="A92" s="178" t="str">
        <f t="shared" si="9"/>
        <v/>
      </c>
      <c r="B92" s="178" t="str">
        <f t="shared" ref="B92:K92" si="73">L32</f>
        <v>Win</v>
      </c>
      <c r="C92" s="178" t="str">
        <f t="shared" si="73"/>
        <v/>
      </c>
      <c r="D92" s="178" t="str">
        <f t="shared" si="73"/>
        <v/>
      </c>
      <c r="E92" s="178" t="str">
        <f t="shared" si="73"/>
        <v/>
      </c>
      <c r="F92" s="178" t="str">
        <f t="shared" si="73"/>
        <v/>
      </c>
      <c r="G92" s="178" t="str">
        <f t="shared" si="73"/>
        <v/>
      </c>
      <c r="H92" s="178" t="str">
        <f t="shared" si="73"/>
        <v/>
      </c>
      <c r="I92" s="178" t="str">
        <f t="shared" si="73"/>
        <v/>
      </c>
      <c r="J92" s="2" t="str">
        <f t="shared" si="73"/>
        <v/>
      </c>
      <c r="K92" s="2" t="str">
        <f t="shared" si="73"/>
        <v/>
      </c>
      <c r="L92" s="2" t="str">
        <f t="shared" si="19"/>
        <v/>
      </c>
      <c r="M92" s="2" t="str">
        <f t="shared" si="11"/>
        <v/>
      </c>
      <c r="N92" s="2" t="str">
        <f t="shared" si="12"/>
        <v/>
      </c>
      <c r="O92" s="2" t="str">
        <f t="shared" ref="O92:S92" si="74">X32</f>
        <v/>
      </c>
      <c r="P92" s="2" t="str">
        <f t="shared" si="74"/>
        <v/>
      </c>
      <c r="Q92" s="2" t="str">
        <f t="shared" si="74"/>
        <v/>
      </c>
      <c r="R92" s="2" t="str">
        <f t="shared" si="74"/>
        <v/>
      </c>
      <c r="S92" s="2" t="str">
        <f t="shared" si="74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 hidden="1">
      <c r="A93" s="178" t="str">
        <f t="shared" si="9"/>
        <v/>
      </c>
      <c r="B93" s="178" t="str">
        <f t="shared" ref="B93:K93" si="75">L33</f>
        <v>Win</v>
      </c>
      <c r="C93" s="178" t="str">
        <f t="shared" si="75"/>
        <v/>
      </c>
      <c r="D93" s="178" t="str">
        <f t="shared" si="75"/>
        <v/>
      </c>
      <c r="E93" s="178" t="str">
        <f t="shared" si="75"/>
        <v/>
      </c>
      <c r="F93" s="178" t="str">
        <f t="shared" si="75"/>
        <v/>
      </c>
      <c r="G93" s="178" t="str">
        <f t="shared" si="75"/>
        <v/>
      </c>
      <c r="H93" s="178" t="str">
        <f t="shared" si="75"/>
        <v/>
      </c>
      <c r="I93" s="178" t="str">
        <f t="shared" si="75"/>
        <v/>
      </c>
      <c r="J93" s="2" t="str">
        <f t="shared" si="75"/>
        <v/>
      </c>
      <c r="K93" s="2" t="str">
        <f t="shared" si="75"/>
        <v/>
      </c>
      <c r="L93" s="2" t="str">
        <f t="shared" si="19"/>
        <v/>
      </c>
      <c r="M93" s="2" t="str">
        <f t="shared" si="11"/>
        <v/>
      </c>
      <c r="N93" s="2" t="str">
        <f t="shared" si="12"/>
        <v/>
      </c>
      <c r="O93" s="2" t="str">
        <f t="shared" ref="O93:S93" si="76">X33</f>
        <v/>
      </c>
      <c r="P93" s="2" t="str">
        <f t="shared" si="76"/>
        <v/>
      </c>
      <c r="Q93" s="2" t="str">
        <f t="shared" si="76"/>
        <v/>
      </c>
      <c r="R93" s="2" t="str">
        <f t="shared" si="76"/>
        <v/>
      </c>
      <c r="S93" s="2" t="str">
        <f t="shared" si="76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 hidden="1">
      <c r="A94" s="178" t="str">
        <f t="shared" si="9"/>
        <v/>
      </c>
      <c r="B94" s="178" t="str">
        <f t="shared" ref="B94:K94" si="77">L34</f>
        <v>Win</v>
      </c>
      <c r="C94" s="178" t="str">
        <f t="shared" si="77"/>
        <v/>
      </c>
      <c r="D94" s="178" t="str">
        <f t="shared" si="77"/>
        <v/>
      </c>
      <c r="E94" s="178" t="str">
        <f t="shared" si="77"/>
        <v/>
      </c>
      <c r="F94" s="178" t="str">
        <f t="shared" si="77"/>
        <v/>
      </c>
      <c r="G94" s="178" t="str">
        <f t="shared" si="77"/>
        <v/>
      </c>
      <c r="H94" s="178" t="str">
        <f t="shared" si="77"/>
        <v/>
      </c>
      <c r="I94" s="178" t="str">
        <f t="shared" si="77"/>
        <v/>
      </c>
      <c r="J94" s="2" t="str">
        <f t="shared" si="77"/>
        <v/>
      </c>
      <c r="K94" s="2" t="str">
        <f t="shared" si="77"/>
        <v/>
      </c>
      <c r="L94" s="2" t="str">
        <f t="shared" si="19"/>
        <v/>
      </c>
      <c r="M94" s="2" t="str">
        <f t="shared" si="11"/>
        <v/>
      </c>
      <c r="N94" s="2" t="str">
        <f t="shared" si="12"/>
        <v/>
      </c>
      <c r="O94" s="2" t="str">
        <f t="shared" ref="O94:S94" si="78">X34</f>
        <v/>
      </c>
      <c r="P94" s="2" t="str">
        <f t="shared" si="78"/>
        <v/>
      </c>
      <c r="Q94" s="2" t="str">
        <f t="shared" si="78"/>
        <v/>
      </c>
      <c r="R94" s="2" t="str">
        <f t="shared" si="78"/>
        <v/>
      </c>
      <c r="S94" s="2" t="str">
        <f t="shared" si="78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 hidden="1">
      <c r="A95" s="178" t="str">
        <f t="shared" si="9"/>
        <v/>
      </c>
      <c r="B95" s="178" t="str">
        <f t="shared" ref="B95:K95" si="79">L35</f>
        <v>Win</v>
      </c>
      <c r="C95" s="178" t="str">
        <f t="shared" si="79"/>
        <v/>
      </c>
      <c r="D95" s="178" t="str">
        <f t="shared" si="79"/>
        <v/>
      </c>
      <c r="E95" s="178" t="str">
        <f t="shared" si="79"/>
        <v/>
      </c>
      <c r="F95" s="178" t="str">
        <f t="shared" si="79"/>
        <v/>
      </c>
      <c r="G95" s="178" t="str">
        <f t="shared" si="79"/>
        <v/>
      </c>
      <c r="H95" s="178" t="str">
        <f t="shared" si="79"/>
        <v/>
      </c>
      <c r="I95" s="178" t="str">
        <f t="shared" si="79"/>
        <v/>
      </c>
      <c r="J95" s="2" t="str">
        <f t="shared" si="79"/>
        <v/>
      </c>
      <c r="K95" s="2" t="str">
        <f t="shared" si="79"/>
        <v/>
      </c>
      <c r="L95" s="2" t="str">
        <f t="shared" si="19"/>
        <v/>
      </c>
      <c r="M95" s="2" t="str">
        <f t="shared" si="11"/>
        <v/>
      </c>
      <c r="N95" s="2" t="str">
        <f t="shared" si="12"/>
        <v/>
      </c>
      <c r="O95" s="2" t="str">
        <f t="shared" ref="O95:S95" si="80">X35</f>
        <v/>
      </c>
      <c r="P95" s="2" t="str">
        <f t="shared" si="80"/>
        <v/>
      </c>
      <c r="Q95" s="2" t="str">
        <f t="shared" si="80"/>
        <v/>
      </c>
      <c r="R95" s="2" t="str">
        <f t="shared" si="80"/>
        <v/>
      </c>
      <c r="S95" s="2" t="str">
        <f t="shared" si="80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 hidden="1">
      <c r="A96" s="178" t="str">
        <f t="shared" si="9"/>
        <v/>
      </c>
      <c r="B96" s="178" t="str">
        <f t="shared" ref="B96:K96" si="81">L36</f>
        <v>Win</v>
      </c>
      <c r="C96" s="178" t="str">
        <f t="shared" si="81"/>
        <v/>
      </c>
      <c r="D96" s="178" t="str">
        <f t="shared" si="81"/>
        <v/>
      </c>
      <c r="E96" s="178" t="str">
        <f t="shared" si="81"/>
        <v/>
      </c>
      <c r="F96" s="178" t="str">
        <f t="shared" si="81"/>
        <v/>
      </c>
      <c r="G96" s="178" t="str">
        <f t="shared" si="81"/>
        <v/>
      </c>
      <c r="H96" s="178" t="str">
        <f t="shared" si="81"/>
        <v/>
      </c>
      <c r="I96" s="178" t="str">
        <f t="shared" si="81"/>
        <v/>
      </c>
      <c r="J96" s="2" t="str">
        <f t="shared" si="81"/>
        <v/>
      </c>
      <c r="K96" s="2" t="str">
        <f t="shared" si="81"/>
        <v/>
      </c>
      <c r="L96" s="2" t="str">
        <f t="shared" si="19"/>
        <v/>
      </c>
      <c r="M96" s="2" t="str">
        <f t="shared" si="11"/>
        <v/>
      </c>
      <c r="N96" s="2" t="str">
        <f t="shared" si="12"/>
        <v/>
      </c>
      <c r="O96" s="2" t="str">
        <f t="shared" ref="O96:S96" si="82">X36</f>
        <v/>
      </c>
      <c r="P96" s="2" t="str">
        <f t="shared" si="82"/>
        <v/>
      </c>
      <c r="Q96" s="2" t="str">
        <f t="shared" si="82"/>
        <v/>
      </c>
      <c r="R96" s="2" t="str">
        <f t="shared" si="82"/>
        <v/>
      </c>
      <c r="S96" s="2" t="str">
        <f t="shared" si="82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 hidden="1">
      <c r="A97" s="178" t="str">
        <f t="shared" si="9"/>
        <v/>
      </c>
      <c r="B97" s="178" t="str">
        <f t="shared" ref="B97:K97" si="83">L37</f>
        <v>Win</v>
      </c>
      <c r="C97" s="178" t="str">
        <f t="shared" si="83"/>
        <v/>
      </c>
      <c r="D97" s="178" t="str">
        <f t="shared" si="83"/>
        <v/>
      </c>
      <c r="E97" s="178" t="str">
        <f t="shared" si="83"/>
        <v/>
      </c>
      <c r="F97" s="178" t="str">
        <f t="shared" si="83"/>
        <v/>
      </c>
      <c r="G97" s="178" t="str">
        <f t="shared" si="83"/>
        <v/>
      </c>
      <c r="H97" s="178" t="str">
        <f t="shared" si="83"/>
        <v/>
      </c>
      <c r="I97" s="178" t="str">
        <f t="shared" si="83"/>
        <v/>
      </c>
      <c r="J97" s="2" t="str">
        <f t="shared" si="83"/>
        <v/>
      </c>
      <c r="K97" s="2" t="str">
        <f t="shared" si="83"/>
        <v/>
      </c>
      <c r="L97" s="2" t="str">
        <f t="shared" si="19"/>
        <v/>
      </c>
      <c r="M97" s="2" t="str">
        <f t="shared" si="11"/>
        <v/>
      </c>
      <c r="N97" s="2" t="str">
        <f t="shared" si="12"/>
        <v/>
      </c>
      <c r="O97" s="2" t="str">
        <f t="shared" ref="O97:S97" si="84">X37</f>
        <v/>
      </c>
      <c r="P97" s="2" t="str">
        <f t="shared" si="84"/>
        <v/>
      </c>
      <c r="Q97" s="2" t="str">
        <f t="shared" si="84"/>
        <v/>
      </c>
      <c r="R97" s="2" t="str">
        <f t="shared" si="84"/>
        <v/>
      </c>
      <c r="S97" s="2" t="str">
        <f t="shared" si="84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 hidden="1">
      <c r="A98" s="178" t="str">
        <f t="shared" si="9"/>
        <v>Pulled Cups</v>
      </c>
      <c r="B98" s="178" t="str">
        <f t="shared" ref="B98:K98" si="85">L38</f>
        <v/>
      </c>
      <c r="C98" s="178" t="str">
        <f t="shared" si="85"/>
        <v/>
      </c>
      <c r="D98" s="178">
        <f t="shared" si="85"/>
        <v>-1</v>
      </c>
      <c r="E98" s="178" t="str">
        <f t="shared" si="85"/>
        <v/>
      </c>
      <c r="F98" s="178" t="str">
        <f t="shared" si="85"/>
        <v/>
      </c>
      <c r="G98" s="178" t="str">
        <f t="shared" si="85"/>
        <v/>
      </c>
      <c r="H98" s="178" t="str">
        <f t="shared" si="85"/>
        <v/>
      </c>
      <c r="I98" s="178" t="str">
        <f t="shared" si="85"/>
        <v/>
      </c>
      <c r="J98" s="2" t="str">
        <f t="shared" si="85"/>
        <v/>
      </c>
      <c r="K98" s="2" t="str">
        <f t="shared" si="85"/>
        <v/>
      </c>
      <c r="L98" s="2" t="str">
        <f t="shared" si="19"/>
        <v/>
      </c>
      <c r="M98" s="2" t="str">
        <f t="shared" si="11"/>
        <v/>
      </c>
      <c r="N98" s="2" t="str">
        <f t="shared" si="12"/>
        <v/>
      </c>
      <c r="O98" s="2" t="str">
        <f t="shared" ref="O98:S98" si="86">X38</f>
        <v/>
      </c>
      <c r="P98" s="2" t="str">
        <f t="shared" si="86"/>
        <v/>
      </c>
      <c r="Q98" s="2" t="str">
        <f t="shared" si="86"/>
        <v/>
      </c>
      <c r="R98" s="2" t="str">
        <f t="shared" si="86"/>
        <v/>
      </c>
      <c r="S98" s="2" t="str">
        <f t="shared" si="86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 hidden="1">
      <c r="A99" s="178" t="str">
        <f t="shared" si="9"/>
        <v>Total</v>
      </c>
      <c r="B99" s="178" t="str">
        <f t="shared" ref="B99:K99" si="87">L39</f>
        <v/>
      </c>
      <c r="C99" s="178" t="str">
        <f t="shared" si="87"/>
        <v/>
      </c>
      <c r="D99" s="179">
        <f t="shared" si="87"/>
        <v>100</v>
      </c>
      <c r="E99" s="178" t="str">
        <f t="shared" si="87"/>
        <v/>
      </c>
      <c r="F99" s="178" t="str">
        <f t="shared" si="87"/>
        <v/>
      </c>
      <c r="G99" s="178" t="str">
        <f t="shared" si="87"/>
        <v/>
      </c>
      <c r="H99" s="178" t="str">
        <f t="shared" si="87"/>
        <v/>
      </c>
      <c r="I99" s="180">
        <f t="shared" si="87"/>
        <v>0.4225941423</v>
      </c>
      <c r="J99" s="2" t="str">
        <f t="shared" si="87"/>
        <v/>
      </c>
      <c r="K99" s="2" t="str">
        <f t="shared" si="87"/>
        <v/>
      </c>
      <c r="L99" s="2" t="str">
        <f t="shared" si="19"/>
        <v/>
      </c>
      <c r="M99" s="2" t="str">
        <f t="shared" si="11"/>
        <v/>
      </c>
      <c r="N99" s="129" t="str">
        <f t="shared" si="12"/>
        <v/>
      </c>
      <c r="O99" s="2" t="str">
        <f t="shared" ref="O99:S99" si="88">X39</f>
        <v/>
      </c>
      <c r="P99" s="2" t="str">
        <f t="shared" si="88"/>
        <v/>
      </c>
      <c r="Q99" s="2" t="str">
        <f t="shared" si="88"/>
        <v/>
      </c>
      <c r="R99" s="2" t="str">
        <f t="shared" si="88"/>
        <v/>
      </c>
      <c r="S99" s="2" t="str">
        <f t="shared" si="88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 hidden="1">
      <c r="A100" s="178" t="str">
        <f t="shared" si="9"/>
        <v/>
      </c>
      <c r="B100" s="178" t="str">
        <f t="shared" ref="B100:K100" si="89">L40</f>
        <v/>
      </c>
      <c r="C100" s="178" t="str">
        <f t="shared" si="89"/>
        <v/>
      </c>
      <c r="D100" s="178" t="str">
        <f t="shared" si="89"/>
        <v/>
      </c>
      <c r="E100" s="178" t="str">
        <f t="shared" si="89"/>
        <v/>
      </c>
      <c r="F100" s="178" t="str">
        <f t="shared" si="89"/>
        <v/>
      </c>
      <c r="G100" s="178" t="str">
        <f t="shared" si="89"/>
        <v/>
      </c>
      <c r="H100" s="178" t="str">
        <f t="shared" si="89"/>
        <v/>
      </c>
      <c r="I100" s="178" t="str">
        <f t="shared" si="89"/>
        <v/>
      </c>
      <c r="J100" s="2" t="str">
        <f t="shared" si="89"/>
        <v/>
      </c>
      <c r="K100" s="2" t="str">
        <f t="shared" si="89"/>
        <v/>
      </c>
      <c r="L100" s="2" t="str">
        <f t="shared" si="19"/>
        <v/>
      </c>
      <c r="M100" s="2" t="str">
        <f t="shared" si="11"/>
        <v/>
      </c>
      <c r="N100" s="2" t="str">
        <f t="shared" si="12"/>
        <v/>
      </c>
      <c r="O100" s="2" t="str">
        <f t="shared" ref="O100:S100" si="90">X40</f>
        <v/>
      </c>
      <c r="P100" s="2" t="str">
        <f t="shared" si="90"/>
        <v/>
      </c>
      <c r="Q100" s="2" t="str">
        <f t="shared" si="90"/>
        <v/>
      </c>
      <c r="R100" s="2" t="str">
        <f t="shared" si="90"/>
        <v/>
      </c>
      <c r="S100" s="2" t="str">
        <f t="shared" si="90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 hidden="1">
      <c r="A101" s="178" t="str">
        <f t="shared" si="9"/>
        <v>Team F</v>
      </c>
      <c r="B101" s="178" t="str">
        <f t="shared" ref="B101:K101" si="91">L41</f>
        <v/>
      </c>
      <c r="C101" s="178" t="str">
        <f t="shared" si="91"/>
        <v/>
      </c>
      <c r="D101" s="178" t="str">
        <f t="shared" si="91"/>
        <v/>
      </c>
      <c r="E101" s="178" t="str">
        <f t="shared" si="91"/>
        <v>Result</v>
      </c>
      <c r="F101" s="181" t="str">
        <f t="shared" si="91"/>
        <v>Win</v>
      </c>
      <c r="G101" s="178" t="str">
        <f t="shared" si="91"/>
        <v/>
      </c>
      <c r="H101" s="178" t="str">
        <f t="shared" si="91"/>
        <v>Margin</v>
      </c>
      <c r="I101" s="179">
        <f t="shared" si="91"/>
        <v>2</v>
      </c>
      <c r="J101" s="2" t="str">
        <f t="shared" si="91"/>
        <v/>
      </c>
      <c r="K101" s="2" t="str">
        <f t="shared" si="91"/>
        <v/>
      </c>
      <c r="L101" s="2" t="str">
        <f t="shared" si="19"/>
        <v/>
      </c>
      <c r="M101" s="2" t="str">
        <f t="shared" si="11"/>
        <v/>
      </c>
      <c r="N101" s="2" t="str">
        <f t="shared" si="12"/>
        <v/>
      </c>
      <c r="O101" s="2" t="str">
        <f t="shared" ref="O101:S101" si="92">X41</f>
        <v/>
      </c>
      <c r="P101" s="2" t="str">
        <f t="shared" si="92"/>
        <v/>
      </c>
      <c r="Q101" s="2" t="str">
        <f t="shared" si="92"/>
        <v/>
      </c>
      <c r="R101" s="2" t="str">
        <f t="shared" si="92"/>
        <v/>
      </c>
      <c r="S101" s="2" t="str">
        <f t="shared" si="92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 hidden="1">
      <c r="A102" s="178" t="str">
        <f t="shared" si="9"/>
        <v>Name</v>
      </c>
      <c r="B102" s="178" t="str">
        <f t="shared" ref="B102:K102" si="93">L42</f>
        <v>W/L?</v>
      </c>
      <c r="C102" s="178" t="str">
        <f t="shared" si="93"/>
        <v>Shot Order</v>
      </c>
      <c r="D102" s="178" t="str">
        <f t="shared" si="93"/>
        <v>Total Cups</v>
      </c>
      <c r="E102" s="178" t="str">
        <f t="shared" si="93"/>
        <v>Tops</v>
      </c>
      <c r="F102" s="178" t="str">
        <f t="shared" si="93"/>
        <v>Top Isos</v>
      </c>
      <c r="G102" s="178" t="str">
        <f t="shared" si="93"/>
        <v>Bottoms</v>
      </c>
      <c r="H102" s="178" t="str">
        <f t="shared" si="93"/>
        <v>Bottom Isos</v>
      </c>
      <c r="I102" s="178" t="str">
        <f t="shared" si="93"/>
        <v>Misses</v>
      </c>
      <c r="J102" s="2" t="str">
        <f t="shared" si="93"/>
        <v/>
      </c>
      <c r="K102" s="2" t="str">
        <f t="shared" si="93"/>
        <v/>
      </c>
      <c r="L102" s="2" t="str">
        <f t="shared" si="19"/>
        <v/>
      </c>
      <c r="M102" s="2" t="str">
        <f t="shared" si="11"/>
        <v/>
      </c>
      <c r="N102" s="176" t="str">
        <f t="shared" si="12"/>
        <v/>
      </c>
      <c r="O102" s="2" t="str">
        <f t="shared" ref="O102:S102" si="94">X42</f>
        <v/>
      </c>
      <c r="P102" s="2" t="str">
        <f t="shared" si="94"/>
        <v/>
      </c>
      <c r="Q102" s="2" t="str">
        <f t="shared" si="94"/>
        <v/>
      </c>
      <c r="R102" s="2" t="str">
        <f t="shared" si="94"/>
        <v/>
      </c>
      <c r="S102" s="2" t="str">
        <f t="shared" si="94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 hidden="1">
      <c r="A103" s="178" t="str">
        <f t="shared" si="9"/>
        <v>Jay</v>
      </c>
      <c r="B103" s="178" t="str">
        <f t="shared" ref="B103:K103" si="95">L43</f>
        <v>Win</v>
      </c>
      <c r="C103" s="178">
        <f t="shared" si="95"/>
        <v>6</v>
      </c>
      <c r="D103" s="178">
        <f t="shared" si="95"/>
        <v>24</v>
      </c>
      <c r="E103" s="178">
        <f t="shared" si="95"/>
        <v>8</v>
      </c>
      <c r="F103" s="178">
        <f t="shared" si="95"/>
        <v>2</v>
      </c>
      <c r="G103" s="178">
        <f t="shared" si="95"/>
        <v>14</v>
      </c>
      <c r="H103" s="178">
        <f t="shared" si="95"/>
        <v>0</v>
      </c>
      <c r="I103" s="178">
        <f t="shared" si="95"/>
        <v>19</v>
      </c>
      <c r="J103" s="2" t="str">
        <f t="shared" si="95"/>
        <v/>
      </c>
      <c r="K103" s="2" t="str">
        <f t="shared" si="95"/>
        <v/>
      </c>
      <c r="L103" s="2" t="str">
        <f t="shared" si="19"/>
        <v/>
      </c>
      <c r="M103" s="2" t="str">
        <f t="shared" si="11"/>
        <v/>
      </c>
      <c r="N103" s="2" t="str">
        <f t="shared" si="12"/>
        <v/>
      </c>
      <c r="O103" s="2" t="str">
        <f t="shared" ref="O103:S103" si="96">X43</f>
        <v/>
      </c>
      <c r="P103" s="2" t="str">
        <f t="shared" si="96"/>
        <v/>
      </c>
      <c r="Q103" s="2" t="str">
        <f t="shared" si="96"/>
        <v/>
      </c>
      <c r="R103" s="2" t="str">
        <f t="shared" si="96"/>
        <v/>
      </c>
      <c r="S103" s="2" t="str">
        <f t="shared" si="96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 hidden="1">
      <c r="A104" s="178" t="str">
        <f t="shared" si="9"/>
        <v>Schmid</v>
      </c>
      <c r="B104" s="178" t="str">
        <f t="shared" ref="B104:K104" si="97">L44</f>
        <v>Win</v>
      </c>
      <c r="C104" s="178">
        <f t="shared" si="97"/>
        <v>1</v>
      </c>
      <c r="D104" s="178">
        <f t="shared" si="97"/>
        <v>18</v>
      </c>
      <c r="E104" s="178">
        <f t="shared" si="97"/>
        <v>13</v>
      </c>
      <c r="F104" s="178">
        <f t="shared" si="97"/>
        <v>0</v>
      </c>
      <c r="G104" s="178">
        <f t="shared" si="97"/>
        <v>4</v>
      </c>
      <c r="H104" s="178">
        <f t="shared" si="97"/>
        <v>1</v>
      </c>
      <c r="I104" s="178">
        <f t="shared" si="97"/>
        <v>20</v>
      </c>
      <c r="J104" s="2" t="str">
        <f t="shared" si="97"/>
        <v/>
      </c>
      <c r="K104" s="2" t="str">
        <f t="shared" si="97"/>
        <v/>
      </c>
      <c r="L104" s="2" t="str">
        <f t="shared" si="19"/>
        <v/>
      </c>
      <c r="M104" s="2" t="str">
        <f t="shared" si="11"/>
        <v/>
      </c>
      <c r="N104" s="2" t="str">
        <f t="shared" si="12"/>
        <v/>
      </c>
      <c r="O104" s="2" t="str">
        <f t="shared" ref="O104:S104" si="98">X44</f>
        <v/>
      </c>
      <c r="P104" s="2" t="str">
        <f t="shared" si="98"/>
        <v/>
      </c>
      <c r="Q104" s="2" t="str">
        <f t="shared" si="98"/>
        <v/>
      </c>
      <c r="R104" s="2" t="str">
        <f t="shared" si="98"/>
        <v/>
      </c>
      <c r="S104" s="2" t="str">
        <f t="shared" si="98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 hidden="1">
      <c r="A105" s="178" t="str">
        <f t="shared" si="9"/>
        <v>DC</v>
      </c>
      <c r="B105" s="178" t="str">
        <f t="shared" ref="B105:K105" si="99">L45</f>
        <v>Win</v>
      </c>
      <c r="C105" s="178">
        <f t="shared" si="99"/>
        <v>2</v>
      </c>
      <c r="D105" s="178">
        <f t="shared" si="99"/>
        <v>17</v>
      </c>
      <c r="E105" s="178">
        <f t="shared" si="99"/>
        <v>8</v>
      </c>
      <c r="F105" s="178">
        <f t="shared" si="99"/>
        <v>0</v>
      </c>
      <c r="G105" s="178">
        <f t="shared" si="99"/>
        <v>8</v>
      </c>
      <c r="H105" s="178">
        <f t="shared" si="99"/>
        <v>1</v>
      </c>
      <c r="I105" s="178">
        <f t="shared" si="99"/>
        <v>24</v>
      </c>
      <c r="J105" s="2" t="str">
        <f t="shared" si="99"/>
        <v/>
      </c>
      <c r="K105" s="2" t="str">
        <f t="shared" si="99"/>
        <v/>
      </c>
      <c r="L105" s="2" t="str">
        <f t="shared" si="19"/>
        <v/>
      </c>
      <c r="M105" s="2" t="str">
        <f t="shared" si="11"/>
        <v/>
      </c>
      <c r="N105" s="2" t="str">
        <f t="shared" si="12"/>
        <v/>
      </c>
      <c r="O105" s="2" t="str">
        <f t="shared" ref="O105:S105" si="100">X45</f>
        <v/>
      </c>
      <c r="P105" s="2" t="str">
        <f t="shared" si="100"/>
        <v/>
      </c>
      <c r="Q105" s="2" t="str">
        <f t="shared" si="100"/>
        <v/>
      </c>
      <c r="R105" s="2" t="str">
        <f t="shared" si="100"/>
        <v/>
      </c>
      <c r="S105" s="2" t="str">
        <f t="shared" si="100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 hidden="1">
      <c r="A106" s="178" t="str">
        <f t="shared" si="9"/>
        <v>Steven</v>
      </c>
      <c r="B106" s="178" t="str">
        <f t="shared" ref="B106:K106" si="101">L46</f>
        <v>Win</v>
      </c>
      <c r="C106" s="178">
        <f t="shared" si="101"/>
        <v>4</v>
      </c>
      <c r="D106" s="178">
        <f t="shared" si="101"/>
        <v>19</v>
      </c>
      <c r="E106" s="178">
        <f t="shared" si="101"/>
        <v>0</v>
      </c>
      <c r="F106" s="178">
        <f t="shared" si="101"/>
        <v>1</v>
      </c>
      <c r="G106" s="178">
        <f t="shared" si="101"/>
        <v>17</v>
      </c>
      <c r="H106" s="178">
        <f t="shared" si="101"/>
        <v>1</v>
      </c>
      <c r="I106" s="178">
        <f t="shared" si="101"/>
        <v>20</v>
      </c>
      <c r="J106" s="2" t="str">
        <f t="shared" si="101"/>
        <v/>
      </c>
      <c r="K106" s="2" t="str">
        <f t="shared" si="101"/>
        <v/>
      </c>
      <c r="L106" s="2" t="str">
        <f t="shared" si="19"/>
        <v/>
      </c>
      <c r="M106" s="2" t="str">
        <f t="shared" si="11"/>
        <v/>
      </c>
      <c r="N106" s="2" t="str">
        <f t="shared" si="12"/>
        <v/>
      </c>
      <c r="O106" s="2" t="str">
        <f t="shared" ref="O106:S106" si="102">X46</f>
        <v/>
      </c>
      <c r="P106" s="2" t="str">
        <f t="shared" si="102"/>
        <v/>
      </c>
      <c r="Q106" s="2" t="str">
        <f t="shared" si="102"/>
        <v/>
      </c>
      <c r="R106" s="2" t="str">
        <f t="shared" si="102"/>
        <v/>
      </c>
      <c r="S106" s="2" t="str">
        <f t="shared" si="102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 hidden="1">
      <c r="A107" s="178" t="str">
        <f t="shared" si="9"/>
        <v>Dave</v>
      </c>
      <c r="B107" s="178" t="str">
        <f t="shared" ref="B107:K107" si="103">L47</f>
        <v>Win</v>
      </c>
      <c r="C107" s="178">
        <f t="shared" si="103"/>
        <v>5</v>
      </c>
      <c r="D107" s="178">
        <f t="shared" si="103"/>
        <v>10</v>
      </c>
      <c r="E107" s="178">
        <f t="shared" si="103"/>
        <v>6</v>
      </c>
      <c r="F107" s="178">
        <f t="shared" si="103"/>
        <v>1</v>
      </c>
      <c r="G107" s="178">
        <f t="shared" si="103"/>
        <v>3</v>
      </c>
      <c r="H107" s="178">
        <f t="shared" si="103"/>
        <v>0</v>
      </c>
      <c r="I107" s="178">
        <f t="shared" si="103"/>
        <v>23</v>
      </c>
      <c r="J107" s="2" t="str">
        <f t="shared" si="103"/>
        <v/>
      </c>
      <c r="K107" s="2" t="str">
        <f t="shared" si="103"/>
        <v/>
      </c>
      <c r="L107" s="2" t="str">
        <f t="shared" si="19"/>
        <v/>
      </c>
      <c r="M107" s="2" t="str">
        <f t="shared" si="11"/>
        <v/>
      </c>
      <c r="N107" s="2" t="str">
        <f t="shared" si="12"/>
        <v/>
      </c>
      <c r="O107" s="2" t="str">
        <f t="shared" ref="O107:S107" si="104">X47</f>
        <v/>
      </c>
      <c r="P107" s="2" t="str">
        <f t="shared" si="104"/>
        <v/>
      </c>
      <c r="Q107" s="2" t="str">
        <f t="shared" si="104"/>
        <v/>
      </c>
      <c r="R107" s="2" t="str">
        <f t="shared" si="104"/>
        <v/>
      </c>
      <c r="S107" s="2" t="str">
        <f t="shared" si="104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 hidden="1">
      <c r="A108" s="178" t="str">
        <f t="shared" si="9"/>
        <v>Lulu</v>
      </c>
      <c r="B108" s="178" t="str">
        <f t="shared" ref="B108:K108" si="105">L48</f>
        <v>Win</v>
      </c>
      <c r="C108" s="178">
        <f t="shared" si="105"/>
        <v>3</v>
      </c>
      <c r="D108" s="178">
        <f t="shared" si="105"/>
        <v>11</v>
      </c>
      <c r="E108" s="178">
        <f t="shared" si="105"/>
        <v>5</v>
      </c>
      <c r="F108" s="178">
        <f t="shared" si="105"/>
        <v>1</v>
      </c>
      <c r="G108" s="178">
        <f t="shared" si="105"/>
        <v>5</v>
      </c>
      <c r="H108" s="178">
        <f t="shared" si="105"/>
        <v>0</v>
      </c>
      <c r="I108" s="178">
        <f t="shared" si="105"/>
        <v>24</v>
      </c>
      <c r="J108" s="2" t="str">
        <f t="shared" si="105"/>
        <v/>
      </c>
      <c r="K108" s="2" t="str">
        <f t="shared" si="105"/>
        <v/>
      </c>
      <c r="L108" s="2" t="str">
        <f t="shared" si="19"/>
        <v/>
      </c>
      <c r="M108" s="2" t="str">
        <f t="shared" si="11"/>
        <v/>
      </c>
      <c r="N108" s="2" t="str">
        <f t="shared" si="12"/>
        <v/>
      </c>
      <c r="O108" s="2" t="str">
        <f t="shared" ref="O108:S108" si="106">X48</f>
        <v/>
      </c>
      <c r="P108" s="2" t="str">
        <f t="shared" si="106"/>
        <v/>
      </c>
      <c r="Q108" s="2" t="str">
        <f t="shared" si="106"/>
        <v/>
      </c>
      <c r="R108" s="2" t="str">
        <f t="shared" si="106"/>
        <v/>
      </c>
      <c r="S108" s="2" t="str">
        <f t="shared" si="106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 hidden="1">
      <c r="A109" s="178" t="str">
        <f t="shared" si="9"/>
        <v>Will</v>
      </c>
      <c r="B109" s="178" t="str">
        <f t="shared" ref="B109:K109" si="107">L49</f>
        <v>Win</v>
      </c>
      <c r="C109" s="178" t="str">
        <f t="shared" si="107"/>
        <v/>
      </c>
      <c r="D109" s="178" t="str">
        <f t="shared" si="107"/>
        <v/>
      </c>
      <c r="E109" s="178" t="str">
        <f t="shared" si="107"/>
        <v/>
      </c>
      <c r="F109" s="178" t="str">
        <f t="shared" si="107"/>
        <v/>
      </c>
      <c r="G109" s="178" t="str">
        <f t="shared" si="107"/>
        <v/>
      </c>
      <c r="H109" s="178" t="str">
        <f t="shared" si="107"/>
        <v/>
      </c>
      <c r="I109" s="178" t="str">
        <f t="shared" si="107"/>
        <v/>
      </c>
      <c r="J109" s="2" t="str">
        <f t="shared" si="107"/>
        <v/>
      </c>
      <c r="K109" s="2" t="str">
        <f t="shared" si="107"/>
        <v/>
      </c>
      <c r="L109" s="2" t="str">
        <f t="shared" si="19"/>
        <v/>
      </c>
      <c r="M109" s="2" t="str">
        <f t="shared" si="11"/>
        <v/>
      </c>
      <c r="N109" s="2" t="str">
        <f t="shared" si="12"/>
        <v/>
      </c>
      <c r="O109" s="2" t="str">
        <f t="shared" ref="O109:S109" si="108">X49</f>
        <v/>
      </c>
      <c r="P109" s="2" t="str">
        <f t="shared" si="108"/>
        <v/>
      </c>
      <c r="Q109" s="2" t="str">
        <f t="shared" si="108"/>
        <v/>
      </c>
      <c r="R109" s="2" t="str">
        <f t="shared" si="108"/>
        <v/>
      </c>
      <c r="S109" s="2" t="str">
        <f t="shared" si="108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 hidden="1">
      <c r="A110" s="178" t="str">
        <f t="shared" si="9"/>
        <v>Hershey</v>
      </c>
      <c r="B110" s="178" t="str">
        <f t="shared" ref="B110:K110" si="109">L50</f>
        <v>Win</v>
      </c>
      <c r="C110" s="178" t="str">
        <f t="shared" si="109"/>
        <v/>
      </c>
      <c r="D110" s="178" t="str">
        <f t="shared" si="109"/>
        <v/>
      </c>
      <c r="E110" s="178" t="str">
        <f t="shared" si="109"/>
        <v/>
      </c>
      <c r="F110" s="178" t="str">
        <f t="shared" si="109"/>
        <v/>
      </c>
      <c r="G110" s="178" t="str">
        <f t="shared" si="109"/>
        <v/>
      </c>
      <c r="H110" s="178" t="str">
        <f t="shared" si="109"/>
        <v/>
      </c>
      <c r="I110" s="178" t="str">
        <f t="shared" si="109"/>
        <v/>
      </c>
      <c r="J110" s="2" t="str">
        <f t="shared" si="109"/>
        <v/>
      </c>
      <c r="K110" s="2" t="str">
        <f t="shared" si="109"/>
        <v/>
      </c>
      <c r="L110" s="2" t="str">
        <f t="shared" si="19"/>
        <v/>
      </c>
      <c r="M110" s="2" t="str">
        <f t="shared" si="11"/>
        <v/>
      </c>
      <c r="N110" s="2" t="str">
        <f t="shared" si="12"/>
        <v/>
      </c>
      <c r="O110" s="2" t="str">
        <f t="shared" ref="O110:S110" si="110">X50</f>
        <v/>
      </c>
      <c r="P110" s="2" t="str">
        <f t="shared" si="110"/>
        <v/>
      </c>
      <c r="Q110" s="2" t="str">
        <f t="shared" si="110"/>
        <v/>
      </c>
      <c r="R110" s="2" t="str">
        <f t="shared" si="110"/>
        <v/>
      </c>
      <c r="S110" s="2" t="str">
        <f t="shared" si="110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 hidden="1">
      <c r="A111" s="178" t="str">
        <f t="shared" si="9"/>
        <v>Byun</v>
      </c>
      <c r="B111" s="178" t="str">
        <f t="shared" ref="B111:K111" si="111">L51</f>
        <v>Win</v>
      </c>
      <c r="C111" s="178" t="str">
        <f t="shared" si="111"/>
        <v/>
      </c>
      <c r="D111" s="178" t="str">
        <f t="shared" si="111"/>
        <v/>
      </c>
      <c r="E111" s="178" t="str">
        <f t="shared" si="111"/>
        <v/>
      </c>
      <c r="F111" s="178" t="str">
        <f t="shared" si="111"/>
        <v/>
      </c>
      <c r="G111" s="178" t="str">
        <f t="shared" si="111"/>
        <v/>
      </c>
      <c r="H111" s="178" t="str">
        <f t="shared" si="111"/>
        <v/>
      </c>
      <c r="I111" s="178" t="str">
        <f t="shared" si="111"/>
        <v/>
      </c>
      <c r="J111" s="2" t="str">
        <f t="shared" si="111"/>
        <v/>
      </c>
      <c r="K111" s="2" t="str">
        <f t="shared" si="111"/>
        <v/>
      </c>
      <c r="L111" s="2" t="str">
        <f t="shared" si="19"/>
        <v/>
      </c>
      <c r="M111" s="2" t="str">
        <f t="shared" si="11"/>
        <v/>
      </c>
      <c r="N111" s="2" t="str">
        <f t="shared" si="12"/>
        <v/>
      </c>
      <c r="O111" s="2" t="str">
        <f t="shared" ref="O111:S111" si="112">X51</f>
        <v/>
      </c>
      <c r="P111" s="2" t="str">
        <f t="shared" si="112"/>
        <v/>
      </c>
      <c r="Q111" s="2" t="str">
        <f t="shared" si="112"/>
        <v/>
      </c>
      <c r="R111" s="2" t="str">
        <f t="shared" si="112"/>
        <v/>
      </c>
      <c r="S111" s="2" t="str">
        <f t="shared" si="112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 hidden="1">
      <c r="A112" s="178" t="str">
        <f t="shared" si="9"/>
        <v>Ted</v>
      </c>
      <c r="B112" s="178" t="str">
        <f t="shared" ref="B112:K112" si="113">L52</f>
        <v>Win</v>
      </c>
      <c r="C112" s="178" t="str">
        <f t="shared" si="113"/>
        <v/>
      </c>
      <c r="D112" s="178" t="str">
        <f t="shared" si="113"/>
        <v/>
      </c>
      <c r="E112" s="178" t="str">
        <f t="shared" si="113"/>
        <v/>
      </c>
      <c r="F112" s="178" t="str">
        <f t="shared" si="113"/>
        <v/>
      </c>
      <c r="G112" s="178" t="str">
        <f t="shared" si="113"/>
        <v/>
      </c>
      <c r="H112" s="178" t="str">
        <f t="shared" si="113"/>
        <v/>
      </c>
      <c r="I112" s="178" t="str">
        <f t="shared" si="113"/>
        <v/>
      </c>
      <c r="J112" s="2" t="str">
        <f t="shared" si="113"/>
        <v/>
      </c>
      <c r="K112" s="2" t="str">
        <f t="shared" si="113"/>
        <v/>
      </c>
      <c r="L112" s="2" t="str">
        <f t="shared" si="19"/>
        <v/>
      </c>
      <c r="M112" s="2" t="str">
        <f t="shared" si="11"/>
        <v/>
      </c>
      <c r="N112" s="2" t="str">
        <f t="shared" si="12"/>
        <v/>
      </c>
      <c r="O112" s="2" t="str">
        <f t="shared" ref="O112:S112" si="114">X52</f>
        <v/>
      </c>
      <c r="P112" s="2" t="str">
        <f t="shared" si="114"/>
        <v/>
      </c>
      <c r="Q112" s="2" t="str">
        <f t="shared" si="114"/>
        <v/>
      </c>
      <c r="R112" s="2" t="str">
        <f t="shared" si="114"/>
        <v/>
      </c>
      <c r="S112" s="2" t="str">
        <f t="shared" si="114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 hidden="1">
      <c r="A113" s="178" t="str">
        <f t="shared" si="9"/>
        <v>Gio</v>
      </c>
      <c r="B113" s="178" t="str">
        <f t="shared" ref="B113:K113" si="115">L53</f>
        <v>Win</v>
      </c>
      <c r="C113" s="178" t="str">
        <f t="shared" si="115"/>
        <v/>
      </c>
      <c r="D113" s="178" t="str">
        <f t="shared" si="115"/>
        <v/>
      </c>
      <c r="E113" s="178" t="str">
        <f t="shared" si="115"/>
        <v/>
      </c>
      <c r="F113" s="178" t="str">
        <f t="shared" si="115"/>
        <v/>
      </c>
      <c r="G113" s="178" t="str">
        <f t="shared" si="115"/>
        <v/>
      </c>
      <c r="H113" s="178" t="str">
        <f t="shared" si="115"/>
        <v/>
      </c>
      <c r="I113" s="178" t="str">
        <f t="shared" si="115"/>
        <v/>
      </c>
      <c r="J113" s="2" t="str">
        <f t="shared" si="115"/>
        <v/>
      </c>
      <c r="K113" s="2" t="str">
        <f t="shared" si="115"/>
        <v/>
      </c>
      <c r="L113" s="2" t="str">
        <f t="shared" si="19"/>
        <v/>
      </c>
      <c r="M113" s="2" t="str">
        <f t="shared" si="11"/>
        <v/>
      </c>
      <c r="N113" s="2" t="str">
        <f t="shared" si="12"/>
        <v/>
      </c>
      <c r="O113" s="2" t="str">
        <f t="shared" ref="O113:S113" si="116">X53</f>
        <v/>
      </c>
      <c r="P113" s="2" t="str">
        <f t="shared" si="116"/>
        <v/>
      </c>
      <c r="Q113" s="2" t="str">
        <f t="shared" si="116"/>
        <v/>
      </c>
      <c r="R113" s="2" t="str">
        <f t="shared" si="116"/>
        <v/>
      </c>
      <c r="S113" s="2" t="str">
        <f t="shared" si="116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 hidden="1">
      <c r="A114" s="178" t="str">
        <f t="shared" si="9"/>
        <v/>
      </c>
      <c r="B114" s="178" t="str">
        <f t="shared" ref="B114:K114" si="117">L54</f>
        <v>Win</v>
      </c>
      <c r="C114" s="178" t="str">
        <f t="shared" si="117"/>
        <v/>
      </c>
      <c r="D114" s="178" t="str">
        <f t="shared" si="117"/>
        <v/>
      </c>
      <c r="E114" s="178" t="str">
        <f t="shared" si="117"/>
        <v/>
      </c>
      <c r="F114" s="178" t="str">
        <f t="shared" si="117"/>
        <v/>
      </c>
      <c r="G114" s="178" t="str">
        <f t="shared" si="117"/>
        <v/>
      </c>
      <c r="H114" s="178" t="str">
        <f t="shared" si="117"/>
        <v/>
      </c>
      <c r="I114" s="178" t="str">
        <f t="shared" si="117"/>
        <v/>
      </c>
      <c r="J114" s="2" t="str">
        <f t="shared" si="117"/>
        <v/>
      </c>
      <c r="K114" s="2" t="str">
        <f t="shared" si="117"/>
        <v/>
      </c>
      <c r="L114" s="2" t="str">
        <f t="shared" si="19"/>
        <v/>
      </c>
      <c r="M114" s="2" t="str">
        <f t="shared" si="11"/>
        <v/>
      </c>
      <c r="N114" s="2" t="str">
        <f t="shared" si="12"/>
        <v/>
      </c>
      <c r="O114" s="2" t="str">
        <f t="shared" ref="O114:S114" si="118">X54</f>
        <v/>
      </c>
      <c r="P114" s="2" t="str">
        <f t="shared" si="118"/>
        <v/>
      </c>
      <c r="Q114" s="2" t="str">
        <f t="shared" si="118"/>
        <v/>
      </c>
      <c r="R114" s="2" t="str">
        <f t="shared" si="118"/>
        <v/>
      </c>
      <c r="S114" s="2" t="str">
        <f t="shared" si="118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 hidden="1">
      <c r="A115" s="178" t="str">
        <f t="shared" si="9"/>
        <v/>
      </c>
      <c r="B115" s="178" t="str">
        <f t="shared" ref="B115:K115" si="119">L55</f>
        <v>Win</v>
      </c>
      <c r="C115" s="178" t="str">
        <f t="shared" si="119"/>
        <v/>
      </c>
      <c r="D115" s="178" t="str">
        <f t="shared" si="119"/>
        <v/>
      </c>
      <c r="E115" s="178" t="str">
        <f t="shared" si="119"/>
        <v/>
      </c>
      <c r="F115" s="178" t="str">
        <f t="shared" si="119"/>
        <v/>
      </c>
      <c r="G115" s="178" t="str">
        <f t="shared" si="119"/>
        <v/>
      </c>
      <c r="H115" s="178" t="str">
        <f t="shared" si="119"/>
        <v/>
      </c>
      <c r="I115" s="178" t="str">
        <f t="shared" si="119"/>
        <v/>
      </c>
      <c r="J115" s="2" t="str">
        <f t="shared" si="119"/>
        <v/>
      </c>
      <c r="K115" s="2" t="str">
        <f t="shared" si="119"/>
        <v/>
      </c>
      <c r="L115" s="2" t="str">
        <f t="shared" si="19"/>
        <v/>
      </c>
      <c r="M115" s="2" t="str">
        <f t="shared" si="11"/>
        <v/>
      </c>
      <c r="N115" s="2" t="str">
        <f t="shared" si="12"/>
        <v/>
      </c>
      <c r="O115" s="2" t="str">
        <f t="shared" ref="O115:S115" si="120">X55</f>
        <v/>
      </c>
      <c r="P115" s="2" t="str">
        <f t="shared" si="120"/>
        <v/>
      </c>
      <c r="Q115" s="2" t="str">
        <f t="shared" si="120"/>
        <v/>
      </c>
      <c r="R115" s="2" t="str">
        <f t="shared" si="120"/>
        <v/>
      </c>
      <c r="S115" s="2" t="str">
        <f t="shared" si="120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 hidden="1">
      <c r="A116" s="178" t="str">
        <f t="shared" si="9"/>
        <v/>
      </c>
      <c r="B116" s="178" t="str">
        <f t="shared" ref="B116:K116" si="121">L56</f>
        <v>Win</v>
      </c>
      <c r="C116" s="178" t="str">
        <f t="shared" si="121"/>
        <v/>
      </c>
      <c r="D116" s="178" t="str">
        <f t="shared" si="121"/>
        <v/>
      </c>
      <c r="E116" s="178" t="str">
        <f t="shared" si="121"/>
        <v/>
      </c>
      <c r="F116" s="178" t="str">
        <f t="shared" si="121"/>
        <v/>
      </c>
      <c r="G116" s="178" t="str">
        <f t="shared" si="121"/>
        <v/>
      </c>
      <c r="H116" s="178" t="str">
        <f t="shared" si="121"/>
        <v/>
      </c>
      <c r="I116" s="178" t="str">
        <f t="shared" si="121"/>
        <v/>
      </c>
      <c r="J116" s="2" t="str">
        <f t="shared" si="121"/>
        <v/>
      </c>
      <c r="K116" s="2" t="str">
        <f t="shared" si="121"/>
        <v/>
      </c>
      <c r="L116" s="2" t="str">
        <f t="shared" si="19"/>
        <v/>
      </c>
      <c r="M116" s="2" t="str">
        <f t="shared" si="11"/>
        <v/>
      </c>
      <c r="N116" s="2" t="str">
        <f t="shared" si="12"/>
        <v/>
      </c>
      <c r="O116" s="2" t="str">
        <f t="shared" ref="O116:S116" si="122">X56</f>
        <v/>
      </c>
      <c r="P116" s="2" t="str">
        <f t="shared" si="122"/>
        <v/>
      </c>
      <c r="Q116" s="2" t="str">
        <f t="shared" si="122"/>
        <v/>
      </c>
      <c r="R116" s="2" t="str">
        <f t="shared" si="122"/>
        <v/>
      </c>
      <c r="S116" s="2" t="str">
        <f t="shared" si="122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 hidden="1">
      <c r="A117" s="178" t="str">
        <f t="shared" si="9"/>
        <v/>
      </c>
      <c r="B117" s="178" t="str">
        <f t="shared" ref="B117:K117" si="123">L57</f>
        <v>Win</v>
      </c>
      <c r="C117" s="178" t="str">
        <f t="shared" si="123"/>
        <v/>
      </c>
      <c r="D117" s="178" t="str">
        <f t="shared" si="123"/>
        <v/>
      </c>
      <c r="E117" s="178" t="str">
        <f t="shared" si="123"/>
        <v/>
      </c>
      <c r="F117" s="178" t="str">
        <f t="shared" si="123"/>
        <v/>
      </c>
      <c r="G117" s="178" t="str">
        <f t="shared" si="123"/>
        <v/>
      </c>
      <c r="H117" s="178" t="str">
        <f t="shared" si="123"/>
        <v/>
      </c>
      <c r="I117" s="178" t="str">
        <f t="shared" si="123"/>
        <v/>
      </c>
      <c r="J117" s="2" t="str">
        <f t="shared" si="123"/>
        <v/>
      </c>
      <c r="K117" s="2" t="str">
        <f t="shared" si="123"/>
        <v/>
      </c>
      <c r="L117" s="2" t="str">
        <f t="shared" si="19"/>
        <v/>
      </c>
      <c r="M117" s="2" t="str">
        <f t="shared" si="11"/>
        <v/>
      </c>
      <c r="N117" s="2" t="str">
        <f t="shared" si="12"/>
        <v/>
      </c>
      <c r="O117" s="2" t="str">
        <f t="shared" ref="O117:S117" si="124">X57</f>
        <v/>
      </c>
      <c r="P117" s="2" t="str">
        <f t="shared" si="124"/>
        <v/>
      </c>
      <c r="Q117" s="2" t="str">
        <f t="shared" si="124"/>
        <v/>
      </c>
      <c r="R117" s="2" t="str">
        <f t="shared" si="124"/>
        <v/>
      </c>
      <c r="S117" s="2" t="str">
        <f t="shared" si="124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 hidden="1">
      <c r="A118" s="178" t="str">
        <f t="shared" si="9"/>
        <v>Pulled Cups</v>
      </c>
      <c r="B118" s="178" t="str">
        <f t="shared" ref="B118:K118" si="125">L58</f>
        <v/>
      </c>
      <c r="C118" s="178" t="str">
        <f t="shared" si="125"/>
        <v/>
      </c>
      <c r="D118" s="178">
        <f t="shared" si="125"/>
        <v>1</v>
      </c>
      <c r="E118" s="178" t="str">
        <f t="shared" si="125"/>
        <v/>
      </c>
      <c r="F118" s="178" t="str">
        <f t="shared" si="125"/>
        <v/>
      </c>
      <c r="G118" s="178" t="str">
        <f t="shared" si="125"/>
        <v/>
      </c>
      <c r="H118" s="178" t="str">
        <f t="shared" si="125"/>
        <v/>
      </c>
      <c r="I118" s="178" t="str">
        <f t="shared" si="125"/>
        <v/>
      </c>
      <c r="J118" s="2" t="str">
        <f t="shared" si="125"/>
        <v/>
      </c>
      <c r="K118" s="2" t="str">
        <f t="shared" si="125"/>
        <v/>
      </c>
      <c r="L118" s="2" t="str">
        <f t="shared" si="19"/>
        <v/>
      </c>
      <c r="M118" s="2" t="str">
        <f t="shared" si="11"/>
        <v/>
      </c>
      <c r="N118" s="2" t="str">
        <f t="shared" si="12"/>
        <v/>
      </c>
      <c r="O118" s="2" t="str">
        <f t="shared" ref="O118:S118" si="126">X58</f>
        <v/>
      </c>
      <c r="P118" s="2" t="str">
        <f t="shared" si="126"/>
        <v/>
      </c>
      <c r="Q118" s="2" t="str">
        <f t="shared" si="126"/>
        <v/>
      </c>
      <c r="R118" s="2" t="str">
        <f t="shared" si="126"/>
        <v/>
      </c>
      <c r="S118" s="2" t="str">
        <f t="shared" si="126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 hidden="1">
      <c r="A119" s="178" t="str">
        <f t="shared" si="9"/>
        <v>Total</v>
      </c>
      <c r="B119" s="178" t="str">
        <f t="shared" ref="B119:K119" si="127">L59</f>
        <v/>
      </c>
      <c r="C119" s="178" t="str">
        <f t="shared" si="127"/>
        <v/>
      </c>
      <c r="D119" s="179">
        <f t="shared" si="127"/>
        <v>100</v>
      </c>
      <c r="E119" s="178" t="str">
        <f t="shared" si="127"/>
        <v/>
      </c>
      <c r="F119" s="178" t="str">
        <f t="shared" si="127"/>
        <v/>
      </c>
      <c r="G119" s="178" t="str">
        <f t="shared" si="127"/>
        <v/>
      </c>
      <c r="H119" s="178" t="str">
        <f t="shared" si="127"/>
        <v/>
      </c>
      <c r="I119" s="180">
        <f t="shared" si="127"/>
        <v>0.4323144105</v>
      </c>
      <c r="J119" s="2" t="str">
        <f t="shared" si="127"/>
        <v/>
      </c>
      <c r="K119" s="2" t="str">
        <f t="shared" si="127"/>
        <v/>
      </c>
      <c r="L119" s="2" t="str">
        <f t="shared" si="19"/>
        <v/>
      </c>
      <c r="M119" s="2" t="str">
        <f t="shared" si="11"/>
        <v/>
      </c>
      <c r="N119" s="129" t="str">
        <f t="shared" si="12"/>
        <v/>
      </c>
      <c r="O119" s="2" t="str">
        <f t="shared" ref="O119:S119" si="128">X59</f>
        <v/>
      </c>
      <c r="P119" s="2" t="str">
        <f t="shared" si="128"/>
        <v/>
      </c>
      <c r="Q119" s="2" t="str">
        <f t="shared" si="128"/>
        <v/>
      </c>
      <c r="R119" s="2" t="str">
        <f t="shared" si="128"/>
        <v/>
      </c>
      <c r="S119" s="2" t="str">
        <f t="shared" si="128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 t="str">
        <f t="shared" si="9"/>
        <v/>
      </c>
      <c r="B120" s="2" t="str">
        <f t="shared" ref="B120:B175" si="131">M60</f>
        <v/>
      </c>
      <c r="C120" s="2" t="str">
        <f t="shared" ref="C120:K120" si="129">M60</f>
        <v/>
      </c>
      <c r="D120" s="2" t="str">
        <f t="shared" si="129"/>
        <v/>
      </c>
      <c r="E120" s="2" t="str">
        <f t="shared" si="129"/>
        <v/>
      </c>
      <c r="F120" s="2" t="str">
        <f t="shared" si="129"/>
        <v/>
      </c>
      <c r="G120" s="2" t="str">
        <f t="shared" si="129"/>
        <v/>
      </c>
      <c r="H120" s="2" t="str">
        <f t="shared" si="129"/>
        <v/>
      </c>
      <c r="I120" s="2" t="str">
        <f t="shared" si="129"/>
        <v/>
      </c>
      <c r="J120" s="2" t="str">
        <f t="shared" si="129"/>
        <v/>
      </c>
      <c r="K120" s="2" t="str">
        <f t="shared" si="129"/>
        <v/>
      </c>
      <c r="L120" s="2" t="str">
        <f t="shared" si="19"/>
        <v/>
      </c>
      <c r="M120" s="2" t="str">
        <f t="shared" si="11"/>
        <v/>
      </c>
      <c r="N120" s="2" t="str">
        <f t="shared" si="12"/>
        <v/>
      </c>
      <c r="O120" s="2" t="str">
        <f t="shared" ref="O120:S120" si="130">X60</f>
        <v/>
      </c>
      <c r="P120" s="2" t="str">
        <f t="shared" si="130"/>
        <v/>
      </c>
      <c r="Q120" s="2" t="str">
        <f t="shared" si="130"/>
        <v/>
      </c>
      <c r="R120" s="2" t="str">
        <f t="shared" si="130"/>
        <v/>
      </c>
      <c r="S120" s="2" t="str">
        <f t="shared" si="130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31"/>
        <v/>
      </c>
      <c r="C121" s="2" t="str">
        <f t="shared" ref="C121:K121" si="132">M61</f>
        <v/>
      </c>
      <c r="D121" s="2" t="str">
        <f t="shared" si="132"/>
        <v/>
      </c>
      <c r="E121" s="2" t="str">
        <f t="shared" si="132"/>
        <v/>
      </c>
      <c r="F121" s="2" t="str">
        <f t="shared" si="132"/>
        <v/>
      </c>
      <c r="G121" s="2" t="str">
        <f t="shared" si="132"/>
        <v/>
      </c>
      <c r="H121" s="2" t="str">
        <f t="shared" si="132"/>
        <v/>
      </c>
      <c r="I121" s="2" t="str">
        <f t="shared" si="132"/>
        <v/>
      </c>
      <c r="J121" s="2" t="str">
        <f t="shared" si="132"/>
        <v/>
      </c>
      <c r="K121" s="2" t="str">
        <f t="shared" si="132"/>
        <v/>
      </c>
      <c r="L121" s="2" t="str">
        <f t="shared" si="19"/>
        <v/>
      </c>
      <c r="M121" s="2" t="str">
        <f t="shared" si="11"/>
        <v/>
      </c>
      <c r="N121" s="2" t="str">
        <f t="shared" si="12"/>
        <v/>
      </c>
      <c r="O121" s="2" t="str">
        <f t="shared" ref="O121:S121" si="133">X61</f>
        <v/>
      </c>
      <c r="P121" s="2" t="str">
        <f t="shared" si="133"/>
        <v/>
      </c>
      <c r="Q121" s="2" t="str">
        <f t="shared" si="133"/>
        <v/>
      </c>
      <c r="R121" s="2" t="str">
        <f t="shared" si="133"/>
        <v/>
      </c>
      <c r="S121" s="2" t="str">
        <f t="shared" si="133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31"/>
        <v/>
      </c>
      <c r="C122" s="2" t="str">
        <f t="shared" ref="C122:K122" si="134">M62</f>
        <v/>
      </c>
      <c r="D122" s="2" t="str">
        <f t="shared" si="134"/>
        <v/>
      </c>
      <c r="E122" s="2" t="str">
        <f t="shared" si="134"/>
        <v/>
      </c>
      <c r="F122" s="2" t="str">
        <f t="shared" si="134"/>
        <v/>
      </c>
      <c r="G122" s="2" t="str">
        <f t="shared" si="134"/>
        <v/>
      </c>
      <c r="H122" s="2" t="str">
        <f t="shared" si="134"/>
        <v/>
      </c>
      <c r="I122" s="2" t="str">
        <f t="shared" si="134"/>
        <v/>
      </c>
      <c r="J122" s="2" t="str">
        <f t="shared" si="134"/>
        <v/>
      </c>
      <c r="K122" s="2" t="str">
        <f t="shared" si="134"/>
        <v/>
      </c>
      <c r="L122" s="2" t="str">
        <f t="shared" si="19"/>
        <v/>
      </c>
      <c r="M122" s="2" t="str">
        <f t="shared" si="11"/>
        <v/>
      </c>
      <c r="N122" s="2" t="str">
        <f t="shared" si="12"/>
        <v/>
      </c>
      <c r="O122" s="2" t="str">
        <f t="shared" ref="O122:S122" si="135">X62</f>
        <v/>
      </c>
      <c r="P122" s="2" t="str">
        <f t="shared" si="135"/>
        <v/>
      </c>
      <c r="Q122" s="2" t="str">
        <f t="shared" si="135"/>
        <v/>
      </c>
      <c r="R122" s="2" t="str">
        <f t="shared" si="135"/>
        <v/>
      </c>
      <c r="S122" s="2" t="str">
        <f t="shared" si="135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31"/>
        <v/>
      </c>
      <c r="C123" s="2" t="str">
        <f t="shared" ref="C123:K123" si="136">M63</f>
        <v/>
      </c>
      <c r="D123" s="2" t="str">
        <f t="shared" si="136"/>
        <v/>
      </c>
      <c r="E123" s="2" t="str">
        <f t="shared" si="136"/>
        <v/>
      </c>
      <c r="F123" s="2" t="str">
        <f t="shared" si="136"/>
        <v/>
      </c>
      <c r="G123" s="2" t="str">
        <f t="shared" si="136"/>
        <v/>
      </c>
      <c r="H123" s="2" t="str">
        <f t="shared" si="136"/>
        <v/>
      </c>
      <c r="I123" s="2" t="str">
        <f t="shared" si="136"/>
        <v/>
      </c>
      <c r="J123" s="2" t="str">
        <f t="shared" si="136"/>
        <v/>
      </c>
      <c r="K123" s="2" t="str">
        <f t="shared" si="136"/>
        <v/>
      </c>
      <c r="L123" s="2" t="str">
        <f t="shared" si="19"/>
        <v/>
      </c>
      <c r="M123" s="2" t="str">
        <f t="shared" si="11"/>
        <v/>
      </c>
      <c r="N123" s="2" t="str">
        <f t="shared" si="12"/>
        <v/>
      </c>
      <c r="O123" s="2" t="str">
        <f t="shared" ref="O123:S123" si="137">X63</f>
        <v/>
      </c>
      <c r="P123" s="2" t="str">
        <f t="shared" si="137"/>
        <v/>
      </c>
      <c r="Q123" s="2" t="str">
        <f t="shared" si="137"/>
        <v/>
      </c>
      <c r="R123" s="2" t="str">
        <f t="shared" si="137"/>
        <v/>
      </c>
      <c r="S123" s="2" t="str">
        <f t="shared" si="137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31"/>
        <v/>
      </c>
      <c r="C124" s="2" t="str">
        <f t="shared" ref="C124:K124" si="138">M64</f>
        <v/>
      </c>
      <c r="D124" s="2" t="str">
        <f t="shared" si="138"/>
        <v/>
      </c>
      <c r="E124" s="2" t="str">
        <f t="shared" si="138"/>
        <v/>
      </c>
      <c r="F124" s="2" t="str">
        <f t="shared" si="138"/>
        <v/>
      </c>
      <c r="G124" s="2" t="str">
        <f t="shared" si="138"/>
        <v/>
      </c>
      <c r="H124" s="2" t="str">
        <f t="shared" si="138"/>
        <v/>
      </c>
      <c r="I124" s="2" t="str">
        <f t="shared" si="138"/>
        <v/>
      </c>
      <c r="J124" s="2" t="str">
        <f t="shared" si="138"/>
        <v/>
      </c>
      <c r="K124" s="2" t="str">
        <f t="shared" si="138"/>
        <v/>
      </c>
      <c r="L124" s="2" t="str">
        <f t="shared" si="19"/>
        <v/>
      </c>
      <c r="M124" s="2" t="str">
        <f t="shared" si="11"/>
        <v/>
      </c>
      <c r="N124" s="2" t="str">
        <f t="shared" si="12"/>
        <v/>
      </c>
      <c r="O124" s="2" t="str">
        <f t="shared" ref="O124:S124" si="139">X64</f>
        <v/>
      </c>
      <c r="P124" s="2" t="str">
        <f t="shared" si="139"/>
        <v/>
      </c>
      <c r="Q124" s="2" t="str">
        <f t="shared" si="139"/>
        <v/>
      </c>
      <c r="R124" s="2" t="str">
        <f t="shared" si="139"/>
        <v/>
      </c>
      <c r="S124" s="2" t="str">
        <f t="shared" si="139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31"/>
        <v/>
      </c>
      <c r="C125" s="2" t="str">
        <f t="shared" ref="C125:K125" si="140">M65</f>
        <v/>
      </c>
      <c r="D125" s="2" t="str">
        <f t="shared" si="140"/>
        <v/>
      </c>
      <c r="E125" s="2" t="str">
        <f t="shared" si="140"/>
        <v/>
      </c>
      <c r="F125" s="2" t="str">
        <f t="shared" si="140"/>
        <v/>
      </c>
      <c r="G125" s="2" t="str">
        <f t="shared" si="140"/>
        <v/>
      </c>
      <c r="H125" s="2" t="str">
        <f t="shared" si="140"/>
        <v/>
      </c>
      <c r="I125" s="2" t="str">
        <f t="shared" si="140"/>
        <v/>
      </c>
      <c r="J125" s="2" t="str">
        <f t="shared" si="140"/>
        <v/>
      </c>
      <c r="K125" s="2" t="str">
        <f t="shared" si="140"/>
        <v/>
      </c>
      <c r="L125" s="2" t="str">
        <f t="shared" si="19"/>
        <v/>
      </c>
      <c r="M125" s="2" t="str">
        <f t="shared" si="11"/>
        <v/>
      </c>
      <c r="N125" s="2" t="str">
        <f t="shared" si="12"/>
        <v/>
      </c>
      <c r="O125" s="2" t="str">
        <f t="shared" ref="O125:S125" si="141">X65</f>
        <v/>
      </c>
      <c r="P125" s="2" t="str">
        <f t="shared" si="141"/>
        <v/>
      </c>
      <c r="Q125" s="2" t="str">
        <f t="shared" si="141"/>
        <v/>
      </c>
      <c r="R125" s="2" t="str">
        <f t="shared" si="141"/>
        <v/>
      </c>
      <c r="S125" s="2" t="str">
        <f t="shared" si="141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31"/>
        <v/>
      </c>
      <c r="C126" s="2" t="str">
        <f t="shared" ref="C126:K126" si="142">M66</f>
        <v/>
      </c>
      <c r="D126" s="2" t="str">
        <f t="shared" si="142"/>
        <v/>
      </c>
      <c r="E126" s="2" t="str">
        <f t="shared" si="142"/>
        <v/>
      </c>
      <c r="F126" s="2" t="str">
        <f t="shared" si="142"/>
        <v/>
      </c>
      <c r="G126" s="2" t="str">
        <f t="shared" si="142"/>
        <v/>
      </c>
      <c r="H126" s="2" t="str">
        <f t="shared" si="142"/>
        <v/>
      </c>
      <c r="I126" s="2" t="str">
        <f t="shared" si="142"/>
        <v/>
      </c>
      <c r="J126" s="2" t="str">
        <f t="shared" si="142"/>
        <v/>
      </c>
      <c r="K126" s="2" t="str">
        <f t="shared" si="142"/>
        <v/>
      </c>
      <c r="L126" s="2" t="str">
        <f t="shared" si="19"/>
        <v/>
      </c>
      <c r="M126" s="2" t="str">
        <f t="shared" si="11"/>
        <v/>
      </c>
      <c r="N126" s="2" t="str">
        <f t="shared" si="12"/>
        <v/>
      </c>
      <c r="O126" s="2" t="str">
        <f t="shared" ref="O126:S126" si="143">X66</f>
        <v/>
      </c>
      <c r="P126" s="2" t="str">
        <f t="shared" si="143"/>
        <v/>
      </c>
      <c r="Q126" s="2" t="str">
        <f t="shared" si="143"/>
        <v/>
      </c>
      <c r="R126" s="2" t="str">
        <f t="shared" si="143"/>
        <v/>
      </c>
      <c r="S126" s="2" t="str">
        <f t="shared" si="143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31"/>
        <v/>
      </c>
      <c r="C127" s="2" t="str">
        <f t="shared" ref="C127:K127" si="144">M67</f>
        <v/>
      </c>
      <c r="D127" s="2" t="str">
        <f t="shared" si="144"/>
        <v/>
      </c>
      <c r="E127" s="2" t="str">
        <f t="shared" si="144"/>
        <v/>
      </c>
      <c r="F127" s="2" t="str">
        <f t="shared" si="144"/>
        <v/>
      </c>
      <c r="G127" s="2" t="str">
        <f t="shared" si="144"/>
        <v/>
      </c>
      <c r="H127" s="2" t="str">
        <f t="shared" si="144"/>
        <v/>
      </c>
      <c r="I127" s="2" t="str">
        <f t="shared" si="144"/>
        <v/>
      </c>
      <c r="J127" s="2" t="str">
        <f t="shared" si="144"/>
        <v/>
      </c>
      <c r="K127" s="2" t="str">
        <f t="shared" si="144"/>
        <v/>
      </c>
      <c r="L127" s="2" t="str">
        <f t="shared" si="19"/>
        <v/>
      </c>
      <c r="M127" s="2" t="str">
        <f t="shared" si="11"/>
        <v/>
      </c>
      <c r="N127" s="2" t="str">
        <f t="shared" si="12"/>
        <v/>
      </c>
      <c r="O127" s="2" t="str">
        <f t="shared" ref="O127:S127" si="145">X67</f>
        <v/>
      </c>
      <c r="P127" s="2" t="str">
        <f t="shared" si="145"/>
        <v/>
      </c>
      <c r="Q127" s="2" t="str">
        <f t="shared" si="145"/>
        <v/>
      </c>
      <c r="R127" s="2" t="str">
        <f t="shared" si="145"/>
        <v/>
      </c>
      <c r="S127" s="2" t="str">
        <f t="shared" si="145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31"/>
        <v/>
      </c>
      <c r="C128" s="2" t="str">
        <f t="shared" ref="C128:K128" si="146">M68</f>
        <v/>
      </c>
      <c r="D128" s="2" t="str">
        <f t="shared" si="146"/>
        <v/>
      </c>
      <c r="E128" s="2" t="str">
        <f t="shared" si="146"/>
        <v/>
      </c>
      <c r="F128" s="2" t="str">
        <f t="shared" si="146"/>
        <v/>
      </c>
      <c r="G128" s="2" t="str">
        <f t="shared" si="146"/>
        <v/>
      </c>
      <c r="H128" s="2" t="str">
        <f t="shared" si="146"/>
        <v/>
      </c>
      <c r="I128" s="2" t="str">
        <f t="shared" si="146"/>
        <v/>
      </c>
      <c r="J128" s="2" t="str">
        <f t="shared" si="146"/>
        <v/>
      </c>
      <c r="K128" s="2" t="str">
        <f t="shared" si="146"/>
        <v/>
      </c>
      <c r="L128" s="2" t="str">
        <f t="shared" si="19"/>
        <v/>
      </c>
      <c r="M128" s="2" t="str">
        <f t="shared" si="11"/>
        <v/>
      </c>
      <c r="N128" s="2" t="str">
        <f t="shared" si="12"/>
        <v/>
      </c>
      <c r="O128" s="2" t="str">
        <f t="shared" ref="O128:S128" si="147">X68</f>
        <v/>
      </c>
      <c r="P128" s="2" t="str">
        <f t="shared" si="147"/>
        <v/>
      </c>
      <c r="Q128" s="2" t="str">
        <f t="shared" si="147"/>
        <v/>
      </c>
      <c r="R128" s="2" t="str">
        <f t="shared" si="147"/>
        <v/>
      </c>
      <c r="S128" s="2" t="str">
        <f t="shared" si="147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31"/>
        <v/>
      </c>
      <c r="C129" s="2" t="str">
        <f t="shared" ref="C129:K129" si="148">M69</f>
        <v/>
      </c>
      <c r="D129" s="2" t="str">
        <f t="shared" si="148"/>
        <v/>
      </c>
      <c r="E129" s="2" t="str">
        <f t="shared" si="148"/>
        <v/>
      </c>
      <c r="F129" s="2" t="str">
        <f t="shared" si="148"/>
        <v/>
      </c>
      <c r="G129" s="2" t="str">
        <f t="shared" si="148"/>
        <v/>
      </c>
      <c r="H129" s="2" t="str">
        <f t="shared" si="148"/>
        <v/>
      </c>
      <c r="I129" s="2" t="str">
        <f t="shared" si="148"/>
        <v/>
      </c>
      <c r="J129" s="2" t="str">
        <f t="shared" si="148"/>
        <v/>
      </c>
      <c r="K129" s="2" t="str">
        <f t="shared" si="148"/>
        <v/>
      </c>
      <c r="L129" s="2" t="str">
        <f t="shared" si="19"/>
        <v/>
      </c>
      <c r="M129" s="2" t="str">
        <f t="shared" si="11"/>
        <v/>
      </c>
      <c r="N129" s="2" t="str">
        <f t="shared" si="12"/>
        <v/>
      </c>
      <c r="O129" s="2" t="str">
        <f t="shared" ref="O129:S129" si="149">X69</f>
        <v/>
      </c>
      <c r="P129" s="2" t="str">
        <f t="shared" si="149"/>
        <v/>
      </c>
      <c r="Q129" s="2" t="str">
        <f t="shared" si="149"/>
        <v/>
      </c>
      <c r="R129" s="2" t="str">
        <f t="shared" si="149"/>
        <v/>
      </c>
      <c r="S129" s="2" t="str">
        <f t="shared" si="149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31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19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31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19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31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19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31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19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31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19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31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si="19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31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19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31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19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31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19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31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19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31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19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31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19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31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19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31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19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31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19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31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19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31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19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31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19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31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19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31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19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31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19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31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19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31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19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31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19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31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19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31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19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31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19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31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19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31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19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31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19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31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19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31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19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31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19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31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19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31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19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31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19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31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19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31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19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31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9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31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9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31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9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31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9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31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9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31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9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31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9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31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9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AB975">
    <cfRule type="containsText" dxfId="2" priority="1" operator="containsText" text="Win">
      <formula>NOT(ISERROR(SEARCH(("Win"),(A1))))</formula>
    </cfRule>
  </conditionalFormatting>
  <conditionalFormatting sqref="A1:AB975">
    <cfRule type="containsText" dxfId="3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Schedule'!E3</f>
        <v>Migos</v>
      </c>
      <c r="B1" s="2"/>
      <c r="C1" s="2"/>
      <c r="D1" s="2"/>
      <c r="E1" s="2" t="s">
        <v>145</v>
      </c>
      <c r="F1" s="166" t="str">
        <f>if(D19&gt;N19, "Win", if(D19&lt;N19, "Loss", ""))</f>
        <v>Win</v>
      </c>
      <c r="G1" s="2"/>
      <c r="H1" s="17" t="s">
        <v>146</v>
      </c>
      <c r="I1" s="152">
        <f>D19-N19</f>
        <v>6</v>
      </c>
      <c r="J1" s="167" t="s">
        <v>184</v>
      </c>
      <c r="K1" s="168" t="str">
        <f>'Full Schedule'!F3</f>
        <v>Gargantuan</v>
      </c>
      <c r="L1" s="2"/>
      <c r="M1" s="2"/>
      <c r="N1" s="2"/>
      <c r="O1" s="17" t="s">
        <v>145</v>
      </c>
      <c r="P1" s="166" t="str">
        <f>if(N19&gt;D19, "Win", if(N19&lt;D19, "Loss", ""))</f>
        <v>Loss</v>
      </c>
      <c r="Q1" s="2"/>
      <c r="R1" s="17" t="s">
        <v>146</v>
      </c>
      <c r="S1" s="152">
        <f>N19-D19</f>
        <v>-6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Arnav</v>
      </c>
      <c r="B3" s="24" t="str">
        <f>F1</f>
        <v>Win</v>
      </c>
      <c r="C3" s="24">
        <v>6.0</v>
      </c>
      <c r="D3" s="2">
        <f t="shared" ref="D3:D17" si="1">if(I3&gt;0, sum(E3:H3), "")</f>
        <v>24</v>
      </c>
      <c r="E3" s="24">
        <v>12.0</v>
      </c>
      <c r="F3" s="24">
        <v>3.0</v>
      </c>
      <c r="G3" s="24">
        <v>5.0</v>
      </c>
      <c r="H3" s="24">
        <v>4.0</v>
      </c>
      <c r="I3" s="24">
        <v>24.0</v>
      </c>
      <c r="J3" s="2"/>
      <c r="K3" s="2" t="str">
        <f t="array" ref="K3">xlookup($K$1, 'General Info'!$F$3:$K$3, 'General Info'!$F4:$K4)</f>
        <v>Tyler</v>
      </c>
      <c r="L3" s="24" t="str">
        <f>P1</f>
        <v>Loss</v>
      </c>
      <c r="M3" s="24"/>
      <c r="N3" s="2">
        <f t="shared" ref="N3:N17" si="2">if(S3&gt;0, sum(O3:R3), "")</f>
        <v>12</v>
      </c>
      <c r="O3" s="24">
        <v>2.0</v>
      </c>
      <c r="P3" s="24">
        <v>0.0</v>
      </c>
      <c r="Q3" s="24">
        <v>10.0</v>
      </c>
      <c r="R3" s="24">
        <v>0.0</v>
      </c>
      <c r="S3" s="24">
        <v>29.0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Brendan</v>
      </c>
      <c r="B4" s="24" t="str">
        <f>F1</f>
        <v>Win</v>
      </c>
      <c r="C4" s="24">
        <v>1.0</v>
      </c>
      <c r="D4" s="2">
        <f t="shared" si="1"/>
        <v>10</v>
      </c>
      <c r="E4" s="24">
        <v>6.0</v>
      </c>
      <c r="F4" s="24">
        <v>0.0</v>
      </c>
      <c r="G4" s="24">
        <v>2.0</v>
      </c>
      <c r="H4" s="24">
        <v>2.0</v>
      </c>
      <c r="I4" s="24">
        <v>28.0</v>
      </c>
      <c r="J4" s="2"/>
      <c r="K4" s="2" t="str">
        <f t="array" ref="K4">xlookup($K$1, 'General Info'!$F$3:$K$3, 'General Info'!$F5:$K5)</f>
        <v>Lucas</v>
      </c>
      <c r="L4" s="24" t="str">
        <f>P1</f>
        <v>Loss</v>
      </c>
      <c r="M4" s="24"/>
      <c r="N4" s="2">
        <f t="shared" si="2"/>
        <v>13</v>
      </c>
      <c r="O4" s="24">
        <v>4.0</v>
      </c>
      <c r="P4" s="24">
        <v>1.0</v>
      </c>
      <c r="Q4" s="24">
        <v>7.0</v>
      </c>
      <c r="R4" s="24">
        <v>1.0</v>
      </c>
      <c r="S4" s="24">
        <v>27.0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Kumbatovic</v>
      </c>
      <c r="B5" s="2" t="str">
        <f>F1</f>
        <v>Win</v>
      </c>
      <c r="C5" s="24">
        <v>2.0</v>
      </c>
      <c r="D5" s="2">
        <f t="shared" si="1"/>
        <v>15</v>
      </c>
      <c r="E5" s="24">
        <v>5.0</v>
      </c>
      <c r="F5" s="24">
        <v>4.0</v>
      </c>
      <c r="G5" s="24">
        <v>6.0</v>
      </c>
      <c r="H5" s="24">
        <v>0.0</v>
      </c>
      <c r="I5" s="24">
        <v>28.0</v>
      </c>
      <c r="J5" s="2"/>
      <c r="K5" s="2" t="str">
        <f t="array" ref="K5">xlookup($K$1, 'General Info'!$F$3:$K$3, 'General Info'!$F6:$K6)</f>
        <v>Porco</v>
      </c>
      <c r="L5" s="2" t="str">
        <f>P1</f>
        <v>Loss</v>
      </c>
      <c r="M5" s="24"/>
      <c r="N5" s="2">
        <f t="shared" si="2"/>
        <v>10</v>
      </c>
      <c r="O5" s="24">
        <v>7.0</v>
      </c>
      <c r="P5" s="24">
        <v>0.0</v>
      </c>
      <c r="Q5" s="24">
        <v>3.0</v>
      </c>
      <c r="R5" s="24">
        <v>0.0</v>
      </c>
      <c r="S5" s="24">
        <v>29.0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Paul</v>
      </c>
      <c r="B6" s="24" t="str">
        <f>F1</f>
        <v>Win</v>
      </c>
      <c r="C6" s="24">
        <v>5.0</v>
      </c>
      <c r="D6" s="2">
        <f t="shared" si="1"/>
        <v>16</v>
      </c>
      <c r="E6" s="24">
        <v>9.0</v>
      </c>
      <c r="F6" s="24">
        <v>0.0</v>
      </c>
      <c r="G6" s="24">
        <v>6.0</v>
      </c>
      <c r="H6" s="24">
        <v>1.0</v>
      </c>
      <c r="I6" s="24">
        <v>26.0</v>
      </c>
      <c r="J6" s="2"/>
      <c r="K6" s="2" t="str">
        <f t="array" ref="K6">xlookup($K$1, 'General Info'!$F$3:$K$3, 'General Info'!$F7:$K7)</f>
        <v>Andy Yu</v>
      </c>
      <c r="L6" s="24" t="str">
        <f>P1</f>
        <v>Loss</v>
      </c>
      <c r="M6" s="24"/>
      <c r="N6" s="2">
        <f t="shared" si="2"/>
        <v>19</v>
      </c>
      <c r="O6" s="24">
        <v>9.0</v>
      </c>
      <c r="P6" s="24">
        <v>4.0</v>
      </c>
      <c r="Q6" s="24">
        <v>6.0</v>
      </c>
      <c r="R6" s="24">
        <v>0.0</v>
      </c>
      <c r="S6" s="24">
        <v>27.0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Raymond</v>
      </c>
      <c r="B7" s="24" t="str">
        <f>F1</f>
        <v>Win</v>
      </c>
      <c r="C7" s="24">
        <v>3.0</v>
      </c>
      <c r="D7" s="2">
        <f t="shared" si="1"/>
        <v>15</v>
      </c>
      <c r="E7" s="24">
        <v>1.0</v>
      </c>
      <c r="F7" s="24">
        <v>0.0</v>
      </c>
      <c r="G7" s="24">
        <v>13.0</v>
      </c>
      <c r="H7" s="24">
        <v>1.0</v>
      </c>
      <c r="I7" s="24">
        <v>27.0</v>
      </c>
      <c r="J7" s="2"/>
      <c r="K7" s="2" t="str">
        <f t="array" ref="K7">xlookup($K$1, 'General Info'!$F$3:$K$3, 'General Info'!$F8:$K8)</f>
        <v>Dli</v>
      </c>
      <c r="L7" s="24" t="str">
        <f>P1</f>
        <v>Loss</v>
      </c>
      <c r="M7" s="24"/>
      <c r="N7" s="2">
        <f t="shared" si="2"/>
        <v>20</v>
      </c>
      <c r="O7" s="24">
        <v>6.0</v>
      </c>
      <c r="P7" s="24">
        <v>0.0</v>
      </c>
      <c r="Q7" s="24">
        <v>14.0</v>
      </c>
      <c r="R7" s="24">
        <v>0.0</v>
      </c>
      <c r="S7" s="24">
        <v>26.0</v>
      </c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TC</v>
      </c>
      <c r="B8" s="24" t="str">
        <f>F1</f>
        <v>Win</v>
      </c>
      <c r="C8" s="24">
        <v>4.0</v>
      </c>
      <c r="D8" s="2">
        <f t="shared" si="1"/>
        <v>20</v>
      </c>
      <c r="E8" s="24">
        <v>5.0</v>
      </c>
      <c r="F8" s="24">
        <v>0.0</v>
      </c>
      <c r="G8" s="24">
        <v>13.0</v>
      </c>
      <c r="H8" s="24">
        <v>2.0</v>
      </c>
      <c r="I8" s="24">
        <v>26.0</v>
      </c>
      <c r="J8" s="2"/>
      <c r="K8" s="2" t="str">
        <f t="array" ref="K8">xlookup($K$1, 'General Info'!$F$3:$K$3, 'General Info'!$F9:$K9)</f>
        <v>Somil</v>
      </c>
      <c r="L8" s="24" t="str">
        <f>P1</f>
        <v>Loss</v>
      </c>
      <c r="M8" s="24"/>
      <c r="N8" s="2" t="str">
        <f t="shared" si="2"/>
        <v/>
      </c>
      <c r="O8" s="24"/>
      <c r="P8" s="24"/>
      <c r="Q8" s="24"/>
      <c r="R8" s="24"/>
      <c r="S8" s="24"/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Kyi</v>
      </c>
      <c r="B9" s="2" t="str">
        <f>F1</f>
        <v>Win</v>
      </c>
      <c r="C9" s="2"/>
      <c r="D9" s="2" t="str">
        <f t="shared" si="1"/>
        <v/>
      </c>
      <c r="E9" s="2"/>
      <c r="F9" s="2"/>
      <c r="G9" s="2"/>
      <c r="H9" s="2"/>
      <c r="I9" s="2"/>
      <c r="J9" s="2"/>
      <c r="K9" s="2" t="str">
        <f t="array" ref="K9">xlookup($K$1, 'General Info'!$F$3:$K$3, 'General Info'!$F10:$K10)</f>
        <v>VIshal</v>
      </c>
      <c r="L9" s="2" t="str">
        <f>P1</f>
        <v>Loss</v>
      </c>
      <c r="M9" s="2"/>
      <c r="N9" s="2">
        <f t="shared" si="2"/>
        <v>20</v>
      </c>
      <c r="O9" s="24">
        <v>7.0</v>
      </c>
      <c r="P9" s="24">
        <v>3.0</v>
      </c>
      <c r="Q9" s="24">
        <v>7.0</v>
      </c>
      <c r="R9" s="24">
        <v>3.0</v>
      </c>
      <c r="S9" s="24">
        <v>24.0</v>
      </c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Jwu</v>
      </c>
      <c r="B10" s="24" t="str">
        <f>F1</f>
        <v>Win</v>
      </c>
      <c r="C10" s="24"/>
      <c r="D10" s="2" t="str">
        <f t="shared" si="1"/>
        <v/>
      </c>
      <c r="E10" s="24"/>
      <c r="F10" s="24"/>
      <c r="G10" s="24"/>
      <c r="H10" s="24"/>
      <c r="I10" s="24"/>
      <c r="J10" s="2"/>
      <c r="K10" s="2" t="str">
        <f t="array" ref="K10">xlookup($K$1, 'General Info'!$F$3:$K$3, 'General Info'!$F11:$K11)</f>
        <v>Sam</v>
      </c>
      <c r="L10" s="24" t="str">
        <f>P1</f>
        <v>Loss</v>
      </c>
      <c r="M10" s="2"/>
      <c r="N10" s="2" t="str">
        <f t="shared" si="2"/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Parker</v>
      </c>
      <c r="B11" s="2" t="str">
        <f>F1</f>
        <v>Win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Charlie</v>
      </c>
      <c r="L11" s="2" t="str">
        <f>P1</f>
        <v>Loss</v>
      </c>
      <c r="M11" s="2"/>
      <c r="N11" s="2" t="str">
        <f t="shared" si="2"/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>Henry</v>
      </c>
      <c r="B12" s="2" t="str">
        <f>F1</f>
        <v>Win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>Daniel</v>
      </c>
      <c r="L12" s="2" t="str">
        <f>P1</f>
        <v>Loss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>Ayush</v>
      </c>
      <c r="B13" s="2" t="str">
        <f>F1</f>
        <v>Win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/>
      </c>
      <c r="L13" s="2" t="str">
        <f>P1</f>
        <v>Loss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Win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Loss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Win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Loss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Win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Loss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Win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Loss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27"/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27"/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100</v>
      </c>
      <c r="E19" s="2"/>
      <c r="F19" s="2"/>
      <c r="G19" s="2"/>
      <c r="H19" s="2"/>
      <c r="I19" s="174">
        <f>sum(D3:D17)/(sum(D3:D17)+sum(I3:I17))</f>
        <v>0.3861003861</v>
      </c>
      <c r="J19" s="2"/>
      <c r="K19" s="171" t="s">
        <v>152</v>
      </c>
      <c r="L19" s="172"/>
      <c r="M19" s="172"/>
      <c r="N19" s="173">
        <f>sum(N3:N18)</f>
        <v>94</v>
      </c>
      <c r="O19" s="2"/>
      <c r="P19" s="2"/>
      <c r="Q19" s="2"/>
      <c r="R19" s="2"/>
      <c r="S19" s="174">
        <f>sum(N3:N17)/(sum(N3:N17)+sum(S3:S17))</f>
        <v>0.3671875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Schedule'!E4</f>
        <v>Team F</v>
      </c>
      <c r="B21" s="2"/>
      <c r="C21" s="2"/>
      <c r="D21" s="2"/>
      <c r="E21" s="2" t="s">
        <v>145</v>
      </c>
      <c r="F21" s="166" t="str">
        <f>if(D39&gt;N39, "Win", if(D39&lt;N39, "Loss", ""))</f>
        <v>Loss</v>
      </c>
      <c r="G21" s="2"/>
      <c r="H21" s="17" t="s">
        <v>146</v>
      </c>
      <c r="I21" s="152">
        <f>D39-N39</f>
        <v>-21</v>
      </c>
      <c r="J21" s="167" t="s">
        <v>184</v>
      </c>
      <c r="K21" s="165" t="str">
        <f>'Full Schedule'!F4</f>
        <v>Candice?</v>
      </c>
      <c r="L21" s="2"/>
      <c r="M21" s="2"/>
      <c r="N21" s="2"/>
      <c r="O21" s="17" t="s">
        <v>145</v>
      </c>
      <c r="P21" s="166" t="str">
        <f>if(N39&gt;D39, "Win", if(N39&lt;D39, "Loss", ""))</f>
        <v>Win</v>
      </c>
      <c r="Q21" s="2"/>
      <c r="R21" s="17" t="s">
        <v>146</v>
      </c>
      <c r="S21" s="152">
        <f>N39-D39</f>
        <v>21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Jay</v>
      </c>
      <c r="B23" s="24" t="str">
        <f>F21</f>
        <v>Loss</v>
      </c>
      <c r="C23" s="2"/>
      <c r="D23" s="2">
        <f t="shared" ref="D23:D37" si="3">if(I23&gt;0, sum(E23:H23), "")</f>
        <v>14</v>
      </c>
      <c r="E23" s="24">
        <v>13.0</v>
      </c>
      <c r="F23" s="24">
        <v>0.0</v>
      </c>
      <c r="G23" s="24">
        <v>1.0</v>
      </c>
      <c r="H23" s="24">
        <v>0.0</v>
      </c>
      <c r="I23" s="24">
        <v>24.0</v>
      </c>
      <c r="J23" s="2"/>
      <c r="K23" s="2" t="str">
        <f t="array" ref="K23">xlookup($K$21, 'General Info'!$F$3:$K$3, 'General Info'!$F4:$K4)</f>
        <v>John</v>
      </c>
      <c r="L23" s="24" t="str">
        <f>P21</f>
        <v>Win</v>
      </c>
      <c r="M23" s="2"/>
      <c r="N23" s="2">
        <f t="shared" ref="N23:N37" si="4">if(S23&gt;0, sum(O23:R23), "")</f>
        <v>19</v>
      </c>
      <c r="O23" s="24">
        <v>4.0</v>
      </c>
      <c r="P23" s="24">
        <v>3.0</v>
      </c>
      <c r="Q23" s="24">
        <v>9.0</v>
      </c>
      <c r="R23" s="24">
        <v>3.0</v>
      </c>
      <c r="S23" s="24">
        <v>21.0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Schmid</v>
      </c>
      <c r="B24" s="24" t="str">
        <f>F21</f>
        <v>Loss</v>
      </c>
      <c r="C24" s="2"/>
      <c r="D24" s="2">
        <f t="shared" si="3"/>
        <v>10</v>
      </c>
      <c r="E24" s="24">
        <v>7.0</v>
      </c>
      <c r="F24" s="24">
        <v>0.0</v>
      </c>
      <c r="G24" s="24">
        <v>1.0</v>
      </c>
      <c r="H24" s="24">
        <v>2.0</v>
      </c>
      <c r="I24" s="24">
        <v>28.0</v>
      </c>
      <c r="J24" s="2"/>
      <c r="K24" s="2" t="str">
        <f t="array" ref="K24">xlookup($K$21, 'General Info'!$F$3:$K$3, 'General Info'!$F5:$K5)</f>
        <v>Cole</v>
      </c>
      <c r="L24" s="24" t="str">
        <f>P21</f>
        <v>Win</v>
      </c>
      <c r="M24" s="2"/>
      <c r="N24" s="2">
        <f t="shared" si="4"/>
        <v>23</v>
      </c>
      <c r="O24" s="24">
        <v>5.0</v>
      </c>
      <c r="P24" s="24">
        <v>2.0</v>
      </c>
      <c r="Q24" s="24">
        <v>15.0</v>
      </c>
      <c r="R24" s="24">
        <v>1.0</v>
      </c>
      <c r="S24" s="24">
        <v>22.0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DC</v>
      </c>
      <c r="B25" s="2" t="str">
        <f>F21</f>
        <v>Loss</v>
      </c>
      <c r="C25" s="2"/>
      <c r="D25" s="2" t="str">
        <f t="shared" si="3"/>
        <v/>
      </c>
      <c r="E25" s="24"/>
      <c r="F25" s="24"/>
      <c r="G25" s="24"/>
      <c r="H25" s="24"/>
      <c r="I25" s="24"/>
      <c r="J25" s="2"/>
      <c r="K25" s="2" t="str">
        <f t="array" ref="K25">xlookup($K$21, 'General Info'!$F$3:$K$3, 'General Info'!$F6:$K6)</f>
        <v>Dannegger</v>
      </c>
      <c r="L25" s="2" t="str">
        <f>P21</f>
        <v>Win</v>
      </c>
      <c r="M25" s="2"/>
      <c r="N25" s="2">
        <f t="shared" si="4"/>
        <v>13</v>
      </c>
      <c r="O25" s="24">
        <v>4.0</v>
      </c>
      <c r="P25" s="24">
        <v>1.0</v>
      </c>
      <c r="Q25" s="24">
        <v>7.0</v>
      </c>
      <c r="R25" s="24">
        <v>1.0</v>
      </c>
      <c r="S25" s="24">
        <v>26.0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Steven</v>
      </c>
      <c r="B26" s="24" t="str">
        <f>F21</f>
        <v>Loss</v>
      </c>
      <c r="C26" s="2"/>
      <c r="D26" s="2" t="str">
        <f t="shared" si="3"/>
        <v/>
      </c>
      <c r="E26" s="24"/>
      <c r="F26" s="24"/>
      <c r="G26" s="24"/>
      <c r="H26" s="24"/>
      <c r="I26" s="24"/>
      <c r="J26" s="2"/>
      <c r="K26" s="2" t="str">
        <f t="array" ref="K26">xlookup($K$21, 'General Info'!$F$3:$K$3, 'General Info'!$F7:$K7)</f>
        <v>KZ</v>
      </c>
      <c r="L26" s="24" t="str">
        <f>P21</f>
        <v>Win</v>
      </c>
      <c r="M26" s="2"/>
      <c r="N26" s="2">
        <f t="shared" si="4"/>
        <v>13</v>
      </c>
      <c r="O26" s="24">
        <v>10.0</v>
      </c>
      <c r="P26" s="24">
        <v>0.0</v>
      </c>
      <c r="Q26" s="24">
        <v>3.0</v>
      </c>
      <c r="R26" s="24">
        <v>0.0</v>
      </c>
      <c r="S26" s="24">
        <v>27.0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Dave</v>
      </c>
      <c r="B27" s="24" t="str">
        <f>F21</f>
        <v>Loss</v>
      </c>
      <c r="C27" s="2"/>
      <c r="D27" s="2" t="str">
        <f t="shared" si="3"/>
        <v/>
      </c>
      <c r="E27" s="24"/>
      <c r="F27" s="24"/>
      <c r="G27" s="24"/>
      <c r="H27" s="24"/>
      <c r="I27" s="24"/>
      <c r="J27" s="2"/>
      <c r="K27" s="2" t="str">
        <f t="array" ref="K27">xlookup($K$21, 'General Info'!$F$3:$K$3, 'General Info'!$F8:$K8)</f>
        <v>Adi</v>
      </c>
      <c r="L27" s="24" t="str">
        <f>P21</f>
        <v>Win</v>
      </c>
      <c r="M27" s="2"/>
      <c r="N27" s="2">
        <f t="shared" si="4"/>
        <v>16</v>
      </c>
      <c r="O27" s="24">
        <v>9.0</v>
      </c>
      <c r="P27" s="24">
        <v>2.0</v>
      </c>
      <c r="Q27" s="24">
        <v>5.0</v>
      </c>
      <c r="R27" s="24">
        <v>0.0</v>
      </c>
      <c r="S27" s="24">
        <v>24.0</v>
      </c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Lulu</v>
      </c>
      <c r="B28" s="24" t="str">
        <f>F21</f>
        <v>Loss</v>
      </c>
      <c r="C28" s="2"/>
      <c r="D28" s="2">
        <f t="shared" si="3"/>
        <v>7</v>
      </c>
      <c r="E28" s="24">
        <v>6.0</v>
      </c>
      <c r="F28" s="24">
        <v>0.0</v>
      </c>
      <c r="G28" s="24">
        <v>1.0</v>
      </c>
      <c r="H28" s="24">
        <v>0.0</v>
      </c>
      <c r="I28" s="24">
        <v>28.0</v>
      </c>
      <c r="J28" s="2"/>
      <c r="K28" s="2" t="str">
        <f t="array" ref="K28">xlookup($K$21, 'General Info'!$F$3:$K$3, 'General Info'!$F9:$K9)</f>
        <v>Gavin</v>
      </c>
      <c r="L28" s="24" t="str">
        <f>P21</f>
        <v>Win</v>
      </c>
      <c r="M28" s="2"/>
      <c r="N28" s="2" t="str">
        <f t="shared" si="4"/>
        <v/>
      </c>
      <c r="O28" s="24"/>
      <c r="P28" s="24"/>
      <c r="Q28" s="24"/>
      <c r="R28" s="24"/>
      <c r="S28" s="24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Will</v>
      </c>
      <c r="B29" s="2" t="str">
        <f>F21</f>
        <v>Loss</v>
      </c>
      <c r="C29" s="2"/>
      <c r="D29" s="2" t="str">
        <f t="shared" si="3"/>
        <v/>
      </c>
      <c r="E29" s="2"/>
      <c r="F29" s="2"/>
      <c r="G29" s="2"/>
      <c r="H29" s="2"/>
      <c r="I29" s="2"/>
      <c r="J29" s="2"/>
      <c r="K29" s="2" t="str">
        <f t="array" ref="K29">xlookup($K$21, 'General Info'!$F$3:$K$3, 'General Info'!$F10:$K10)</f>
        <v>David</v>
      </c>
      <c r="L29" s="2" t="str">
        <f>P21</f>
        <v>Win</v>
      </c>
      <c r="M29" s="2"/>
      <c r="N29" s="2" t="str">
        <f t="shared" si="4"/>
        <v/>
      </c>
      <c r="O29" s="24"/>
      <c r="P29" s="24"/>
      <c r="Q29" s="24"/>
      <c r="R29" s="24"/>
      <c r="S29" s="24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Hershey</v>
      </c>
      <c r="B30" s="24" t="str">
        <f>F21</f>
        <v>Loss</v>
      </c>
      <c r="C30" s="2"/>
      <c r="D30" s="2">
        <f t="shared" si="3"/>
        <v>23</v>
      </c>
      <c r="E30" s="24">
        <v>4.0</v>
      </c>
      <c r="F30" s="24">
        <v>0.0</v>
      </c>
      <c r="G30" s="24">
        <v>18.0</v>
      </c>
      <c r="H30" s="24">
        <v>1.0</v>
      </c>
      <c r="I30" s="24">
        <v>19.0</v>
      </c>
      <c r="J30" s="2"/>
      <c r="K30" s="2" t="str">
        <f t="array" ref="K30">xlookup($K$21, 'General Info'!$F$3:$K$3, 'General Info'!$F11:$K11)</f>
        <v>Kento</v>
      </c>
      <c r="L30" s="24" t="str">
        <f>P21</f>
        <v>Win</v>
      </c>
      <c r="M30" s="24"/>
      <c r="N30" s="2">
        <f t="shared" si="4"/>
        <v>15</v>
      </c>
      <c r="O30" s="24">
        <v>6.0</v>
      </c>
      <c r="P30" s="24">
        <v>0.0</v>
      </c>
      <c r="Q30" s="24">
        <v>9.0</v>
      </c>
      <c r="R30" s="24">
        <v>0.0</v>
      </c>
      <c r="S30" s="24">
        <v>26.0</v>
      </c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Byun</v>
      </c>
      <c r="B31" s="2" t="str">
        <f>F21</f>
        <v>Loss</v>
      </c>
      <c r="C31" s="24"/>
      <c r="D31" s="2">
        <f t="shared" si="3"/>
        <v>13</v>
      </c>
      <c r="E31" s="24">
        <v>5.0</v>
      </c>
      <c r="F31" s="24">
        <v>1.0</v>
      </c>
      <c r="G31" s="24">
        <v>7.0</v>
      </c>
      <c r="H31" s="24">
        <v>0.0</v>
      </c>
      <c r="I31" s="24">
        <v>25.0</v>
      </c>
      <c r="J31" s="2"/>
      <c r="K31" s="2" t="str">
        <f t="array" ref="K31">xlookup($K$21, 'General Info'!$F$3:$K$3, 'General Info'!$F12:$K12)</f>
        <v>Jacob</v>
      </c>
      <c r="L31" s="2" t="str">
        <f>P21</f>
        <v>Win</v>
      </c>
      <c r="M31" s="2"/>
      <c r="N31" s="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>Ted</v>
      </c>
      <c r="B32" s="2" t="str">
        <f>F21</f>
        <v>Loss</v>
      </c>
      <c r="C32" s="24"/>
      <c r="D32" s="2">
        <f t="shared" si="3"/>
        <v>11</v>
      </c>
      <c r="E32" s="24">
        <v>6.0</v>
      </c>
      <c r="F32" s="24">
        <v>1.0</v>
      </c>
      <c r="G32" s="24">
        <v>4.0</v>
      </c>
      <c r="H32" s="24">
        <v>0.0</v>
      </c>
      <c r="I32" s="24">
        <v>26.0</v>
      </c>
      <c r="J32" s="2"/>
      <c r="K32" s="2" t="str">
        <f t="array" ref="K32">xlookup($K$21, 'General Info'!$F$3:$K$3, 'General Info'!$F13:$K13)</f>
        <v/>
      </c>
      <c r="L32" s="2" t="str">
        <f>P21</f>
        <v>Win</v>
      </c>
      <c r="M32" s="2"/>
      <c r="N32" s="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tr">
        <f t="array" ref="A33">xlookup($A$21, 'General Info'!$F$3:$K$3, 'General Info'!$F14:$K14)</f>
        <v>Gio</v>
      </c>
      <c r="B33" s="2" t="str">
        <f>F21</f>
        <v>Loss</v>
      </c>
      <c r="C33" s="2"/>
      <c r="D33" s="2" t="str">
        <f t="shared" si="3"/>
        <v/>
      </c>
      <c r="E33" s="2"/>
      <c r="F33" s="2"/>
      <c r="G33" s="2"/>
      <c r="H33" s="2"/>
      <c r="I33" s="2"/>
      <c r="J33" s="2"/>
      <c r="K33" s="2" t="str">
        <f t="array" ref="K33">xlookup($K$21, 'General Info'!$F$3:$K$3, 'General Info'!$F14:$K14)</f>
        <v/>
      </c>
      <c r="L33" s="2" t="str">
        <f>P21</f>
        <v>Win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Loss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Win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Loss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Win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Loss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Win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Loss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Win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27"/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27"/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78</v>
      </c>
      <c r="E39" s="2"/>
      <c r="F39" s="2"/>
      <c r="G39" s="2"/>
      <c r="H39" s="2"/>
      <c r="I39" s="174">
        <f>sum(D23:D37)/(sum(D23:D37)+sum(I23:I37))</f>
        <v>0.3421052632</v>
      </c>
      <c r="J39" s="2"/>
      <c r="K39" s="171" t="s">
        <v>152</v>
      </c>
      <c r="L39" s="172"/>
      <c r="M39" s="172"/>
      <c r="N39" s="173">
        <f>sum(N23:N38)</f>
        <v>99</v>
      </c>
      <c r="O39" s="2"/>
      <c r="P39" s="2"/>
      <c r="Q39" s="2"/>
      <c r="R39" s="2"/>
      <c r="S39" s="174">
        <f>sum(N23:N37)/(sum(N23:N37)+sum(S23:S37))</f>
        <v>0.4040816327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Schedule'!E5</f>
        <v>Team C</v>
      </c>
      <c r="B41" s="2"/>
      <c r="C41" s="2"/>
      <c r="D41" s="2"/>
      <c r="E41" s="2" t="s">
        <v>145</v>
      </c>
      <c r="F41" s="166" t="str">
        <f>if(D59&gt;N59, "Win", if(D59&lt;N59, "Loss", ""))</f>
        <v>Win</v>
      </c>
      <c r="G41" s="2"/>
      <c r="H41" s="17" t="s">
        <v>146</v>
      </c>
      <c r="I41" s="152">
        <f>D59-N59</f>
        <v>1</v>
      </c>
      <c r="J41" s="167" t="s">
        <v>184</v>
      </c>
      <c r="K41" s="165" t="str">
        <f>'Full Schedule'!F5</f>
        <v>Team E</v>
      </c>
      <c r="L41" s="2"/>
      <c r="M41" s="2"/>
      <c r="N41" s="2"/>
      <c r="O41" s="17" t="s">
        <v>145</v>
      </c>
      <c r="P41" s="166" t="str">
        <f>if(N59&gt;D59, "Win", if(N59&lt;D59, "Loss", ""))</f>
        <v>Loss</v>
      </c>
      <c r="Q41" s="2"/>
      <c r="R41" s="17" t="s">
        <v>146</v>
      </c>
      <c r="S41" s="152">
        <f>N59-D59</f>
        <v>-1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Du</v>
      </c>
      <c r="B43" s="24" t="str">
        <f>F41</f>
        <v>Win</v>
      </c>
      <c r="C43" s="24"/>
      <c r="D43" s="2">
        <f t="shared" ref="D43:D57" si="5">if(I43&gt;0, sum(E43:H43), "")</f>
        <v>22</v>
      </c>
      <c r="E43" s="24">
        <v>16.0</v>
      </c>
      <c r="F43" s="24">
        <v>0.0</v>
      </c>
      <c r="G43" s="24">
        <v>6.0</v>
      </c>
      <c r="H43" s="24">
        <v>0.0</v>
      </c>
      <c r="I43" s="24">
        <v>28.0</v>
      </c>
      <c r="J43" s="2"/>
      <c r="K43" s="2" t="str">
        <f t="array" ref="K43">xlookup($K$41, 'General Info'!$F$3:$K$3, 'General Info'!$F4:$K4)</f>
        <v>Guel</v>
      </c>
      <c r="L43" s="24" t="str">
        <f>P41</f>
        <v>Loss</v>
      </c>
      <c r="M43" s="24"/>
      <c r="N43" s="2">
        <f t="shared" ref="N43:N57" si="6">if(S43&gt;0, sum(O43:R43), "")</f>
        <v>17</v>
      </c>
      <c r="O43" s="24">
        <v>8.0</v>
      </c>
      <c r="P43" s="24">
        <v>1.0</v>
      </c>
      <c r="Q43" s="24">
        <v>5.0</v>
      </c>
      <c r="R43" s="24">
        <v>3.0</v>
      </c>
      <c r="S43" s="24">
        <v>30.0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Neo</v>
      </c>
      <c r="B44" s="24" t="str">
        <f>F41</f>
        <v>Win</v>
      </c>
      <c r="C44" s="24"/>
      <c r="D44" s="2">
        <f t="shared" si="5"/>
        <v>10</v>
      </c>
      <c r="E44" s="24">
        <v>3.0</v>
      </c>
      <c r="F44" s="24">
        <v>0.0</v>
      </c>
      <c r="G44" s="24">
        <v>5.0</v>
      </c>
      <c r="H44" s="24">
        <v>2.0</v>
      </c>
      <c r="I44" s="24">
        <v>34.0</v>
      </c>
      <c r="J44" s="2"/>
      <c r="K44" s="2" t="str">
        <f t="array" ref="K44">xlookup($K$41, 'General Info'!$F$3:$K$3, 'General Info'!$F5:$K5)</f>
        <v>Pasha</v>
      </c>
      <c r="L44" s="24" t="str">
        <f>P41</f>
        <v>Loss</v>
      </c>
      <c r="M44" s="24"/>
      <c r="N44" s="2">
        <f t="shared" si="6"/>
        <v>20</v>
      </c>
      <c r="O44" s="24">
        <v>8.0</v>
      </c>
      <c r="P44" s="24">
        <v>0.0</v>
      </c>
      <c r="Q44" s="24">
        <v>12.0</v>
      </c>
      <c r="R44" s="24">
        <v>0.0</v>
      </c>
      <c r="S44" s="24">
        <v>31.0</v>
      </c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Fritz</v>
      </c>
      <c r="B45" s="2" t="str">
        <f>F41</f>
        <v>Win</v>
      </c>
      <c r="C45" s="24"/>
      <c r="D45" s="2">
        <f t="shared" si="5"/>
        <v>28</v>
      </c>
      <c r="E45" s="24">
        <v>11.0</v>
      </c>
      <c r="F45" s="24">
        <v>4.0</v>
      </c>
      <c r="G45" s="24">
        <v>5.0</v>
      </c>
      <c r="H45" s="24">
        <v>8.0</v>
      </c>
      <c r="I45" s="24">
        <v>26.0</v>
      </c>
      <c r="J45" s="2"/>
      <c r="K45" s="2" t="str">
        <f t="array" ref="K45">xlookup($K$41, 'General Info'!$F$3:$K$3, 'General Info'!$F6:$K6)</f>
        <v>Yost</v>
      </c>
      <c r="L45" s="2" t="str">
        <f>P41</f>
        <v>Loss</v>
      </c>
      <c r="M45" s="2"/>
      <c r="N45" s="2">
        <f t="shared" si="6"/>
        <v>26</v>
      </c>
      <c r="O45" s="24">
        <v>19.0</v>
      </c>
      <c r="P45" s="24">
        <v>3.0</v>
      </c>
      <c r="Q45" s="24">
        <v>4.0</v>
      </c>
      <c r="R45" s="24">
        <v>0.0</v>
      </c>
      <c r="S45" s="24">
        <v>27.0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Eric</v>
      </c>
      <c r="B46" s="24" t="str">
        <f>F41</f>
        <v>Win</v>
      </c>
      <c r="C46" s="24"/>
      <c r="D46" s="2">
        <f t="shared" si="5"/>
        <v>19</v>
      </c>
      <c r="E46" s="24">
        <v>6.0</v>
      </c>
      <c r="F46" s="24">
        <v>0.0</v>
      </c>
      <c r="G46" s="24">
        <v>13.0</v>
      </c>
      <c r="H46" s="24">
        <v>0.0</v>
      </c>
      <c r="I46" s="24">
        <v>31.0</v>
      </c>
      <c r="J46" s="2"/>
      <c r="K46" s="2" t="str">
        <f t="array" ref="K46">xlookup($K$41, 'General Info'!$F$3:$K$3, 'General Info'!$F7:$K7)</f>
        <v>Sean</v>
      </c>
      <c r="L46" s="24" t="str">
        <f>P41</f>
        <v>Loss</v>
      </c>
      <c r="M46" s="24"/>
      <c r="N46" s="2">
        <f t="shared" si="6"/>
        <v>12</v>
      </c>
      <c r="O46" s="24">
        <v>1.0</v>
      </c>
      <c r="P46" s="24">
        <v>0.0</v>
      </c>
      <c r="Q46" s="24">
        <v>6.0</v>
      </c>
      <c r="R46" s="24">
        <v>5.0</v>
      </c>
      <c r="S46" s="24">
        <v>30.0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Ilt</v>
      </c>
      <c r="B47" s="24" t="str">
        <f>F41</f>
        <v>Win</v>
      </c>
      <c r="C47" s="24"/>
      <c r="D47" s="2">
        <f t="shared" si="5"/>
        <v>9</v>
      </c>
      <c r="E47" s="24">
        <v>0.0</v>
      </c>
      <c r="F47" s="24">
        <v>1.0</v>
      </c>
      <c r="G47" s="24">
        <v>8.0</v>
      </c>
      <c r="H47" s="24">
        <v>0.0</v>
      </c>
      <c r="I47" s="24">
        <v>33.0</v>
      </c>
      <c r="J47" s="2"/>
      <c r="K47" s="2" t="str">
        <f t="array" ref="K47">xlookup($K$41, 'General Info'!$F$3:$K$3, 'General Info'!$F8:$K8)</f>
        <v>Samos</v>
      </c>
      <c r="L47" s="24" t="str">
        <f>P41</f>
        <v>Loss</v>
      </c>
      <c r="M47" s="2"/>
      <c r="N47" s="2">
        <f t="shared" si="6"/>
        <v>10</v>
      </c>
      <c r="O47" s="24">
        <v>2.0</v>
      </c>
      <c r="P47" s="24">
        <v>0.0</v>
      </c>
      <c r="Q47" s="24">
        <v>8.0</v>
      </c>
      <c r="R47" s="24">
        <v>0.0</v>
      </c>
      <c r="S47" s="24">
        <v>30.0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Matvey</v>
      </c>
      <c r="B48" s="24" t="str">
        <f>F41</f>
        <v>Win</v>
      </c>
      <c r="C48" s="24"/>
      <c r="D48" s="2" t="str">
        <f t="shared" si="5"/>
        <v/>
      </c>
      <c r="E48" s="24"/>
      <c r="F48" s="24"/>
      <c r="G48" s="24"/>
      <c r="H48" s="24"/>
      <c r="I48" s="24"/>
      <c r="J48" s="2"/>
      <c r="K48" s="2" t="str">
        <f t="array" ref="K48">xlookup($K$41, 'General Info'!$F$3:$K$3, 'General Info'!$F9:$K9)</f>
        <v>Soho</v>
      </c>
      <c r="L48" s="24" t="str">
        <f>P41</f>
        <v>Loss</v>
      </c>
      <c r="M48" s="24"/>
      <c r="N48" s="2">
        <f t="shared" si="6"/>
        <v>13</v>
      </c>
      <c r="O48" s="24">
        <v>2.0</v>
      </c>
      <c r="P48" s="24">
        <v>0.0</v>
      </c>
      <c r="Q48" s="24">
        <v>11.0</v>
      </c>
      <c r="R48" s="24">
        <v>0.0</v>
      </c>
      <c r="S48" s="24">
        <v>32.0</v>
      </c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James</v>
      </c>
      <c r="B49" s="2" t="str">
        <f>F41</f>
        <v>Win</v>
      </c>
      <c r="C49" s="2"/>
      <c r="D49" s="2" t="str">
        <f t="shared" si="5"/>
        <v/>
      </c>
      <c r="E49" s="2"/>
      <c r="F49" s="2"/>
      <c r="G49" s="2"/>
      <c r="H49" s="2"/>
      <c r="I49" s="2"/>
      <c r="J49" s="2"/>
      <c r="K49" s="2" t="str">
        <f t="array" ref="K49">xlookup($K$41, 'General Info'!$F$3:$K$3, 'General Info'!$F10:$K10)</f>
        <v>Haldar</v>
      </c>
      <c r="L49" s="2" t="str">
        <f>P41</f>
        <v>Loss</v>
      </c>
      <c r="M49" s="24"/>
      <c r="N49" s="2" t="str">
        <f t="shared" si="6"/>
        <v/>
      </c>
      <c r="O49" s="24"/>
      <c r="P49" s="24"/>
      <c r="Q49" s="24"/>
      <c r="R49" s="24"/>
      <c r="S49" s="24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Sebastian</v>
      </c>
      <c r="B50" s="24" t="str">
        <f>F41</f>
        <v>Win</v>
      </c>
      <c r="C50" s="24"/>
      <c r="D50" s="2">
        <f t="shared" si="5"/>
        <v>11</v>
      </c>
      <c r="E50" s="24">
        <v>4.0</v>
      </c>
      <c r="F50" s="24">
        <v>0.0</v>
      </c>
      <c r="G50" s="24">
        <v>7.0</v>
      </c>
      <c r="H50" s="24">
        <v>0.0</v>
      </c>
      <c r="I50" s="24">
        <v>30.0</v>
      </c>
      <c r="J50" s="2"/>
      <c r="K50" s="2" t="str">
        <f t="array" ref="K50">xlookup($K$41, 'General Info'!$F$3:$K$3, 'General Info'!$F11:$K11)</f>
        <v>Dji</v>
      </c>
      <c r="L50" s="24" t="str">
        <f>P41</f>
        <v>Loss</v>
      </c>
      <c r="M50" s="24"/>
      <c r="N50" s="2" t="str">
        <f t="shared" si="6"/>
        <v/>
      </c>
      <c r="O50" s="24"/>
      <c r="P50" s="24"/>
      <c r="Q50" s="24"/>
      <c r="R50" s="24"/>
      <c r="S50" s="24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Erik</v>
      </c>
      <c r="B51" s="2" t="str">
        <f>F41</f>
        <v>Win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Lubke</v>
      </c>
      <c r="L51" s="2" t="str">
        <f>P41</f>
        <v>Loss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Jack</v>
      </c>
      <c r="B52" s="2" t="str">
        <f>F41</f>
        <v>Win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David (pledge)</v>
      </c>
      <c r="L52" s="2" t="str">
        <f>P41</f>
        <v>Loss</v>
      </c>
      <c r="M52" s="2"/>
      <c r="N52" s="2" t="str">
        <f t="shared" si="6"/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/>
      </c>
      <c r="B53" s="2" t="str">
        <f>F41</f>
        <v>Win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>Will</v>
      </c>
      <c r="L53" s="2" t="str">
        <f>P41</f>
        <v>Loss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Win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Loss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Win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Loss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Win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Loss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Win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Loss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175"/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175"/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99</v>
      </c>
      <c r="E59" s="2"/>
      <c r="F59" s="2"/>
      <c r="G59" s="2"/>
      <c r="H59" s="2"/>
      <c r="I59" s="174">
        <f>sum(D43:D57)/(sum(D43:D57)+sum(I43:I57))</f>
        <v>0.3523131673</v>
      </c>
      <c r="J59" s="2"/>
      <c r="K59" s="171" t="s">
        <v>152</v>
      </c>
      <c r="L59" s="172"/>
      <c r="M59" s="172"/>
      <c r="N59" s="173">
        <f>sum(N43:N58)</f>
        <v>98</v>
      </c>
      <c r="O59" s="2"/>
      <c r="P59" s="2"/>
      <c r="Q59" s="2"/>
      <c r="R59" s="2"/>
      <c r="S59" s="174">
        <f>sum(N43:N57)/(sum(N43:N57)+sum(S43:S57))</f>
        <v>0.3525179856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idden="1">
      <c r="A61" s="176" t="str">
        <f t="shared" ref="A61:A129" si="9">K1</f>
        <v>Gargantuan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Loss</v>
      </c>
      <c r="G61" s="2" t="str">
        <f t="shared" si="7"/>
        <v/>
      </c>
      <c r="H61" s="176" t="str">
        <f t="shared" si="7"/>
        <v>Margin</v>
      </c>
      <c r="I61" s="129">
        <f t="shared" si="7"/>
        <v>-6</v>
      </c>
      <c r="J61" s="2" t="str">
        <f t="shared" si="7"/>
        <v/>
      </c>
      <c r="K61" s="2" t="str">
        <f t="shared" si="7"/>
        <v/>
      </c>
      <c r="L61" s="2"/>
      <c r="M61" s="2" t="str">
        <f t="shared" ref="M61:M129" si="11">V1</f>
        <v/>
      </c>
      <c r="N61" s="2" t="str">
        <f t="shared" ref="N61:N129" si="12">X1</f>
        <v/>
      </c>
      <c r="O61" s="2" t="str">
        <f t="shared" ref="O61:T61" si="8">X1</f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 hidden="1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176"/>
      <c r="M62" s="2" t="str">
        <f t="shared" si="11"/>
        <v/>
      </c>
      <c r="N62" s="176" t="str">
        <f t="shared" si="12"/>
        <v/>
      </c>
      <c r="O62" s="2" t="str">
        <f t="shared" ref="O62:S62" si="13">X2</f>
        <v/>
      </c>
      <c r="P62" s="2" t="str">
        <f t="shared" si="13"/>
        <v/>
      </c>
      <c r="Q62" s="2" t="str">
        <f t="shared" si="13"/>
        <v/>
      </c>
      <c r="R62" s="2" t="str">
        <f t="shared" si="13"/>
        <v/>
      </c>
      <c r="S62" s="2" t="str">
        <f t="shared" si="13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hidden="1">
      <c r="A63" s="176" t="str">
        <f t="shared" si="9"/>
        <v>Tyler</v>
      </c>
      <c r="B63" s="178" t="str">
        <f t="shared" ref="B63:K63" si="14">L3</f>
        <v>Loss</v>
      </c>
      <c r="C63" s="2" t="str">
        <f t="shared" si="14"/>
        <v/>
      </c>
      <c r="D63" s="2">
        <f t="shared" si="14"/>
        <v>12</v>
      </c>
      <c r="E63" s="2">
        <f t="shared" si="14"/>
        <v>2</v>
      </c>
      <c r="F63" s="2">
        <f t="shared" si="14"/>
        <v>0</v>
      </c>
      <c r="G63" s="2">
        <f t="shared" si="14"/>
        <v>10</v>
      </c>
      <c r="H63" s="2">
        <f t="shared" si="14"/>
        <v>0</v>
      </c>
      <c r="I63" s="2">
        <f t="shared" si="14"/>
        <v>29</v>
      </c>
      <c r="J63" s="2" t="str">
        <f t="shared" si="14"/>
        <v/>
      </c>
      <c r="K63" s="2" t="str">
        <f t="shared" si="14"/>
        <v/>
      </c>
      <c r="L63" s="2"/>
      <c r="M63" s="2" t="str">
        <f t="shared" si="11"/>
        <v/>
      </c>
      <c r="N63" s="2" t="str">
        <f t="shared" si="12"/>
        <v/>
      </c>
      <c r="O63" s="2" t="str">
        <f t="shared" ref="O63:S63" si="15">X3</f>
        <v/>
      </c>
      <c r="P63" s="2" t="str">
        <f t="shared" si="15"/>
        <v/>
      </c>
      <c r="Q63" s="2" t="str">
        <f t="shared" si="15"/>
        <v/>
      </c>
      <c r="R63" s="2" t="str">
        <f t="shared" si="15"/>
        <v/>
      </c>
      <c r="S63" s="2" t="str">
        <f t="shared" si="15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hidden="1">
      <c r="A64" s="2" t="str">
        <f t="shared" si="9"/>
        <v>Lucas</v>
      </c>
      <c r="B64" s="178" t="str">
        <f t="shared" ref="B64:K64" si="16">L4</f>
        <v>Loss</v>
      </c>
      <c r="C64" s="2" t="str">
        <f t="shared" si="16"/>
        <v/>
      </c>
      <c r="D64" s="2">
        <f t="shared" si="16"/>
        <v>13</v>
      </c>
      <c r="E64" s="2">
        <f t="shared" si="16"/>
        <v>4</v>
      </c>
      <c r="F64" s="2">
        <f t="shared" si="16"/>
        <v>1</v>
      </c>
      <c r="G64" s="2">
        <f t="shared" si="16"/>
        <v>7</v>
      </c>
      <c r="H64" s="2">
        <f t="shared" si="16"/>
        <v>1</v>
      </c>
      <c r="I64" s="2">
        <f t="shared" si="16"/>
        <v>27</v>
      </c>
      <c r="J64" s="2" t="str">
        <f t="shared" si="16"/>
        <v/>
      </c>
      <c r="K64" s="2" t="str">
        <f t="shared" si="16"/>
        <v/>
      </c>
      <c r="L64" s="2" t="str">
        <f t="shared" ref="L64:L175" si="19">W4</f>
        <v/>
      </c>
      <c r="M64" s="2" t="str">
        <f t="shared" si="11"/>
        <v/>
      </c>
      <c r="N64" s="2" t="str">
        <f t="shared" si="12"/>
        <v/>
      </c>
      <c r="O64" s="2" t="str">
        <f t="shared" ref="O64:S64" si="17">X4</f>
        <v/>
      </c>
      <c r="P64" s="2" t="str">
        <f t="shared" si="17"/>
        <v/>
      </c>
      <c r="Q64" s="2" t="str">
        <f t="shared" si="17"/>
        <v/>
      </c>
      <c r="R64" s="2" t="str">
        <f t="shared" si="17"/>
        <v/>
      </c>
      <c r="S64" s="2" t="str">
        <f t="shared" si="17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hidden="1">
      <c r="A65" s="176" t="str">
        <f t="shared" si="9"/>
        <v>Porco</v>
      </c>
      <c r="B65" s="178" t="str">
        <f t="shared" ref="B65:K65" si="18">L5</f>
        <v>Loss</v>
      </c>
      <c r="C65" s="2" t="str">
        <f t="shared" si="18"/>
        <v/>
      </c>
      <c r="D65" s="2">
        <f t="shared" si="18"/>
        <v>10</v>
      </c>
      <c r="E65" s="2">
        <f t="shared" si="18"/>
        <v>7</v>
      </c>
      <c r="F65" s="2">
        <f t="shared" si="18"/>
        <v>0</v>
      </c>
      <c r="G65" s="2">
        <f t="shared" si="18"/>
        <v>3</v>
      </c>
      <c r="H65" s="2">
        <f t="shared" si="18"/>
        <v>0</v>
      </c>
      <c r="I65" s="2">
        <f t="shared" si="18"/>
        <v>29</v>
      </c>
      <c r="J65" s="2" t="str">
        <f t="shared" si="18"/>
        <v/>
      </c>
      <c r="K65" s="2" t="str">
        <f t="shared" si="18"/>
        <v/>
      </c>
      <c r="L65" s="2" t="str">
        <f t="shared" si="19"/>
        <v/>
      </c>
      <c r="M65" s="2" t="str">
        <f t="shared" si="11"/>
        <v/>
      </c>
      <c r="N65" s="2" t="str">
        <f t="shared" si="12"/>
        <v/>
      </c>
      <c r="O65" s="2" t="str">
        <f t="shared" ref="O65:S65" si="20">X5</f>
        <v/>
      </c>
      <c r="P65" s="2" t="str">
        <f t="shared" si="20"/>
        <v/>
      </c>
      <c r="Q65" s="2" t="str">
        <f t="shared" si="20"/>
        <v/>
      </c>
      <c r="R65" s="2" t="str">
        <f t="shared" si="20"/>
        <v/>
      </c>
      <c r="S65" s="2" t="str">
        <f t="shared" si="20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hidden="1">
      <c r="A66" s="2" t="str">
        <f t="shared" si="9"/>
        <v>Andy Yu</v>
      </c>
      <c r="B66" s="178" t="str">
        <f t="shared" ref="B66:K66" si="21">L6</f>
        <v>Loss</v>
      </c>
      <c r="C66" s="2" t="str">
        <f t="shared" si="21"/>
        <v/>
      </c>
      <c r="D66" s="2">
        <f t="shared" si="21"/>
        <v>19</v>
      </c>
      <c r="E66" s="2">
        <f t="shared" si="21"/>
        <v>9</v>
      </c>
      <c r="F66" s="2">
        <f t="shared" si="21"/>
        <v>4</v>
      </c>
      <c r="G66" s="2">
        <f t="shared" si="21"/>
        <v>6</v>
      </c>
      <c r="H66" s="2">
        <f t="shared" si="21"/>
        <v>0</v>
      </c>
      <c r="I66" s="2">
        <f t="shared" si="21"/>
        <v>27</v>
      </c>
      <c r="J66" s="2" t="str">
        <f t="shared" si="21"/>
        <v/>
      </c>
      <c r="K66" s="2" t="str">
        <f t="shared" si="21"/>
        <v/>
      </c>
      <c r="L66" s="2" t="str">
        <f t="shared" si="19"/>
        <v/>
      </c>
      <c r="M66" s="2" t="str">
        <f t="shared" si="11"/>
        <v/>
      </c>
      <c r="N66" s="2" t="str">
        <f t="shared" si="12"/>
        <v/>
      </c>
      <c r="O66" s="2" t="str">
        <f t="shared" ref="O66:S66" si="22">X6</f>
        <v/>
      </c>
      <c r="P66" s="2" t="str">
        <f t="shared" si="22"/>
        <v/>
      </c>
      <c r="Q66" s="2" t="str">
        <f t="shared" si="22"/>
        <v/>
      </c>
      <c r="R66" s="2" t="str">
        <f t="shared" si="22"/>
        <v/>
      </c>
      <c r="S66" s="2" t="str">
        <f t="shared" si="22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hidden="1">
      <c r="A67" s="2" t="str">
        <f t="shared" si="9"/>
        <v>Dli</v>
      </c>
      <c r="B67" s="178" t="str">
        <f t="shared" ref="B67:K67" si="23">L7</f>
        <v>Loss</v>
      </c>
      <c r="C67" s="2" t="str">
        <f t="shared" si="23"/>
        <v/>
      </c>
      <c r="D67" s="2">
        <f t="shared" si="23"/>
        <v>20</v>
      </c>
      <c r="E67" s="2">
        <f t="shared" si="23"/>
        <v>6</v>
      </c>
      <c r="F67" s="2">
        <f t="shared" si="23"/>
        <v>0</v>
      </c>
      <c r="G67" s="2">
        <f t="shared" si="23"/>
        <v>14</v>
      </c>
      <c r="H67" s="2">
        <f t="shared" si="23"/>
        <v>0</v>
      </c>
      <c r="I67" s="2">
        <f t="shared" si="23"/>
        <v>26</v>
      </c>
      <c r="J67" s="2" t="str">
        <f t="shared" si="23"/>
        <v/>
      </c>
      <c r="K67" s="2" t="str">
        <f t="shared" si="23"/>
        <v/>
      </c>
      <c r="L67" s="2" t="str">
        <f t="shared" si="19"/>
        <v/>
      </c>
      <c r="M67" s="2" t="str">
        <f t="shared" si="11"/>
        <v/>
      </c>
      <c r="N67" s="2" t="str">
        <f t="shared" si="12"/>
        <v/>
      </c>
      <c r="O67" s="2" t="str">
        <f t="shared" ref="O67:S67" si="24">X7</f>
        <v/>
      </c>
      <c r="P67" s="2" t="str">
        <f t="shared" si="24"/>
        <v/>
      </c>
      <c r="Q67" s="2" t="str">
        <f t="shared" si="24"/>
        <v/>
      </c>
      <c r="R67" s="2" t="str">
        <f t="shared" si="24"/>
        <v/>
      </c>
      <c r="S67" s="2" t="str">
        <f t="shared" si="2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hidden="1">
      <c r="A68" s="2" t="str">
        <f t="shared" si="9"/>
        <v>Somil</v>
      </c>
      <c r="B68" s="178" t="str">
        <f t="shared" ref="B68:K68" si="25">L8</f>
        <v>Loss</v>
      </c>
      <c r="C68" s="2" t="str">
        <f t="shared" si="25"/>
        <v/>
      </c>
      <c r="D68" s="2" t="str">
        <f t="shared" si="25"/>
        <v/>
      </c>
      <c r="E68" s="2" t="str">
        <f t="shared" si="25"/>
        <v/>
      </c>
      <c r="F68" s="2" t="str">
        <f t="shared" si="25"/>
        <v/>
      </c>
      <c r="G68" s="2" t="str">
        <f t="shared" si="25"/>
        <v/>
      </c>
      <c r="H68" s="2" t="str">
        <f t="shared" si="25"/>
        <v/>
      </c>
      <c r="I68" s="2" t="str">
        <f t="shared" si="25"/>
        <v/>
      </c>
      <c r="J68" s="2" t="str">
        <f t="shared" si="25"/>
        <v/>
      </c>
      <c r="K68" s="2" t="str">
        <f t="shared" si="25"/>
        <v/>
      </c>
      <c r="L68" s="2" t="str">
        <f t="shared" si="19"/>
        <v/>
      </c>
      <c r="M68" s="2" t="str">
        <f t="shared" si="11"/>
        <v/>
      </c>
      <c r="N68" s="2" t="str">
        <f t="shared" si="12"/>
        <v/>
      </c>
      <c r="O68" s="2" t="str">
        <f t="shared" ref="O68:S68" si="26">X8</f>
        <v/>
      </c>
      <c r="P68" s="2" t="str">
        <f t="shared" si="26"/>
        <v/>
      </c>
      <c r="Q68" s="2" t="str">
        <f t="shared" si="26"/>
        <v/>
      </c>
      <c r="R68" s="2" t="str">
        <f t="shared" si="26"/>
        <v/>
      </c>
      <c r="S68" s="2" t="str">
        <f t="shared" si="26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hidden="1">
      <c r="A69" s="2" t="str">
        <f t="shared" si="9"/>
        <v>VIshal</v>
      </c>
      <c r="B69" s="178" t="str">
        <f t="shared" ref="B69:K69" si="27">L9</f>
        <v>Loss</v>
      </c>
      <c r="C69" s="2" t="str">
        <f t="shared" si="27"/>
        <v/>
      </c>
      <c r="D69" s="2">
        <f t="shared" si="27"/>
        <v>20</v>
      </c>
      <c r="E69" s="2">
        <f t="shared" si="27"/>
        <v>7</v>
      </c>
      <c r="F69" s="2">
        <f t="shared" si="27"/>
        <v>3</v>
      </c>
      <c r="G69" s="2">
        <f t="shared" si="27"/>
        <v>7</v>
      </c>
      <c r="H69" s="2">
        <f t="shared" si="27"/>
        <v>3</v>
      </c>
      <c r="I69" s="2">
        <f t="shared" si="27"/>
        <v>24</v>
      </c>
      <c r="J69" s="2" t="str">
        <f t="shared" si="27"/>
        <v/>
      </c>
      <c r="K69" s="2" t="str">
        <f t="shared" si="27"/>
        <v/>
      </c>
      <c r="L69" s="2" t="str">
        <f t="shared" si="19"/>
        <v/>
      </c>
      <c r="M69" s="2" t="str">
        <f t="shared" si="11"/>
        <v/>
      </c>
      <c r="N69" s="2" t="str">
        <f t="shared" si="12"/>
        <v/>
      </c>
      <c r="O69" s="2" t="str">
        <f t="shared" ref="O69:S69" si="28">X9</f>
        <v/>
      </c>
      <c r="P69" s="2" t="str">
        <f t="shared" si="28"/>
        <v/>
      </c>
      <c r="Q69" s="2" t="str">
        <f t="shared" si="28"/>
        <v/>
      </c>
      <c r="R69" s="2" t="str">
        <f t="shared" si="28"/>
        <v/>
      </c>
      <c r="S69" s="2" t="str">
        <f t="shared" si="28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hidden="1">
      <c r="A70" s="2" t="str">
        <f t="shared" si="9"/>
        <v>Sam</v>
      </c>
      <c r="B70" s="178" t="str">
        <f t="shared" ref="B70:K70" si="29">L10</f>
        <v>Loss</v>
      </c>
      <c r="C70" s="2" t="str">
        <f t="shared" si="29"/>
        <v/>
      </c>
      <c r="D70" s="2" t="str">
        <f t="shared" si="29"/>
        <v/>
      </c>
      <c r="E70" s="2" t="str">
        <f t="shared" si="29"/>
        <v/>
      </c>
      <c r="F70" s="2" t="str">
        <f t="shared" si="29"/>
        <v/>
      </c>
      <c r="G70" s="2" t="str">
        <f t="shared" si="29"/>
        <v/>
      </c>
      <c r="H70" s="2" t="str">
        <f t="shared" si="29"/>
        <v/>
      </c>
      <c r="I70" s="2" t="str">
        <f t="shared" si="29"/>
        <v/>
      </c>
      <c r="J70" s="2" t="str">
        <f t="shared" si="29"/>
        <v/>
      </c>
      <c r="K70" s="2" t="str">
        <f t="shared" si="29"/>
        <v/>
      </c>
      <c r="L70" s="2" t="str">
        <f t="shared" si="19"/>
        <v/>
      </c>
      <c r="M70" s="2" t="str">
        <f t="shared" si="11"/>
        <v/>
      </c>
      <c r="N70" s="2" t="str">
        <f t="shared" si="12"/>
        <v/>
      </c>
      <c r="O70" s="2" t="str">
        <f t="shared" ref="O70:S70" si="30">X10</f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2" t="str">
        <f t="shared" si="30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hidden="1">
      <c r="A71" s="2" t="str">
        <f t="shared" si="9"/>
        <v>Charlie</v>
      </c>
      <c r="B71" s="178" t="str">
        <f t="shared" ref="B71:K71" si="31">L11</f>
        <v>Loss</v>
      </c>
      <c r="C71" s="2" t="str">
        <f t="shared" si="31"/>
        <v/>
      </c>
      <c r="D71" s="2" t="str">
        <f t="shared" si="31"/>
        <v/>
      </c>
      <c r="E71" s="2" t="str">
        <f t="shared" si="31"/>
        <v/>
      </c>
      <c r="F71" s="2" t="str">
        <f t="shared" si="31"/>
        <v/>
      </c>
      <c r="G71" s="2" t="str">
        <f t="shared" si="31"/>
        <v/>
      </c>
      <c r="H71" s="2" t="str">
        <f t="shared" si="31"/>
        <v/>
      </c>
      <c r="I71" s="2" t="str">
        <f t="shared" si="31"/>
        <v/>
      </c>
      <c r="J71" s="2" t="str">
        <f t="shared" si="31"/>
        <v/>
      </c>
      <c r="K71" s="2" t="str">
        <f t="shared" si="31"/>
        <v/>
      </c>
      <c r="L71" s="2" t="str">
        <f t="shared" si="19"/>
        <v/>
      </c>
      <c r="M71" s="2" t="str">
        <f t="shared" si="11"/>
        <v/>
      </c>
      <c r="N71" s="2" t="str">
        <f t="shared" si="12"/>
        <v/>
      </c>
      <c r="O71" s="2" t="str">
        <f t="shared" ref="O71:S71" si="32">X11</f>
        <v/>
      </c>
      <c r="P71" s="2" t="str">
        <f t="shared" si="32"/>
        <v/>
      </c>
      <c r="Q71" s="2" t="str">
        <f t="shared" si="32"/>
        <v/>
      </c>
      <c r="R71" s="2" t="str">
        <f t="shared" si="32"/>
        <v/>
      </c>
      <c r="S71" s="2" t="str">
        <f t="shared" si="32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hidden="1">
      <c r="A72" s="176" t="str">
        <f t="shared" si="9"/>
        <v>Daniel</v>
      </c>
      <c r="B72" s="178" t="str">
        <f t="shared" ref="B72:K72" si="33">L12</f>
        <v>Loss</v>
      </c>
      <c r="C72" s="2" t="str">
        <f t="shared" si="33"/>
        <v/>
      </c>
      <c r="D72" s="2" t="str">
        <f t="shared" si="33"/>
        <v/>
      </c>
      <c r="E72" s="2" t="str">
        <f t="shared" si="33"/>
        <v/>
      </c>
      <c r="F72" s="2" t="str">
        <f t="shared" si="33"/>
        <v/>
      </c>
      <c r="G72" s="2" t="str">
        <f t="shared" si="33"/>
        <v/>
      </c>
      <c r="H72" s="2" t="str">
        <f t="shared" si="33"/>
        <v/>
      </c>
      <c r="I72" s="2" t="str">
        <f t="shared" si="33"/>
        <v/>
      </c>
      <c r="J72" s="2" t="str">
        <f t="shared" si="33"/>
        <v/>
      </c>
      <c r="K72" s="2" t="str">
        <f t="shared" si="33"/>
        <v/>
      </c>
      <c r="L72" s="2" t="str">
        <f t="shared" si="19"/>
        <v/>
      </c>
      <c r="M72" s="2" t="str">
        <f t="shared" si="11"/>
        <v/>
      </c>
      <c r="N72" s="2" t="str">
        <f t="shared" si="12"/>
        <v/>
      </c>
      <c r="O72" s="2" t="str">
        <f t="shared" ref="O72:S72" si="34">X12</f>
        <v/>
      </c>
      <c r="P72" s="2" t="str">
        <f t="shared" si="34"/>
        <v/>
      </c>
      <c r="Q72" s="2" t="str">
        <f t="shared" si="34"/>
        <v/>
      </c>
      <c r="R72" s="2" t="str">
        <f t="shared" si="34"/>
        <v/>
      </c>
      <c r="S72" s="2" t="str">
        <f t="shared" si="3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hidden="1">
      <c r="A73" s="2" t="str">
        <f t="shared" si="9"/>
        <v/>
      </c>
      <c r="B73" s="178" t="str">
        <f t="shared" ref="B73:K73" si="35">L13</f>
        <v>Loss</v>
      </c>
      <c r="C73" s="2" t="str">
        <f t="shared" si="35"/>
        <v/>
      </c>
      <c r="D73" s="2" t="str">
        <f t="shared" si="35"/>
        <v/>
      </c>
      <c r="E73" s="2" t="str">
        <f t="shared" si="35"/>
        <v/>
      </c>
      <c r="F73" s="2" t="str">
        <f t="shared" si="35"/>
        <v/>
      </c>
      <c r="G73" s="2" t="str">
        <f t="shared" si="35"/>
        <v/>
      </c>
      <c r="H73" s="2" t="str">
        <f t="shared" si="35"/>
        <v/>
      </c>
      <c r="I73" s="2" t="str">
        <f t="shared" si="35"/>
        <v/>
      </c>
      <c r="J73" s="2" t="str">
        <f t="shared" si="35"/>
        <v/>
      </c>
      <c r="K73" s="2" t="str">
        <f t="shared" si="35"/>
        <v/>
      </c>
      <c r="L73" s="2" t="str">
        <f t="shared" si="19"/>
        <v/>
      </c>
      <c r="M73" s="2" t="str">
        <f t="shared" si="11"/>
        <v/>
      </c>
      <c r="N73" s="2" t="str">
        <f t="shared" si="12"/>
        <v/>
      </c>
      <c r="O73" s="2" t="str">
        <f t="shared" ref="O73:S73" si="36">X13</f>
        <v/>
      </c>
      <c r="P73" s="2" t="str">
        <f t="shared" si="36"/>
        <v/>
      </c>
      <c r="Q73" s="2" t="str">
        <f t="shared" si="36"/>
        <v/>
      </c>
      <c r="R73" s="2" t="str">
        <f t="shared" si="36"/>
        <v/>
      </c>
      <c r="S73" s="2" t="str">
        <f t="shared" si="36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hidden="1">
      <c r="A74" s="2" t="str">
        <f t="shared" si="9"/>
        <v/>
      </c>
      <c r="B74" s="178" t="str">
        <f t="shared" ref="B74:K74" si="37">L14</f>
        <v>Loss</v>
      </c>
      <c r="C74" s="2" t="str">
        <f t="shared" si="37"/>
        <v/>
      </c>
      <c r="D74" s="2" t="str">
        <f t="shared" si="37"/>
        <v/>
      </c>
      <c r="E74" s="2" t="str">
        <f t="shared" si="37"/>
        <v/>
      </c>
      <c r="F74" s="2" t="str">
        <f t="shared" si="37"/>
        <v/>
      </c>
      <c r="G74" s="2" t="str">
        <f t="shared" si="37"/>
        <v/>
      </c>
      <c r="H74" s="2" t="str">
        <f t="shared" si="37"/>
        <v/>
      </c>
      <c r="I74" s="2" t="str">
        <f t="shared" si="37"/>
        <v/>
      </c>
      <c r="J74" s="2" t="str">
        <f t="shared" si="37"/>
        <v/>
      </c>
      <c r="K74" s="2" t="str">
        <f t="shared" si="37"/>
        <v/>
      </c>
      <c r="L74" s="2" t="str">
        <f t="shared" si="19"/>
        <v/>
      </c>
      <c r="M74" s="2" t="str">
        <f t="shared" si="11"/>
        <v/>
      </c>
      <c r="N74" s="2" t="str">
        <f t="shared" si="12"/>
        <v/>
      </c>
      <c r="O74" s="2" t="str">
        <f t="shared" ref="O74:S74" si="38">X14</f>
        <v/>
      </c>
      <c r="P74" s="2" t="str">
        <f t="shared" si="38"/>
        <v/>
      </c>
      <c r="Q74" s="2" t="str">
        <f t="shared" si="38"/>
        <v/>
      </c>
      <c r="R74" s="2" t="str">
        <f t="shared" si="38"/>
        <v/>
      </c>
      <c r="S74" s="2" t="str">
        <f t="shared" si="38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hidden="1">
      <c r="A75" s="2" t="str">
        <f t="shared" si="9"/>
        <v/>
      </c>
      <c r="B75" s="178" t="str">
        <f t="shared" ref="B75:K75" si="39">L15</f>
        <v>Loss</v>
      </c>
      <c r="C75" s="2" t="str">
        <f t="shared" si="39"/>
        <v/>
      </c>
      <c r="D75" s="2" t="str">
        <f t="shared" si="39"/>
        <v/>
      </c>
      <c r="E75" s="2" t="str">
        <f t="shared" si="39"/>
        <v/>
      </c>
      <c r="F75" s="2" t="str">
        <f t="shared" si="39"/>
        <v/>
      </c>
      <c r="G75" s="2" t="str">
        <f t="shared" si="39"/>
        <v/>
      </c>
      <c r="H75" s="2" t="str">
        <f t="shared" si="39"/>
        <v/>
      </c>
      <c r="I75" s="2" t="str">
        <f t="shared" si="39"/>
        <v/>
      </c>
      <c r="J75" s="2" t="str">
        <f t="shared" si="39"/>
        <v/>
      </c>
      <c r="K75" s="2" t="str">
        <f t="shared" si="39"/>
        <v/>
      </c>
      <c r="L75" s="2" t="str">
        <f t="shared" si="19"/>
        <v/>
      </c>
      <c r="M75" s="2" t="str">
        <f t="shared" si="11"/>
        <v/>
      </c>
      <c r="N75" s="2" t="str">
        <f t="shared" si="12"/>
        <v/>
      </c>
      <c r="O75" s="2" t="str">
        <f t="shared" ref="O75:S75" si="40">X15</f>
        <v/>
      </c>
      <c r="P75" s="2" t="str">
        <f t="shared" si="40"/>
        <v/>
      </c>
      <c r="Q75" s="2" t="str">
        <f t="shared" si="40"/>
        <v/>
      </c>
      <c r="R75" s="2" t="str">
        <f t="shared" si="40"/>
        <v/>
      </c>
      <c r="S75" s="2" t="str">
        <f t="shared" si="40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hidden="1">
      <c r="A76" s="2" t="str">
        <f t="shared" si="9"/>
        <v/>
      </c>
      <c r="B76" s="178" t="str">
        <f t="shared" ref="B76:K76" si="41">L16</f>
        <v>Loss</v>
      </c>
      <c r="C76" s="2" t="str">
        <f t="shared" si="41"/>
        <v/>
      </c>
      <c r="D76" s="2" t="str">
        <f t="shared" si="41"/>
        <v/>
      </c>
      <c r="E76" s="2" t="str">
        <f t="shared" si="41"/>
        <v/>
      </c>
      <c r="F76" s="2" t="str">
        <f t="shared" si="41"/>
        <v/>
      </c>
      <c r="G76" s="2" t="str">
        <f t="shared" si="41"/>
        <v/>
      </c>
      <c r="H76" s="2" t="str">
        <f t="shared" si="41"/>
        <v/>
      </c>
      <c r="I76" s="2" t="str">
        <f t="shared" si="41"/>
        <v/>
      </c>
      <c r="J76" s="2" t="str">
        <f t="shared" si="41"/>
        <v/>
      </c>
      <c r="K76" s="2" t="str">
        <f t="shared" si="41"/>
        <v/>
      </c>
      <c r="L76" s="2" t="str">
        <f t="shared" si="19"/>
        <v/>
      </c>
      <c r="M76" s="2" t="str">
        <f t="shared" si="11"/>
        <v/>
      </c>
      <c r="N76" s="2" t="str">
        <f t="shared" si="12"/>
        <v/>
      </c>
      <c r="O76" s="2" t="str">
        <f t="shared" ref="O76:S76" si="42">X16</f>
        <v/>
      </c>
      <c r="P76" s="2" t="str">
        <f t="shared" si="42"/>
        <v/>
      </c>
      <c r="Q76" s="2" t="str">
        <f t="shared" si="42"/>
        <v/>
      </c>
      <c r="R76" s="2" t="str">
        <f t="shared" si="42"/>
        <v/>
      </c>
      <c r="S76" s="2" t="str">
        <f t="shared" si="42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hidden="1">
      <c r="A77" s="2" t="str">
        <f t="shared" si="9"/>
        <v/>
      </c>
      <c r="B77" s="178" t="str">
        <f t="shared" ref="B77:K77" si="43">L17</f>
        <v>Loss</v>
      </c>
      <c r="C77" s="2" t="str">
        <f t="shared" si="43"/>
        <v/>
      </c>
      <c r="D77" s="2" t="str">
        <f t="shared" si="43"/>
        <v/>
      </c>
      <c r="E77" s="2" t="str">
        <f t="shared" si="43"/>
        <v/>
      </c>
      <c r="F77" s="2" t="str">
        <f t="shared" si="43"/>
        <v/>
      </c>
      <c r="G77" s="2" t="str">
        <f t="shared" si="43"/>
        <v/>
      </c>
      <c r="H77" s="2" t="str">
        <f t="shared" si="43"/>
        <v/>
      </c>
      <c r="I77" s="2" t="str">
        <f t="shared" si="43"/>
        <v/>
      </c>
      <c r="J77" s="2" t="str">
        <f t="shared" si="43"/>
        <v/>
      </c>
      <c r="K77" s="2" t="str">
        <f t="shared" si="43"/>
        <v/>
      </c>
      <c r="L77" s="2" t="str">
        <f t="shared" si="19"/>
        <v/>
      </c>
      <c r="M77" s="2" t="str">
        <f t="shared" si="11"/>
        <v/>
      </c>
      <c r="N77" s="2" t="str">
        <f t="shared" si="12"/>
        <v/>
      </c>
      <c r="O77" s="2" t="str">
        <f t="shared" ref="O77:S77" si="44">X17</f>
        <v/>
      </c>
      <c r="P77" s="2" t="str">
        <f t="shared" si="44"/>
        <v/>
      </c>
      <c r="Q77" s="2" t="str">
        <f t="shared" si="44"/>
        <v/>
      </c>
      <c r="R77" s="2" t="str">
        <f t="shared" si="44"/>
        <v/>
      </c>
      <c r="S77" s="2" t="str">
        <f t="shared" si="4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hidden="1">
      <c r="A78" s="176" t="str">
        <f t="shared" si="9"/>
        <v>Pulled Cups</v>
      </c>
      <c r="B78" s="178" t="str">
        <f t="shared" ref="B78:K78" si="45">L18</f>
        <v/>
      </c>
      <c r="C78" s="2" t="str">
        <f t="shared" si="45"/>
        <v/>
      </c>
      <c r="D78" s="2" t="str">
        <f t="shared" si="45"/>
        <v/>
      </c>
      <c r="E78" s="2" t="str">
        <f t="shared" si="45"/>
        <v/>
      </c>
      <c r="F78" s="2" t="str">
        <f t="shared" si="45"/>
        <v/>
      </c>
      <c r="G78" s="2" t="str">
        <f t="shared" si="45"/>
        <v/>
      </c>
      <c r="H78" s="2" t="str">
        <f t="shared" si="45"/>
        <v/>
      </c>
      <c r="I78" s="2" t="str">
        <f t="shared" si="45"/>
        <v/>
      </c>
      <c r="J78" s="2" t="str">
        <f t="shared" si="45"/>
        <v/>
      </c>
      <c r="K78" s="2" t="str">
        <f t="shared" si="45"/>
        <v/>
      </c>
      <c r="L78" s="2" t="str">
        <f t="shared" si="19"/>
        <v/>
      </c>
      <c r="M78" s="2" t="str">
        <f t="shared" si="11"/>
        <v/>
      </c>
      <c r="N78" s="2" t="str">
        <f t="shared" si="12"/>
        <v/>
      </c>
      <c r="O78" s="2" t="str">
        <f t="shared" ref="O78:S78" si="46">X18</f>
        <v/>
      </c>
      <c r="P78" s="2" t="str">
        <f t="shared" si="46"/>
        <v/>
      </c>
      <c r="Q78" s="2" t="str">
        <f t="shared" si="46"/>
        <v/>
      </c>
      <c r="R78" s="2" t="str">
        <f t="shared" si="46"/>
        <v/>
      </c>
      <c r="S78" s="2" t="str">
        <f t="shared" si="46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hidden="1">
      <c r="A79" s="176" t="str">
        <f t="shared" si="9"/>
        <v>Total</v>
      </c>
      <c r="B79" s="178" t="str">
        <f t="shared" ref="B79:K79" si="47">L19</f>
        <v/>
      </c>
      <c r="C79" s="2" t="str">
        <f t="shared" si="47"/>
        <v/>
      </c>
      <c r="D79" s="129">
        <f t="shared" si="47"/>
        <v>94</v>
      </c>
      <c r="E79" s="2" t="str">
        <f t="shared" si="47"/>
        <v/>
      </c>
      <c r="F79" s="2" t="str">
        <f t="shared" si="47"/>
        <v/>
      </c>
      <c r="G79" s="2" t="str">
        <f t="shared" si="47"/>
        <v/>
      </c>
      <c r="H79" s="2" t="str">
        <f t="shared" si="47"/>
        <v/>
      </c>
      <c r="I79" s="128">
        <f t="shared" si="47"/>
        <v>0.3671875</v>
      </c>
      <c r="J79" s="2" t="str">
        <f t="shared" si="47"/>
        <v/>
      </c>
      <c r="K79" s="2" t="str">
        <f t="shared" si="47"/>
        <v/>
      </c>
      <c r="L79" s="2" t="str">
        <f t="shared" si="19"/>
        <v/>
      </c>
      <c r="M79" s="2" t="str">
        <f t="shared" si="11"/>
        <v/>
      </c>
      <c r="N79" s="129" t="str">
        <f t="shared" si="12"/>
        <v/>
      </c>
      <c r="O79" s="2" t="str">
        <f t="shared" ref="O79:S79" si="48">X19</f>
        <v/>
      </c>
      <c r="P79" s="2" t="str">
        <f t="shared" si="48"/>
        <v/>
      </c>
      <c r="Q79" s="2" t="str">
        <f t="shared" si="48"/>
        <v/>
      </c>
      <c r="R79" s="2" t="str">
        <f t="shared" si="48"/>
        <v/>
      </c>
      <c r="S79" s="2" t="str">
        <f t="shared" si="48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hidden="1">
      <c r="A80" s="2" t="str">
        <f t="shared" si="9"/>
        <v/>
      </c>
      <c r="B80" s="178" t="str">
        <f t="shared" ref="B80:K80" si="49">L20</f>
        <v/>
      </c>
      <c r="C80" s="2" t="str">
        <f t="shared" si="49"/>
        <v/>
      </c>
      <c r="D80" s="2" t="str">
        <f t="shared" si="49"/>
        <v/>
      </c>
      <c r="E80" s="2" t="str">
        <f t="shared" si="49"/>
        <v/>
      </c>
      <c r="F80" s="2" t="str">
        <f t="shared" si="49"/>
        <v/>
      </c>
      <c r="G80" s="2" t="str">
        <f t="shared" si="49"/>
        <v/>
      </c>
      <c r="H80" s="2" t="str">
        <f t="shared" si="49"/>
        <v/>
      </c>
      <c r="I80" s="2" t="str">
        <f t="shared" si="49"/>
        <v/>
      </c>
      <c r="J80" s="2" t="str">
        <f t="shared" si="49"/>
        <v/>
      </c>
      <c r="K80" s="2" t="str">
        <f t="shared" si="49"/>
        <v/>
      </c>
      <c r="L80" s="2" t="str">
        <f t="shared" si="19"/>
        <v/>
      </c>
      <c r="M80" s="2" t="str">
        <f t="shared" si="11"/>
        <v/>
      </c>
      <c r="N80" s="2" t="str">
        <f t="shared" si="12"/>
        <v/>
      </c>
      <c r="O80" s="2" t="str">
        <f t="shared" ref="O80:S80" si="50">X20</f>
        <v/>
      </c>
      <c r="P80" s="2" t="str">
        <f t="shared" si="50"/>
        <v/>
      </c>
      <c r="Q80" s="2" t="str">
        <f t="shared" si="50"/>
        <v/>
      </c>
      <c r="R80" s="2" t="str">
        <f t="shared" si="50"/>
        <v/>
      </c>
      <c r="S80" s="2" t="str">
        <f t="shared" si="50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hidden="1">
      <c r="A81" s="176" t="str">
        <f t="shared" si="9"/>
        <v>Candice?</v>
      </c>
      <c r="B81" s="178" t="str">
        <f t="shared" ref="B81:K81" si="51">L21</f>
        <v/>
      </c>
      <c r="C81" s="2" t="str">
        <f t="shared" si="51"/>
        <v/>
      </c>
      <c r="D81" s="2" t="str">
        <f t="shared" si="51"/>
        <v/>
      </c>
      <c r="E81" s="176" t="str">
        <f t="shared" si="51"/>
        <v>Result</v>
      </c>
      <c r="F81" s="166" t="str">
        <f t="shared" si="51"/>
        <v>Win</v>
      </c>
      <c r="G81" s="2" t="str">
        <f t="shared" si="51"/>
        <v/>
      </c>
      <c r="H81" s="176" t="str">
        <f t="shared" si="51"/>
        <v>Margin</v>
      </c>
      <c r="I81" s="129">
        <f t="shared" si="51"/>
        <v>21</v>
      </c>
      <c r="J81" s="2" t="str">
        <f t="shared" si="51"/>
        <v/>
      </c>
      <c r="K81" s="2" t="str">
        <f t="shared" si="51"/>
        <v/>
      </c>
      <c r="L81" s="2" t="str">
        <f t="shared" si="19"/>
        <v/>
      </c>
      <c r="M81" s="2" t="str">
        <f t="shared" si="11"/>
        <v/>
      </c>
      <c r="N81" s="2" t="str">
        <f t="shared" si="12"/>
        <v/>
      </c>
      <c r="O81" s="2" t="str">
        <f t="shared" ref="O81:S81" si="52">X21</f>
        <v/>
      </c>
      <c r="P81" s="2" t="str">
        <f t="shared" si="52"/>
        <v/>
      </c>
      <c r="Q81" s="2" t="str">
        <f t="shared" si="52"/>
        <v/>
      </c>
      <c r="R81" s="2" t="str">
        <f t="shared" si="52"/>
        <v/>
      </c>
      <c r="S81" s="2" t="str">
        <f t="shared" si="52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hidden="1">
      <c r="A82" s="176" t="str">
        <f t="shared" si="9"/>
        <v>Name</v>
      </c>
      <c r="B82" s="178" t="str">
        <f t="shared" ref="B82:K82" si="53">L22</f>
        <v>W/L?</v>
      </c>
      <c r="C82" s="176" t="str">
        <f t="shared" si="53"/>
        <v>Shot Order</v>
      </c>
      <c r="D82" s="176" t="str">
        <f t="shared" si="53"/>
        <v>Total Cups</v>
      </c>
      <c r="E82" s="176" t="str">
        <f t="shared" si="53"/>
        <v>Tops</v>
      </c>
      <c r="F82" s="176" t="str">
        <f t="shared" si="53"/>
        <v>Top Isos</v>
      </c>
      <c r="G82" s="176" t="str">
        <f t="shared" si="53"/>
        <v>Bottoms</v>
      </c>
      <c r="H82" s="176" t="str">
        <f t="shared" si="53"/>
        <v>Bottom Isos</v>
      </c>
      <c r="I82" s="176" t="str">
        <f t="shared" si="53"/>
        <v>Misses</v>
      </c>
      <c r="J82" s="2" t="str">
        <f t="shared" si="53"/>
        <v/>
      </c>
      <c r="K82" s="2" t="str">
        <f t="shared" si="53"/>
        <v/>
      </c>
      <c r="L82" s="2" t="str">
        <f t="shared" si="19"/>
        <v/>
      </c>
      <c r="M82" s="2" t="str">
        <f t="shared" si="11"/>
        <v/>
      </c>
      <c r="N82" s="176" t="str">
        <f t="shared" si="12"/>
        <v/>
      </c>
      <c r="O82" s="2" t="str">
        <f t="shared" ref="O82:S82" si="54">X22</f>
        <v/>
      </c>
      <c r="P82" s="2" t="str">
        <f t="shared" si="54"/>
        <v/>
      </c>
      <c r="Q82" s="2" t="str">
        <f t="shared" si="54"/>
        <v/>
      </c>
      <c r="R82" s="2" t="str">
        <f t="shared" si="54"/>
        <v/>
      </c>
      <c r="S82" s="2" t="str">
        <f t="shared" si="5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hidden="1">
      <c r="A83" s="176" t="str">
        <f t="shared" si="9"/>
        <v>John</v>
      </c>
      <c r="B83" s="178" t="str">
        <f t="shared" ref="B83:K83" si="55">L23</f>
        <v>Win</v>
      </c>
      <c r="C83" s="2" t="str">
        <f t="shared" si="55"/>
        <v/>
      </c>
      <c r="D83" s="2">
        <f t="shared" si="55"/>
        <v>19</v>
      </c>
      <c r="E83" s="2">
        <f t="shared" si="55"/>
        <v>4</v>
      </c>
      <c r="F83" s="2">
        <f t="shared" si="55"/>
        <v>3</v>
      </c>
      <c r="G83" s="2">
        <f t="shared" si="55"/>
        <v>9</v>
      </c>
      <c r="H83" s="2">
        <f t="shared" si="55"/>
        <v>3</v>
      </c>
      <c r="I83" s="2">
        <f t="shared" si="55"/>
        <v>21</v>
      </c>
      <c r="J83" s="2" t="str">
        <f t="shared" si="55"/>
        <v/>
      </c>
      <c r="K83" s="2" t="str">
        <f t="shared" si="55"/>
        <v/>
      </c>
      <c r="L83" s="2" t="str">
        <f t="shared" si="19"/>
        <v/>
      </c>
      <c r="M83" s="2" t="str">
        <f t="shared" si="11"/>
        <v/>
      </c>
      <c r="N83" s="2" t="str">
        <f t="shared" si="12"/>
        <v/>
      </c>
      <c r="O83" s="2" t="str">
        <f t="shared" ref="O83:S83" si="56">X23</f>
        <v/>
      </c>
      <c r="P83" s="2" t="str">
        <f t="shared" si="56"/>
        <v/>
      </c>
      <c r="Q83" s="2" t="str">
        <f t="shared" si="56"/>
        <v/>
      </c>
      <c r="R83" s="2" t="str">
        <f t="shared" si="56"/>
        <v/>
      </c>
      <c r="S83" s="2" t="str">
        <f t="shared" si="56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hidden="1">
      <c r="A84" s="2" t="str">
        <f t="shared" si="9"/>
        <v>Cole</v>
      </c>
      <c r="B84" s="178" t="str">
        <f t="shared" ref="B84:K84" si="57">L24</f>
        <v>Win</v>
      </c>
      <c r="C84" s="2" t="str">
        <f t="shared" si="57"/>
        <v/>
      </c>
      <c r="D84" s="2">
        <f t="shared" si="57"/>
        <v>23</v>
      </c>
      <c r="E84" s="2">
        <f t="shared" si="57"/>
        <v>5</v>
      </c>
      <c r="F84" s="2">
        <f t="shared" si="57"/>
        <v>2</v>
      </c>
      <c r="G84" s="2">
        <f t="shared" si="57"/>
        <v>15</v>
      </c>
      <c r="H84" s="2">
        <f t="shared" si="57"/>
        <v>1</v>
      </c>
      <c r="I84" s="2">
        <f t="shared" si="57"/>
        <v>22</v>
      </c>
      <c r="J84" s="2" t="str">
        <f t="shared" si="57"/>
        <v/>
      </c>
      <c r="K84" s="2" t="str">
        <f t="shared" si="57"/>
        <v/>
      </c>
      <c r="L84" s="2" t="str">
        <f t="shared" si="19"/>
        <v/>
      </c>
      <c r="M84" s="2" t="str">
        <f t="shared" si="11"/>
        <v/>
      </c>
      <c r="N84" s="2" t="str">
        <f t="shared" si="12"/>
        <v/>
      </c>
      <c r="O84" s="2" t="str">
        <f t="shared" ref="O84:S84" si="58">X24</f>
        <v/>
      </c>
      <c r="P84" s="2" t="str">
        <f t="shared" si="58"/>
        <v/>
      </c>
      <c r="Q84" s="2" t="str">
        <f t="shared" si="58"/>
        <v/>
      </c>
      <c r="R84" s="2" t="str">
        <f t="shared" si="58"/>
        <v/>
      </c>
      <c r="S84" s="2" t="str">
        <f t="shared" si="58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hidden="1">
      <c r="A85" s="176" t="str">
        <f t="shared" si="9"/>
        <v>Dannegger</v>
      </c>
      <c r="B85" s="178" t="str">
        <f t="shared" ref="B85:K85" si="59">L25</f>
        <v>Win</v>
      </c>
      <c r="C85" s="2" t="str">
        <f t="shared" si="59"/>
        <v/>
      </c>
      <c r="D85" s="2">
        <f t="shared" si="59"/>
        <v>13</v>
      </c>
      <c r="E85" s="2">
        <f t="shared" si="59"/>
        <v>4</v>
      </c>
      <c r="F85" s="2">
        <f t="shared" si="59"/>
        <v>1</v>
      </c>
      <c r="G85" s="2">
        <f t="shared" si="59"/>
        <v>7</v>
      </c>
      <c r="H85" s="2">
        <f t="shared" si="59"/>
        <v>1</v>
      </c>
      <c r="I85" s="2">
        <f t="shared" si="59"/>
        <v>26</v>
      </c>
      <c r="J85" s="2" t="str">
        <f t="shared" si="59"/>
        <v/>
      </c>
      <c r="K85" s="2" t="str">
        <f t="shared" si="59"/>
        <v/>
      </c>
      <c r="L85" s="2" t="str">
        <f t="shared" si="19"/>
        <v/>
      </c>
      <c r="M85" s="2" t="str">
        <f t="shared" si="11"/>
        <v/>
      </c>
      <c r="N85" s="2" t="str">
        <f t="shared" si="12"/>
        <v/>
      </c>
      <c r="O85" s="2" t="str">
        <f t="shared" ref="O85:S85" si="60">X25</f>
        <v/>
      </c>
      <c r="P85" s="2" t="str">
        <f t="shared" si="60"/>
        <v/>
      </c>
      <c r="Q85" s="2" t="str">
        <f t="shared" si="60"/>
        <v/>
      </c>
      <c r="R85" s="2" t="str">
        <f t="shared" si="60"/>
        <v/>
      </c>
      <c r="S85" s="2" t="str">
        <f t="shared" si="60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hidden="1">
      <c r="A86" s="176" t="str">
        <f t="shared" si="9"/>
        <v>KZ</v>
      </c>
      <c r="B86" s="178" t="str">
        <f t="shared" ref="B86:K86" si="61">L26</f>
        <v>Win</v>
      </c>
      <c r="C86" s="2" t="str">
        <f t="shared" si="61"/>
        <v/>
      </c>
      <c r="D86" s="2">
        <f t="shared" si="61"/>
        <v>13</v>
      </c>
      <c r="E86" s="2">
        <f t="shared" si="61"/>
        <v>10</v>
      </c>
      <c r="F86" s="2">
        <f t="shared" si="61"/>
        <v>0</v>
      </c>
      <c r="G86" s="2">
        <f t="shared" si="61"/>
        <v>3</v>
      </c>
      <c r="H86" s="2">
        <f t="shared" si="61"/>
        <v>0</v>
      </c>
      <c r="I86" s="2">
        <f t="shared" si="61"/>
        <v>27</v>
      </c>
      <c r="J86" s="2" t="str">
        <f t="shared" si="61"/>
        <v/>
      </c>
      <c r="K86" s="2" t="str">
        <f t="shared" si="61"/>
        <v/>
      </c>
      <c r="L86" s="2" t="str">
        <f t="shared" si="19"/>
        <v/>
      </c>
      <c r="M86" s="2" t="str">
        <f t="shared" si="11"/>
        <v/>
      </c>
      <c r="N86" s="2" t="str">
        <f t="shared" si="12"/>
        <v/>
      </c>
      <c r="O86" s="2" t="str">
        <f t="shared" ref="O86:S86" si="62">X26</f>
        <v/>
      </c>
      <c r="P86" s="2" t="str">
        <f t="shared" si="62"/>
        <v/>
      </c>
      <c r="Q86" s="2" t="str">
        <f t="shared" si="62"/>
        <v/>
      </c>
      <c r="R86" s="2" t="str">
        <f t="shared" si="62"/>
        <v/>
      </c>
      <c r="S86" s="2" t="str">
        <f t="shared" si="62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hidden="1">
      <c r="A87" s="2" t="str">
        <f t="shared" si="9"/>
        <v>Adi</v>
      </c>
      <c r="B87" s="178" t="str">
        <f t="shared" ref="B87:K87" si="63">L27</f>
        <v>Win</v>
      </c>
      <c r="C87" s="2" t="str">
        <f t="shared" si="63"/>
        <v/>
      </c>
      <c r="D87" s="2">
        <f t="shared" si="63"/>
        <v>16</v>
      </c>
      <c r="E87" s="2">
        <f t="shared" si="63"/>
        <v>9</v>
      </c>
      <c r="F87" s="2">
        <f t="shared" si="63"/>
        <v>2</v>
      </c>
      <c r="G87" s="2">
        <f t="shared" si="63"/>
        <v>5</v>
      </c>
      <c r="H87" s="2">
        <f t="shared" si="63"/>
        <v>0</v>
      </c>
      <c r="I87" s="2">
        <f t="shared" si="63"/>
        <v>24</v>
      </c>
      <c r="J87" s="2" t="str">
        <f t="shared" si="63"/>
        <v/>
      </c>
      <c r="K87" s="2" t="str">
        <f t="shared" si="63"/>
        <v/>
      </c>
      <c r="L87" s="2" t="str">
        <f t="shared" si="19"/>
        <v/>
      </c>
      <c r="M87" s="2" t="str">
        <f t="shared" si="11"/>
        <v/>
      </c>
      <c r="N87" s="2" t="str">
        <f t="shared" si="12"/>
        <v/>
      </c>
      <c r="O87" s="2" t="str">
        <f t="shared" ref="O87:S87" si="64">X27</f>
        <v/>
      </c>
      <c r="P87" s="2" t="str">
        <f t="shared" si="64"/>
        <v/>
      </c>
      <c r="Q87" s="2" t="str">
        <f t="shared" si="64"/>
        <v/>
      </c>
      <c r="R87" s="2" t="str">
        <f t="shared" si="64"/>
        <v/>
      </c>
      <c r="S87" s="2" t="str">
        <f t="shared" si="6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hidden="1">
      <c r="A88" s="2" t="str">
        <f t="shared" si="9"/>
        <v>Gavin</v>
      </c>
      <c r="B88" s="178" t="str">
        <f t="shared" ref="B88:K88" si="65">L28</f>
        <v>Win</v>
      </c>
      <c r="C88" s="2" t="str">
        <f t="shared" si="65"/>
        <v/>
      </c>
      <c r="D88" s="2" t="str">
        <f t="shared" si="65"/>
        <v/>
      </c>
      <c r="E88" s="2" t="str">
        <f t="shared" si="65"/>
        <v/>
      </c>
      <c r="F88" s="2" t="str">
        <f t="shared" si="65"/>
        <v/>
      </c>
      <c r="G88" s="2" t="str">
        <f t="shared" si="65"/>
        <v/>
      </c>
      <c r="H88" s="2" t="str">
        <f t="shared" si="65"/>
        <v/>
      </c>
      <c r="I88" s="2" t="str">
        <f t="shared" si="65"/>
        <v/>
      </c>
      <c r="J88" s="2" t="str">
        <f t="shared" si="65"/>
        <v/>
      </c>
      <c r="K88" s="2" t="str">
        <f t="shared" si="65"/>
        <v/>
      </c>
      <c r="L88" s="2" t="str">
        <f t="shared" si="19"/>
        <v/>
      </c>
      <c r="M88" s="2" t="str">
        <f t="shared" si="11"/>
        <v/>
      </c>
      <c r="N88" s="2" t="str">
        <f t="shared" si="12"/>
        <v/>
      </c>
      <c r="O88" s="2" t="str">
        <f t="shared" ref="O88:S88" si="66">X28</f>
        <v/>
      </c>
      <c r="P88" s="2" t="str">
        <f t="shared" si="66"/>
        <v/>
      </c>
      <c r="Q88" s="2" t="str">
        <f t="shared" si="66"/>
        <v/>
      </c>
      <c r="R88" s="2" t="str">
        <f t="shared" si="66"/>
        <v/>
      </c>
      <c r="S88" s="2" t="str">
        <f t="shared" si="66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hidden="1">
      <c r="A89" s="2" t="str">
        <f t="shared" si="9"/>
        <v>David</v>
      </c>
      <c r="B89" s="178" t="str">
        <f t="shared" ref="B89:K89" si="67">L29</f>
        <v>Win</v>
      </c>
      <c r="C89" s="2" t="str">
        <f t="shared" si="67"/>
        <v/>
      </c>
      <c r="D89" s="2" t="str">
        <f t="shared" si="67"/>
        <v/>
      </c>
      <c r="E89" s="2" t="str">
        <f t="shared" si="67"/>
        <v/>
      </c>
      <c r="F89" s="2" t="str">
        <f t="shared" si="67"/>
        <v/>
      </c>
      <c r="G89" s="2" t="str">
        <f t="shared" si="67"/>
        <v/>
      </c>
      <c r="H89" s="2" t="str">
        <f t="shared" si="67"/>
        <v/>
      </c>
      <c r="I89" s="2" t="str">
        <f t="shared" si="67"/>
        <v/>
      </c>
      <c r="J89" s="2" t="str">
        <f t="shared" si="67"/>
        <v/>
      </c>
      <c r="K89" s="2" t="str">
        <f t="shared" si="67"/>
        <v/>
      </c>
      <c r="L89" s="2" t="str">
        <f t="shared" si="19"/>
        <v/>
      </c>
      <c r="M89" s="2" t="str">
        <f t="shared" si="11"/>
        <v/>
      </c>
      <c r="N89" s="2" t="str">
        <f t="shared" si="12"/>
        <v/>
      </c>
      <c r="O89" s="2" t="str">
        <f t="shared" ref="O89:S89" si="68">X29</f>
        <v/>
      </c>
      <c r="P89" s="2" t="str">
        <f t="shared" si="68"/>
        <v/>
      </c>
      <c r="Q89" s="2" t="str">
        <f t="shared" si="68"/>
        <v/>
      </c>
      <c r="R89" s="2" t="str">
        <f t="shared" si="68"/>
        <v/>
      </c>
      <c r="S89" s="2" t="str">
        <f t="shared" si="68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hidden="1">
      <c r="A90" s="2" t="str">
        <f t="shared" si="9"/>
        <v>Kento</v>
      </c>
      <c r="B90" s="178" t="str">
        <f t="shared" ref="B90:K90" si="69">L30</f>
        <v>Win</v>
      </c>
      <c r="C90" s="2" t="str">
        <f t="shared" si="69"/>
        <v/>
      </c>
      <c r="D90" s="2">
        <f t="shared" si="69"/>
        <v>15</v>
      </c>
      <c r="E90" s="2">
        <f t="shared" si="69"/>
        <v>6</v>
      </c>
      <c r="F90" s="2">
        <f t="shared" si="69"/>
        <v>0</v>
      </c>
      <c r="G90" s="2">
        <f t="shared" si="69"/>
        <v>9</v>
      </c>
      <c r="H90" s="2">
        <f t="shared" si="69"/>
        <v>0</v>
      </c>
      <c r="I90" s="2">
        <f t="shared" si="69"/>
        <v>26</v>
      </c>
      <c r="J90" s="2" t="str">
        <f t="shared" si="69"/>
        <v/>
      </c>
      <c r="K90" s="2" t="str">
        <f t="shared" si="69"/>
        <v/>
      </c>
      <c r="L90" s="2" t="str">
        <f t="shared" si="19"/>
        <v/>
      </c>
      <c r="M90" s="2" t="str">
        <f t="shared" si="11"/>
        <v/>
      </c>
      <c r="N90" s="2" t="str">
        <f t="shared" si="12"/>
        <v/>
      </c>
      <c r="O90" s="2" t="str">
        <f t="shared" ref="O90:S90" si="70">X30</f>
        <v/>
      </c>
      <c r="P90" s="2" t="str">
        <f t="shared" si="70"/>
        <v/>
      </c>
      <c r="Q90" s="2" t="str">
        <f t="shared" si="70"/>
        <v/>
      </c>
      <c r="R90" s="2" t="str">
        <f t="shared" si="70"/>
        <v/>
      </c>
      <c r="S90" s="2" t="str">
        <f t="shared" si="70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hidden="1">
      <c r="A91" s="2" t="str">
        <f t="shared" si="9"/>
        <v>Jacob</v>
      </c>
      <c r="B91" s="178" t="str">
        <f t="shared" ref="B91:K91" si="71">L31</f>
        <v>Win</v>
      </c>
      <c r="C91" s="2" t="str">
        <f t="shared" si="71"/>
        <v/>
      </c>
      <c r="D91" s="2" t="str">
        <f t="shared" si="71"/>
        <v/>
      </c>
      <c r="E91" s="2" t="str">
        <f t="shared" si="71"/>
        <v/>
      </c>
      <c r="F91" s="2" t="str">
        <f t="shared" si="71"/>
        <v/>
      </c>
      <c r="G91" s="2" t="str">
        <f t="shared" si="71"/>
        <v/>
      </c>
      <c r="H91" s="2" t="str">
        <f t="shared" si="71"/>
        <v/>
      </c>
      <c r="I91" s="2" t="str">
        <f t="shared" si="71"/>
        <v/>
      </c>
      <c r="J91" s="2" t="str">
        <f t="shared" si="71"/>
        <v/>
      </c>
      <c r="K91" s="2" t="str">
        <f t="shared" si="71"/>
        <v/>
      </c>
      <c r="L91" s="2" t="str">
        <f t="shared" si="19"/>
        <v/>
      </c>
      <c r="M91" s="2" t="str">
        <f t="shared" si="11"/>
        <v/>
      </c>
      <c r="N91" s="2" t="str">
        <f t="shared" si="12"/>
        <v/>
      </c>
      <c r="O91" s="2" t="str">
        <f t="shared" ref="O91:S91" si="72">X31</f>
        <v/>
      </c>
      <c r="P91" s="2" t="str">
        <f t="shared" si="72"/>
        <v/>
      </c>
      <c r="Q91" s="2" t="str">
        <f t="shared" si="72"/>
        <v/>
      </c>
      <c r="R91" s="2" t="str">
        <f t="shared" si="72"/>
        <v/>
      </c>
      <c r="S91" s="2" t="str">
        <f t="shared" si="72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hidden="1">
      <c r="A92" s="176" t="str">
        <f t="shared" si="9"/>
        <v/>
      </c>
      <c r="B92" s="178" t="str">
        <f t="shared" ref="B92:K92" si="73">L32</f>
        <v>Win</v>
      </c>
      <c r="C92" s="2" t="str">
        <f t="shared" si="73"/>
        <v/>
      </c>
      <c r="D92" s="2" t="str">
        <f t="shared" si="73"/>
        <v/>
      </c>
      <c r="E92" s="2" t="str">
        <f t="shared" si="73"/>
        <v/>
      </c>
      <c r="F92" s="2" t="str">
        <f t="shared" si="73"/>
        <v/>
      </c>
      <c r="G92" s="2" t="str">
        <f t="shared" si="73"/>
        <v/>
      </c>
      <c r="H92" s="2" t="str">
        <f t="shared" si="73"/>
        <v/>
      </c>
      <c r="I92" s="2" t="str">
        <f t="shared" si="73"/>
        <v/>
      </c>
      <c r="J92" s="2" t="str">
        <f t="shared" si="73"/>
        <v/>
      </c>
      <c r="K92" s="2" t="str">
        <f t="shared" si="73"/>
        <v/>
      </c>
      <c r="L92" s="2" t="str">
        <f t="shared" si="19"/>
        <v/>
      </c>
      <c r="M92" s="2" t="str">
        <f t="shared" si="11"/>
        <v/>
      </c>
      <c r="N92" s="2" t="str">
        <f t="shared" si="12"/>
        <v/>
      </c>
      <c r="O92" s="2" t="str">
        <f t="shared" ref="O92:S92" si="74">X32</f>
        <v/>
      </c>
      <c r="P92" s="2" t="str">
        <f t="shared" si="74"/>
        <v/>
      </c>
      <c r="Q92" s="2" t="str">
        <f t="shared" si="74"/>
        <v/>
      </c>
      <c r="R92" s="2" t="str">
        <f t="shared" si="74"/>
        <v/>
      </c>
      <c r="S92" s="2" t="str">
        <f t="shared" si="74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 hidden="1">
      <c r="A93" s="2" t="str">
        <f t="shared" si="9"/>
        <v/>
      </c>
      <c r="B93" s="178" t="str">
        <f t="shared" ref="B93:K93" si="75">L33</f>
        <v>Win</v>
      </c>
      <c r="C93" s="2" t="str">
        <f t="shared" si="75"/>
        <v/>
      </c>
      <c r="D93" s="2" t="str">
        <f t="shared" si="75"/>
        <v/>
      </c>
      <c r="E93" s="2" t="str">
        <f t="shared" si="75"/>
        <v/>
      </c>
      <c r="F93" s="2" t="str">
        <f t="shared" si="75"/>
        <v/>
      </c>
      <c r="G93" s="2" t="str">
        <f t="shared" si="75"/>
        <v/>
      </c>
      <c r="H93" s="2" t="str">
        <f t="shared" si="75"/>
        <v/>
      </c>
      <c r="I93" s="2" t="str">
        <f t="shared" si="75"/>
        <v/>
      </c>
      <c r="J93" s="2" t="str">
        <f t="shared" si="75"/>
        <v/>
      </c>
      <c r="K93" s="2" t="str">
        <f t="shared" si="75"/>
        <v/>
      </c>
      <c r="L93" s="2" t="str">
        <f t="shared" si="19"/>
        <v/>
      </c>
      <c r="M93" s="2" t="str">
        <f t="shared" si="11"/>
        <v/>
      </c>
      <c r="N93" s="2" t="str">
        <f t="shared" si="12"/>
        <v/>
      </c>
      <c r="O93" s="2" t="str">
        <f t="shared" ref="O93:S93" si="76">X33</f>
        <v/>
      </c>
      <c r="P93" s="2" t="str">
        <f t="shared" si="76"/>
        <v/>
      </c>
      <c r="Q93" s="2" t="str">
        <f t="shared" si="76"/>
        <v/>
      </c>
      <c r="R93" s="2" t="str">
        <f t="shared" si="76"/>
        <v/>
      </c>
      <c r="S93" s="2" t="str">
        <f t="shared" si="76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 hidden="1">
      <c r="A94" s="2" t="str">
        <f t="shared" si="9"/>
        <v/>
      </c>
      <c r="B94" s="178" t="str">
        <f t="shared" ref="B94:K94" si="77">L34</f>
        <v>Win</v>
      </c>
      <c r="C94" s="2" t="str">
        <f t="shared" si="77"/>
        <v/>
      </c>
      <c r="D94" s="2" t="str">
        <f t="shared" si="77"/>
        <v/>
      </c>
      <c r="E94" s="2" t="str">
        <f t="shared" si="77"/>
        <v/>
      </c>
      <c r="F94" s="2" t="str">
        <f t="shared" si="77"/>
        <v/>
      </c>
      <c r="G94" s="2" t="str">
        <f t="shared" si="77"/>
        <v/>
      </c>
      <c r="H94" s="2" t="str">
        <f t="shared" si="77"/>
        <v/>
      </c>
      <c r="I94" s="2" t="str">
        <f t="shared" si="77"/>
        <v/>
      </c>
      <c r="J94" s="2" t="str">
        <f t="shared" si="77"/>
        <v/>
      </c>
      <c r="K94" s="2" t="str">
        <f t="shared" si="77"/>
        <v/>
      </c>
      <c r="L94" s="2" t="str">
        <f t="shared" si="19"/>
        <v/>
      </c>
      <c r="M94" s="2" t="str">
        <f t="shared" si="11"/>
        <v/>
      </c>
      <c r="N94" s="2" t="str">
        <f t="shared" si="12"/>
        <v/>
      </c>
      <c r="O94" s="2" t="str">
        <f t="shared" ref="O94:S94" si="78">X34</f>
        <v/>
      </c>
      <c r="P94" s="2" t="str">
        <f t="shared" si="78"/>
        <v/>
      </c>
      <c r="Q94" s="2" t="str">
        <f t="shared" si="78"/>
        <v/>
      </c>
      <c r="R94" s="2" t="str">
        <f t="shared" si="78"/>
        <v/>
      </c>
      <c r="S94" s="2" t="str">
        <f t="shared" si="78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 hidden="1">
      <c r="A95" s="2" t="str">
        <f t="shared" si="9"/>
        <v/>
      </c>
      <c r="B95" s="178" t="str">
        <f t="shared" ref="B95:K95" si="79">L35</f>
        <v>Win</v>
      </c>
      <c r="C95" s="2" t="str">
        <f t="shared" si="79"/>
        <v/>
      </c>
      <c r="D95" s="2" t="str">
        <f t="shared" si="79"/>
        <v/>
      </c>
      <c r="E95" s="2" t="str">
        <f t="shared" si="79"/>
        <v/>
      </c>
      <c r="F95" s="2" t="str">
        <f t="shared" si="79"/>
        <v/>
      </c>
      <c r="G95" s="2" t="str">
        <f t="shared" si="79"/>
        <v/>
      </c>
      <c r="H95" s="2" t="str">
        <f t="shared" si="79"/>
        <v/>
      </c>
      <c r="I95" s="2" t="str">
        <f t="shared" si="79"/>
        <v/>
      </c>
      <c r="J95" s="2" t="str">
        <f t="shared" si="79"/>
        <v/>
      </c>
      <c r="K95" s="2" t="str">
        <f t="shared" si="79"/>
        <v/>
      </c>
      <c r="L95" s="2" t="str">
        <f t="shared" si="19"/>
        <v/>
      </c>
      <c r="M95" s="2" t="str">
        <f t="shared" si="11"/>
        <v/>
      </c>
      <c r="N95" s="2" t="str">
        <f t="shared" si="12"/>
        <v/>
      </c>
      <c r="O95" s="2" t="str">
        <f t="shared" ref="O95:S95" si="80">X35</f>
        <v/>
      </c>
      <c r="P95" s="2" t="str">
        <f t="shared" si="80"/>
        <v/>
      </c>
      <c r="Q95" s="2" t="str">
        <f t="shared" si="80"/>
        <v/>
      </c>
      <c r="R95" s="2" t="str">
        <f t="shared" si="80"/>
        <v/>
      </c>
      <c r="S95" s="2" t="str">
        <f t="shared" si="80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 hidden="1">
      <c r="A96" s="2" t="str">
        <f t="shared" si="9"/>
        <v/>
      </c>
      <c r="B96" s="178" t="str">
        <f t="shared" ref="B96:K96" si="81">L36</f>
        <v>Win</v>
      </c>
      <c r="C96" s="2" t="str">
        <f t="shared" si="81"/>
        <v/>
      </c>
      <c r="D96" s="2" t="str">
        <f t="shared" si="81"/>
        <v/>
      </c>
      <c r="E96" s="2" t="str">
        <f t="shared" si="81"/>
        <v/>
      </c>
      <c r="F96" s="2" t="str">
        <f t="shared" si="81"/>
        <v/>
      </c>
      <c r="G96" s="2" t="str">
        <f t="shared" si="81"/>
        <v/>
      </c>
      <c r="H96" s="2" t="str">
        <f t="shared" si="81"/>
        <v/>
      </c>
      <c r="I96" s="2" t="str">
        <f t="shared" si="81"/>
        <v/>
      </c>
      <c r="J96" s="2" t="str">
        <f t="shared" si="81"/>
        <v/>
      </c>
      <c r="K96" s="2" t="str">
        <f t="shared" si="81"/>
        <v/>
      </c>
      <c r="L96" s="2" t="str">
        <f t="shared" si="19"/>
        <v/>
      </c>
      <c r="M96" s="2" t="str">
        <f t="shared" si="11"/>
        <v/>
      </c>
      <c r="N96" s="2" t="str">
        <f t="shared" si="12"/>
        <v/>
      </c>
      <c r="O96" s="2" t="str">
        <f t="shared" ref="O96:S96" si="82">X36</f>
        <v/>
      </c>
      <c r="P96" s="2" t="str">
        <f t="shared" si="82"/>
        <v/>
      </c>
      <c r="Q96" s="2" t="str">
        <f t="shared" si="82"/>
        <v/>
      </c>
      <c r="R96" s="2" t="str">
        <f t="shared" si="82"/>
        <v/>
      </c>
      <c r="S96" s="2" t="str">
        <f t="shared" si="82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 hidden="1">
      <c r="A97" s="2" t="str">
        <f t="shared" si="9"/>
        <v/>
      </c>
      <c r="B97" s="178" t="str">
        <f t="shared" ref="B97:K97" si="83">L37</f>
        <v>Win</v>
      </c>
      <c r="C97" s="2" t="str">
        <f t="shared" si="83"/>
        <v/>
      </c>
      <c r="D97" s="2" t="str">
        <f t="shared" si="83"/>
        <v/>
      </c>
      <c r="E97" s="2" t="str">
        <f t="shared" si="83"/>
        <v/>
      </c>
      <c r="F97" s="2" t="str">
        <f t="shared" si="83"/>
        <v/>
      </c>
      <c r="G97" s="2" t="str">
        <f t="shared" si="83"/>
        <v/>
      </c>
      <c r="H97" s="2" t="str">
        <f t="shared" si="83"/>
        <v/>
      </c>
      <c r="I97" s="2" t="str">
        <f t="shared" si="83"/>
        <v/>
      </c>
      <c r="J97" s="2" t="str">
        <f t="shared" si="83"/>
        <v/>
      </c>
      <c r="K97" s="2" t="str">
        <f t="shared" si="83"/>
        <v/>
      </c>
      <c r="L97" s="2" t="str">
        <f t="shared" si="19"/>
        <v/>
      </c>
      <c r="M97" s="2" t="str">
        <f t="shared" si="11"/>
        <v/>
      </c>
      <c r="N97" s="2" t="str">
        <f t="shared" si="12"/>
        <v/>
      </c>
      <c r="O97" s="2" t="str">
        <f t="shared" ref="O97:S97" si="84">X37</f>
        <v/>
      </c>
      <c r="P97" s="2" t="str">
        <f t="shared" si="84"/>
        <v/>
      </c>
      <c r="Q97" s="2" t="str">
        <f t="shared" si="84"/>
        <v/>
      </c>
      <c r="R97" s="2" t="str">
        <f t="shared" si="84"/>
        <v/>
      </c>
      <c r="S97" s="2" t="str">
        <f t="shared" si="84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 hidden="1">
      <c r="A98" s="176" t="str">
        <f t="shared" si="9"/>
        <v>Pulled Cups</v>
      </c>
      <c r="B98" s="178" t="str">
        <f t="shared" ref="B98:K98" si="85">L38</f>
        <v/>
      </c>
      <c r="C98" s="2" t="str">
        <f t="shared" si="85"/>
        <v/>
      </c>
      <c r="D98" s="2" t="str">
        <f t="shared" si="85"/>
        <v/>
      </c>
      <c r="E98" s="2" t="str">
        <f t="shared" si="85"/>
        <v/>
      </c>
      <c r="F98" s="2" t="str">
        <f t="shared" si="85"/>
        <v/>
      </c>
      <c r="G98" s="2" t="str">
        <f t="shared" si="85"/>
        <v/>
      </c>
      <c r="H98" s="2" t="str">
        <f t="shared" si="85"/>
        <v/>
      </c>
      <c r="I98" s="2" t="str">
        <f t="shared" si="85"/>
        <v/>
      </c>
      <c r="J98" s="2" t="str">
        <f t="shared" si="85"/>
        <v/>
      </c>
      <c r="K98" s="2" t="str">
        <f t="shared" si="85"/>
        <v/>
      </c>
      <c r="L98" s="2" t="str">
        <f t="shared" si="19"/>
        <v/>
      </c>
      <c r="M98" s="2" t="str">
        <f t="shared" si="11"/>
        <v/>
      </c>
      <c r="N98" s="2" t="str">
        <f t="shared" si="12"/>
        <v/>
      </c>
      <c r="O98" s="2" t="str">
        <f t="shared" ref="O98:S98" si="86">X38</f>
        <v/>
      </c>
      <c r="P98" s="2" t="str">
        <f t="shared" si="86"/>
        <v/>
      </c>
      <c r="Q98" s="2" t="str">
        <f t="shared" si="86"/>
        <v/>
      </c>
      <c r="R98" s="2" t="str">
        <f t="shared" si="86"/>
        <v/>
      </c>
      <c r="S98" s="2" t="str">
        <f t="shared" si="86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 hidden="1">
      <c r="A99" s="176" t="str">
        <f t="shared" si="9"/>
        <v>Total</v>
      </c>
      <c r="B99" s="178" t="str">
        <f t="shared" ref="B99:K99" si="87">L39</f>
        <v/>
      </c>
      <c r="C99" s="2" t="str">
        <f t="shared" si="87"/>
        <v/>
      </c>
      <c r="D99" s="129">
        <f t="shared" si="87"/>
        <v>99</v>
      </c>
      <c r="E99" s="2" t="str">
        <f t="shared" si="87"/>
        <v/>
      </c>
      <c r="F99" s="2" t="str">
        <f t="shared" si="87"/>
        <v/>
      </c>
      <c r="G99" s="2" t="str">
        <f t="shared" si="87"/>
        <v/>
      </c>
      <c r="H99" s="2" t="str">
        <f t="shared" si="87"/>
        <v/>
      </c>
      <c r="I99" s="128">
        <f t="shared" si="87"/>
        <v>0.4040816327</v>
      </c>
      <c r="J99" s="2" t="str">
        <f t="shared" si="87"/>
        <v/>
      </c>
      <c r="K99" s="2" t="str">
        <f t="shared" si="87"/>
        <v/>
      </c>
      <c r="L99" s="2" t="str">
        <f t="shared" si="19"/>
        <v/>
      </c>
      <c r="M99" s="2" t="str">
        <f t="shared" si="11"/>
        <v/>
      </c>
      <c r="N99" s="129" t="str">
        <f t="shared" si="12"/>
        <v/>
      </c>
      <c r="O99" s="2" t="str">
        <f t="shared" ref="O99:S99" si="88">X39</f>
        <v/>
      </c>
      <c r="P99" s="2" t="str">
        <f t="shared" si="88"/>
        <v/>
      </c>
      <c r="Q99" s="2" t="str">
        <f t="shared" si="88"/>
        <v/>
      </c>
      <c r="R99" s="2" t="str">
        <f t="shared" si="88"/>
        <v/>
      </c>
      <c r="S99" s="2" t="str">
        <f t="shared" si="88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 hidden="1">
      <c r="A100" s="2" t="str">
        <f t="shared" si="9"/>
        <v/>
      </c>
      <c r="B100" s="178" t="str">
        <f t="shared" ref="B100:K100" si="89">L40</f>
        <v/>
      </c>
      <c r="C100" s="2" t="str">
        <f t="shared" si="89"/>
        <v/>
      </c>
      <c r="D100" s="2" t="str">
        <f t="shared" si="89"/>
        <v/>
      </c>
      <c r="E100" s="2" t="str">
        <f t="shared" si="89"/>
        <v/>
      </c>
      <c r="F100" s="2" t="str">
        <f t="shared" si="89"/>
        <v/>
      </c>
      <c r="G100" s="2" t="str">
        <f t="shared" si="89"/>
        <v/>
      </c>
      <c r="H100" s="2" t="str">
        <f t="shared" si="89"/>
        <v/>
      </c>
      <c r="I100" s="2" t="str">
        <f t="shared" si="89"/>
        <v/>
      </c>
      <c r="J100" s="2" t="str">
        <f t="shared" si="89"/>
        <v/>
      </c>
      <c r="K100" s="2" t="str">
        <f t="shared" si="89"/>
        <v/>
      </c>
      <c r="L100" s="2" t="str">
        <f t="shared" si="19"/>
        <v/>
      </c>
      <c r="M100" s="2" t="str">
        <f t="shared" si="11"/>
        <v/>
      </c>
      <c r="N100" s="2" t="str">
        <f t="shared" si="12"/>
        <v/>
      </c>
      <c r="O100" s="2" t="str">
        <f t="shared" ref="O100:S100" si="90">X40</f>
        <v/>
      </c>
      <c r="P100" s="2" t="str">
        <f t="shared" si="90"/>
        <v/>
      </c>
      <c r="Q100" s="2" t="str">
        <f t="shared" si="90"/>
        <v/>
      </c>
      <c r="R100" s="2" t="str">
        <f t="shared" si="90"/>
        <v/>
      </c>
      <c r="S100" s="2" t="str">
        <f t="shared" si="90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 hidden="1">
      <c r="A101" s="176" t="str">
        <f t="shared" si="9"/>
        <v>Team E</v>
      </c>
      <c r="B101" s="178" t="str">
        <f t="shared" ref="B101:K101" si="91">L41</f>
        <v/>
      </c>
      <c r="C101" s="2" t="str">
        <f t="shared" si="91"/>
        <v/>
      </c>
      <c r="D101" s="2" t="str">
        <f t="shared" si="91"/>
        <v/>
      </c>
      <c r="E101" s="176" t="str">
        <f t="shared" si="91"/>
        <v>Result</v>
      </c>
      <c r="F101" s="166" t="str">
        <f t="shared" si="91"/>
        <v>Loss</v>
      </c>
      <c r="G101" s="2" t="str">
        <f t="shared" si="91"/>
        <v/>
      </c>
      <c r="H101" s="176" t="str">
        <f t="shared" si="91"/>
        <v>Margin</v>
      </c>
      <c r="I101" s="129">
        <f t="shared" si="91"/>
        <v>-1</v>
      </c>
      <c r="J101" s="2" t="str">
        <f t="shared" si="91"/>
        <v/>
      </c>
      <c r="K101" s="2" t="str">
        <f t="shared" si="91"/>
        <v/>
      </c>
      <c r="L101" s="2" t="str">
        <f t="shared" si="19"/>
        <v/>
      </c>
      <c r="M101" s="2" t="str">
        <f t="shared" si="11"/>
        <v/>
      </c>
      <c r="N101" s="2" t="str">
        <f t="shared" si="12"/>
        <v/>
      </c>
      <c r="O101" s="2" t="str">
        <f t="shared" ref="O101:S101" si="92">X41</f>
        <v/>
      </c>
      <c r="P101" s="2" t="str">
        <f t="shared" si="92"/>
        <v/>
      </c>
      <c r="Q101" s="2" t="str">
        <f t="shared" si="92"/>
        <v/>
      </c>
      <c r="R101" s="2" t="str">
        <f t="shared" si="92"/>
        <v/>
      </c>
      <c r="S101" s="2" t="str">
        <f t="shared" si="92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 hidden="1">
      <c r="A102" s="176" t="str">
        <f t="shared" si="9"/>
        <v>Name</v>
      </c>
      <c r="B102" s="178" t="str">
        <f t="shared" ref="B102:K102" si="93">L42</f>
        <v>W/L?</v>
      </c>
      <c r="C102" s="176" t="str">
        <f t="shared" si="93"/>
        <v>Shot Order</v>
      </c>
      <c r="D102" s="176" t="str">
        <f t="shared" si="93"/>
        <v>Total Cups</v>
      </c>
      <c r="E102" s="176" t="str">
        <f t="shared" si="93"/>
        <v>Tops</v>
      </c>
      <c r="F102" s="176" t="str">
        <f t="shared" si="93"/>
        <v>Top Isos</v>
      </c>
      <c r="G102" s="176" t="str">
        <f t="shared" si="93"/>
        <v>Bottoms</v>
      </c>
      <c r="H102" s="176" t="str">
        <f t="shared" si="93"/>
        <v>Bottom Isos</v>
      </c>
      <c r="I102" s="176" t="str">
        <f t="shared" si="93"/>
        <v>Misses</v>
      </c>
      <c r="J102" s="2" t="str">
        <f t="shared" si="93"/>
        <v/>
      </c>
      <c r="K102" s="2" t="str">
        <f t="shared" si="93"/>
        <v/>
      </c>
      <c r="L102" s="2" t="str">
        <f t="shared" si="19"/>
        <v/>
      </c>
      <c r="M102" s="2" t="str">
        <f t="shared" si="11"/>
        <v/>
      </c>
      <c r="N102" s="176" t="str">
        <f t="shared" si="12"/>
        <v/>
      </c>
      <c r="O102" s="2" t="str">
        <f t="shared" ref="O102:S102" si="94">X42</f>
        <v/>
      </c>
      <c r="P102" s="2" t="str">
        <f t="shared" si="94"/>
        <v/>
      </c>
      <c r="Q102" s="2" t="str">
        <f t="shared" si="94"/>
        <v/>
      </c>
      <c r="R102" s="2" t="str">
        <f t="shared" si="94"/>
        <v/>
      </c>
      <c r="S102" s="2" t="str">
        <f t="shared" si="94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 hidden="1">
      <c r="A103" s="176" t="str">
        <f t="shared" si="9"/>
        <v>Guel</v>
      </c>
      <c r="B103" s="178" t="str">
        <f t="shared" ref="B103:K103" si="95">L43</f>
        <v>Loss</v>
      </c>
      <c r="C103" s="2" t="str">
        <f t="shared" si="95"/>
        <v/>
      </c>
      <c r="D103" s="2">
        <f t="shared" si="95"/>
        <v>17</v>
      </c>
      <c r="E103" s="2">
        <f t="shared" si="95"/>
        <v>8</v>
      </c>
      <c r="F103" s="2">
        <f t="shared" si="95"/>
        <v>1</v>
      </c>
      <c r="G103" s="2">
        <f t="shared" si="95"/>
        <v>5</v>
      </c>
      <c r="H103" s="2">
        <f t="shared" si="95"/>
        <v>3</v>
      </c>
      <c r="I103" s="2">
        <f t="shared" si="95"/>
        <v>30</v>
      </c>
      <c r="J103" s="2" t="str">
        <f t="shared" si="95"/>
        <v/>
      </c>
      <c r="K103" s="2" t="str">
        <f t="shared" si="95"/>
        <v/>
      </c>
      <c r="L103" s="2" t="str">
        <f t="shared" si="19"/>
        <v/>
      </c>
      <c r="M103" s="2" t="str">
        <f t="shared" si="11"/>
        <v/>
      </c>
      <c r="N103" s="2" t="str">
        <f t="shared" si="12"/>
        <v/>
      </c>
      <c r="O103" s="2" t="str">
        <f t="shared" ref="O103:S103" si="96">X43</f>
        <v/>
      </c>
      <c r="P103" s="2" t="str">
        <f t="shared" si="96"/>
        <v/>
      </c>
      <c r="Q103" s="2" t="str">
        <f t="shared" si="96"/>
        <v/>
      </c>
      <c r="R103" s="2" t="str">
        <f t="shared" si="96"/>
        <v/>
      </c>
      <c r="S103" s="2" t="str">
        <f t="shared" si="96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 hidden="1">
      <c r="A104" s="2" t="str">
        <f t="shared" si="9"/>
        <v>Pasha</v>
      </c>
      <c r="B104" s="178" t="str">
        <f t="shared" ref="B104:K104" si="97">L44</f>
        <v>Loss</v>
      </c>
      <c r="C104" s="2" t="str">
        <f t="shared" si="97"/>
        <v/>
      </c>
      <c r="D104" s="2">
        <f t="shared" si="97"/>
        <v>20</v>
      </c>
      <c r="E104" s="2">
        <f t="shared" si="97"/>
        <v>8</v>
      </c>
      <c r="F104" s="2">
        <f t="shared" si="97"/>
        <v>0</v>
      </c>
      <c r="G104" s="2">
        <f t="shared" si="97"/>
        <v>12</v>
      </c>
      <c r="H104" s="2">
        <f t="shared" si="97"/>
        <v>0</v>
      </c>
      <c r="I104" s="2">
        <f t="shared" si="97"/>
        <v>31</v>
      </c>
      <c r="J104" s="2" t="str">
        <f t="shared" si="97"/>
        <v/>
      </c>
      <c r="K104" s="2" t="str">
        <f t="shared" si="97"/>
        <v/>
      </c>
      <c r="L104" s="2" t="str">
        <f t="shared" si="19"/>
        <v/>
      </c>
      <c r="M104" s="2" t="str">
        <f t="shared" si="11"/>
        <v/>
      </c>
      <c r="N104" s="2" t="str">
        <f t="shared" si="12"/>
        <v/>
      </c>
      <c r="O104" s="2" t="str">
        <f t="shared" ref="O104:S104" si="98">X44</f>
        <v/>
      </c>
      <c r="P104" s="2" t="str">
        <f t="shared" si="98"/>
        <v/>
      </c>
      <c r="Q104" s="2" t="str">
        <f t="shared" si="98"/>
        <v/>
      </c>
      <c r="R104" s="2" t="str">
        <f t="shared" si="98"/>
        <v/>
      </c>
      <c r="S104" s="2" t="str">
        <f t="shared" si="98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 hidden="1">
      <c r="A105" s="176" t="str">
        <f t="shared" si="9"/>
        <v>Yost</v>
      </c>
      <c r="B105" s="178" t="str">
        <f t="shared" ref="B105:K105" si="99">L45</f>
        <v>Loss</v>
      </c>
      <c r="C105" s="2" t="str">
        <f t="shared" si="99"/>
        <v/>
      </c>
      <c r="D105" s="2">
        <f t="shared" si="99"/>
        <v>26</v>
      </c>
      <c r="E105" s="2">
        <f t="shared" si="99"/>
        <v>19</v>
      </c>
      <c r="F105" s="2">
        <f t="shared" si="99"/>
        <v>3</v>
      </c>
      <c r="G105" s="2">
        <f t="shared" si="99"/>
        <v>4</v>
      </c>
      <c r="H105" s="2">
        <f t="shared" si="99"/>
        <v>0</v>
      </c>
      <c r="I105" s="2">
        <f t="shared" si="99"/>
        <v>27</v>
      </c>
      <c r="J105" s="2" t="str">
        <f t="shared" si="99"/>
        <v/>
      </c>
      <c r="K105" s="2" t="str">
        <f t="shared" si="99"/>
        <v/>
      </c>
      <c r="L105" s="2" t="str">
        <f t="shared" si="19"/>
        <v/>
      </c>
      <c r="M105" s="2" t="str">
        <f t="shared" si="11"/>
        <v/>
      </c>
      <c r="N105" s="2" t="str">
        <f t="shared" si="12"/>
        <v/>
      </c>
      <c r="O105" s="2" t="str">
        <f t="shared" ref="O105:S105" si="100">X45</f>
        <v/>
      </c>
      <c r="P105" s="2" t="str">
        <f t="shared" si="100"/>
        <v/>
      </c>
      <c r="Q105" s="2" t="str">
        <f t="shared" si="100"/>
        <v/>
      </c>
      <c r="R105" s="2" t="str">
        <f t="shared" si="100"/>
        <v/>
      </c>
      <c r="S105" s="2" t="str">
        <f t="shared" si="100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 hidden="1">
      <c r="A106" s="176" t="str">
        <f t="shared" si="9"/>
        <v>Sean</v>
      </c>
      <c r="B106" s="178" t="str">
        <f t="shared" ref="B106:K106" si="101">L46</f>
        <v>Loss</v>
      </c>
      <c r="C106" s="2" t="str">
        <f t="shared" si="101"/>
        <v/>
      </c>
      <c r="D106" s="2">
        <f t="shared" si="101"/>
        <v>12</v>
      </c>
      <c r="E106" s="2">
        <f t="shared" si="101"/>
        <v>1</v>
      </c>
      <c r="F106" s="2">
        <f t="shared" si="101"/>
        <v>0</v>
      </c>
      <c r="G106" s="2">
        <f t="shared" si="101"/>
        <v>6</v>
      </c>
      <c r="H106" s="2">
        <f t="shared" si="101"/>
        <v>5</v>
      </c>
      <c r="I106" s="2">
        <f t="shared" si="101"/>
        <v>30</v>
      </c>
      <c r="J106" s="2" t="str">
        <f t="shared" si="101"/>
        <v/>
      </c>
      <c r="K106" s="2" t="str">
        <f t="shared" si="101"/>
        <v/>
      </c>
      <c r="L106" s="2" t="str">
        <f t="shared" si="19"/>
        <v/>
      </c>
      <c r="M106" s="2" t="str">
        <f t="shared" si="11"/>
        <v/>
      </c>
      <c r="N106" s="2" t="str">
        <f t="shared" si="12"/>
        <v/>
      </c>
      <c r="O106" s="2" t="str">
        <f t="shared" ref="O106:S106" si="102">X46</f>
        <v/>
      </c>
      <c r="P106" s="2" t="str">
        <f t="shared" si="102"/>
        <v/>
      </c>
      <c r="Q106" s="2" t="str">
        <f t="shared" si="102"/>
        <v/>
      </c>
      <c r="R106" s="2" t="str">
        <f t="shared" si="102"/>
        <v/>
      </c>
      <c r="S106" s="2" t="str">
        <f t="shared" si="102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 hidden="1">
      <c r="A107" s="2" t="str">
        <f t="shared" si="9"/>
        <v>Samos</v>
      </c>
      <c r="B107" s="178" t="str">
        <f t="shared" ref="B107:K107" si="103">L47</f>
        <v>Loss</v>
      </c>
      <c r="C107" s="2" t="str">
        <f t="shared" si="103"/>
        <v/>
      </c>
      <c r="D107" s="2">
        <f t="shared" si="103"/>
        <v>10</v>
      </c>
      <c r="E107" s="2">
        <f t="shared" si="103"/>
        <v>2</v>
      </c>
      <c r="F107" s="2">
        <f t="shared" si="103"/>
        <v>0</v>
      </c>
      <c r="G107" s="2">
        <f t="shared" si="103"/>
        <v>8</v>
      </c>
      <c r="H107" s="2">
        <f t="shared" si="103"/>
        <v>0</v>
      </c>
      <c r="I107" s="2">
        <f t="shared" si="103"/>
        <v>30</v>
      </c>
      <c r="J107" s="2" t="str">
        <f t="shared" si="103"/>
        <v/>
      </c>
      <c r="K107" s="2" t="str">
        <f t="shared" si="103"/>
        <v/>
      </c>
      <c r="L107" s="2" t="str">
        <f t="shared" si="19"/>
        <v/>
      </c>
      <c r="M107" s="2" t="str">
        <f t="shared" si="11"/>
        <v/>
      </c>
      <c r="N107" s="2" t="str">
        <f t="shared" si="12"/>
        <v/>
      </c>
      <c r="O107" s="2" t="str">
        <f t="shared" ref="O107:S107" si="104">X47</f>
        <v/>
      </c>
      <c r="P107" s="2" t="str">
        <f t="shared" si="104"/>
        <v/>
      </c>
      <c r="Q107" s="2" t="str">
        <f t="shared" si="104"/>
        <v/>
      </c>
      <c r="R107" s="2" t="str">
        <f t="shared" si="104"/>
        <v/>
      </c>
      <c r="S107" s="2" t="str">
        <f t="shared" si="104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 hidden="1">
      <c r="A108" s="2" t="str">
        <f t="shared" si="9"/>
        <v>Soho</v>
      </c>
      <c r="B108" s="178" t="str">
        <f t="shared" ref="B108:K108" si="105">L48</f>
        <v>Loss</v>
      </c>
      <c r="C108" s="2" t="str">
        <f t="shared" si="105"/>
        <v/>
      </c>
      <c r="D108" s="2">
        <f t="shared" si="105"/>
        <v>13</v>
      </c>
      <c r="E108" s="2">
        <f t="shared" si="105"/>
        <v>2</v>
      </c>
      <c r="F108" s="2">
        <f t="shared" si="105"/>
        <v>0</v>
      </c>
      <c r="G108" s="2">
        <f t="shared" si="105"/>
        <v>11</v>
      </c>
      <c r="H108" s="2">
        <f t="shared" si="105"/>
        <v>0</v>
      </c>
      <c r="I108" s="2">
        <f t="shared" si="105"/>
        <v>32</v>
      </c>
      <c r="J108" s="2" t="str">
        <f t="shared" si="105"/>
        <v/>
      </c>
      <c r="K108" s="2" t="str">
        <f t="shared" si="105"/>
        <v/>
      </c>
      <c r="L108" s="2" t="str">
        <f t="shared" si="19"/>
        <v/>
      </c>
      <c r="M108" s="2" t="str">
        <f t="shared" si="11"/>
        <v/>
      </c>
      <c r="N108" s="2" t="str">
        <f t="shared" si="12"/>
        <v/>
      </c>
      <c r="O108" s="2" t="str">
        <f t="shared" ref="O108:S108" si="106">X48</f>
        <v/>
      </c>
      <c r="P108" s="2" t="str">
        <f t="shared" si="106"/>
        <v/>
      </c>
      <c r="Q108" s="2" t="str">
        <f t="shared" si="106"/>
        <v/>
      </c>
      <c r="R108" s="2" t="str">
        <f t="shared" si="106"/>
        <v/>
      </c>
      <c r="S108" s="2" t="str">
        <f t="shared" si="106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 hidden="1">
      <c r="A109" s="2" t="str">
        <f t="shared" si="9"/>
        <v>Haldar</v>
      </c>
      <c r="B109" s="178" t="str">
        <f t="shared" ref="B109:K109" si="107">L49</f>
        <v>Loss</v>
      </c>
      <c r="C109" s="2" t="str">
        <f t="shared" si="107"/>
        <v/>
      </c>
      <c r="D109" s="2" t="str">
        <f t="shared" si="107"/>
        <v/>
      </c>
      <c r="E109" s="2" t="str">
        <f t="shared" si="107"/>
        <v/>
      </c>
      <c r="F109" s="2" t="str">
        <f t="shared" si="107"/>
        <v/>
      </c>
      <c r="G109" s="2" t="str">
        <f t="shared" si="107"/>
        <v/>
      </c>
      <c r="H109" s="2" t="str">
        <f t="shared" si="107"/>
        <v/>
      </c>
      <c r="I109" s="2" t="str">
        <f t="shared" si="107"/>
        <v/>
      </c>
      <c r="J109" s="2" t="str">
        <f t="shared" si="107"/>
        <v/>
      </c>
      <c r="K109" s="2" t="str">
        <f t="shared" si="107"/>
        <v/>
      </c>
      <c r="L109" s="2" t="str">
        <f t="shared" si="19"/>
        <v/>
      </c>
      <c r="M109" s="2" t="str">
        <f t="shared" si="11"/>
        <v/>
      </c>
      <c r="N109" s="2" t="str">
        <f t="shared" si="12"/>
        <v/>
      </c>
      <c r="O109" s="2" t="str">
        <f t="shared" ref="O109:S109" si="108">X49</f>
        <v/>
      </c>
      <c r="P109" s="2" t="str">
        <f t="shared" si="108"/>
        <v/>
      </c>
      <c r="Q109" s="2" t="str">
        <f t="shared" si="108"/>
        <v/>
      </c>
      <c r="R109" s="2" t="str">
        <f t="shared" si="108"/>
        <v/>
      </c>
      <c r="S109" s="2" t="str">
        <f t="shared" si="108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 hidden="1">
      <c r="A110" s="2" t="str">
        <f t="shared" si="9"/>
        <v>Dji</v>
      </c>
      <c r="B110" s="178" t="str">
        <f t="shared" ref="B110:K110" si="109">L50</f>
        <v>Loss</v>
      </c>
      <c r="C110" s="2" t="str">
        <f t="shared" si="109"/>
        <v/>
      </c>
      <c r="D110" s="2" t="str">
        <f t="shared" si="109"/>
        <v/>
      </c>
      <c r="E110" s="2" t="str">
        <f t="shared" si="109"/>
        <v/>
      </c>
      <c r="F110" s="2" t="str">
        <f t="shared" si="109"/>
        <v/>
      </c>
      <c r="G110" s="2" t="str">
        <f t="shared" si="109"/>
        <v/>
      </c>
      <c r="H110" s="2" t="str">
        <f t="shared" si="109"/>
        <v/>
      </c>
      <c r="I110" s="2" t="str">
        <f t="shared" si="109"/>
        <v/>
      </c>
      <c r="J110" s="2" t="str">
        <f t="shared" si="109"/>
        <v/>
      </c>
      <c r="K110" s="2" t="str">
        <f t="shared" si="109"/>
        <v/>
      </c>
      <c r="L110" s="2" t="str">
        <f t="shared" si="19"/>
        <v/>
      </c>
      <c r="M110" s="2" t="str">
        <f t="shared" si="11"/>
        <v/>
      </c>
      <c r="N110" s="2" t="str">
        <f t="shared" si="12"/>
        <v/>
      </c>
      <c r="O110" s="2" t="str">
        <f t="shared" ref="O110:S110" si="110">X50</f>
        <v/>
      </c>
      <c r="P110" s="2" t="str">
        <f t="shared" si="110"/>
        <v/>
      </c>
      <c r="Q110" s="2" t="str">
        <f t="shared" si="110"/>
        <v/>
      </c>
      <c r="R110" s="2" t="str">
        <f t="shared" si="110"/>
        <v/>
      </c>
      <c r="S110" s="2" t="str">
        <f t="shared" si="110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 hidden="1">
      <c r="A111" s="2" t="str">
        <f t="shared" si="9"/>
        <v>Lubke</v>
      </c>
      <c r="B111" s="178" t="str">
        <f t="shared" ref="B111:K111" si="111">L51</f>
        <v>Loss</v>
      </c>
      <c r="C111" s="2" t="str">
        <f t="shared" si="111"/>
        <v/>
      </c>
      <c r="D111" s="2" t="str">
        <f t="shared" si="111"/>
        <v/>
      </c>
      <c r="E111" s="2" t="str">
        <f t="shared" si="111"/>
        <v/>
      </c>
      <c r="F111" s="2" t="str">
        <f t="shared" si="111"/>
        <v/>
      </c>
      <c r="G111" s="2" t="str">
        <f t="shared" si="111"/>
        <v/>
      </c>
      <c r="H111" s="2" t="str">
        <f t="shared" si="111"/>
        <v/>
      </c>
      <c r="I111" s="2" t="str">
        <f t="shared" si="111"/>
        <v/>
      </c>
      <c r="J111" s="2" t="str">
        <f t="shared" si="111"/>
        <v/>
      </c>
      <c r="K111" s="2" t="str">
        <f t="shared" si="111"/>
        <v/>
      </c>
      <c r="L111" s="2" t="str">
        <f t="shared" si="19"/>
        <v/>
      </c>
      <c r="M111" s="2" t="str">
        <f t="shared" si="11"/>
        <v/>
      </c>
      <c r="N111" s="2" t="str">
        <f t="shared" si="12"/>
        <v/>
      </c>
      <c r="O111" s="2" t="str">
        <f t="shared" ref="O111:S111" si="112">X51</f>
        <v/>
      </c>
      <c r="P111" s="2" t="str">
        <f t="shared" si="112"/>
        <v/>
      </c>
      <c r="Q111" s="2" t="str">
        <f t="shared" si="112"/>
        <v/>
      </c>
      <c r="R111" s="2" t="str">
        <f t="shared" si="112"/>
        <v/>
      </c>
      <c r="S111" s="2" t="str">
        <f t="shared" si="112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 hidden="1">
      <c r="A112" s="176" t="str">
        <f t="shared" si="9"/>
        <v>David (pledge)</v>
      </c>
      <c r="B112" s="178" t="str">
        <f t="shared" ref="B112:K112" si="113">L52</f>
        <v>Loss</v>
      </c>
      <c r="C112" s="2" t="str">
        <f t="shared" si="113"/>
        <v/>
      </c>
      <c r="D112" s="2" t="str">
        <f t="shared" si="113"/>
        <v/>
      </c>
      <c r="E112" s="2" t="str">
        <f t="shared" si="113"/>
        <v/>
      </c>
      <c r="F112" s="2" t="str">
        <f t="shared" si="113"/>
        <v/>
      </c>
      <c r="G112" s="2" t="str">
        <f t="shared" si="113"/>
        <v/>
      </c>
      <c r="H112" s="2" t="str">
        <f t="shared" si="113"/>
        <v/>
      </c>
      <c r="I112" s="2" t="str">
        <f t="shared" si="113"/>
        <v/>
      </c>
      <c r="J112" s="2" t="str">
        <f t="shared" si="113"/>
        <v/>
      </c>
      <c r="K112" s="2" t="str">
        <f t="shared" si="113"/>
        <v/>
      </c>
      <c r="L112" s="2" t="str">
        <f t="shared" si="19"/>
        <v/>
      </c>
      <c r="M112" s="2" t="str">
        <f t="shared" si="11"/>
        <v/>
      </c>
      <c r="N112" s="2" t="str">
        <f t="shared" si="12"/>
        <v/>
      </c>
      <c r="O112" s="2" t="str">
        <f t="shared" ref="O112:S112" si="114">X52</f>
        <v/>
      </c>
      <c r="P112" s="2" t="str">
        <f t="shared" si="114"/>
        <v/>
      </c>
      <c r="Q112" s="2" t="str">
        <f t="shared" si="114"/>
        <v/>
      </c>
      <c r="R112" s="2" t="str">
        <f t="shared" si="114"/>
        <v/>
      </c>
      <c r="S112" s="2" t="str">
        <f t="shared" si="114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 hidden="1">
      <c r="A113" s="2" t="str">
        <f t="shared" si="9"/>
        <v>Will</v>
      </c>
      <c r="B113" s="178" t="str">
        <f t="shared" ref="B113:K113" si="115">L53</f>
        <v>Loss</v>
      </c>
      <c r="C113" s="2" t="str">
        <f t="shared" si="115"/>
        <v/>
      </c>
      <c r="D113" s="2" t="str">
        <f t="shared" si="115"/>
        <v/>
      </c>
      <c r="E113" s="2" t="str">
        <f t="shared" si="115"/>
        <v/>
      </c>
      <c r="F113" s="2" t="str">
        <f t="shared" si="115"/>
        <v/>
      </c>
      <c r="G113" s="2" t="str">
        <f t="shared" si="115"/>
        <v/>
      </c>
      <c r="H113" s="2" t="str">
        <f t="shared" si="115"/>
        <v/>
      </c>
      <c r="I113" s="2" t="str">
        <f t="shared" si="115"/>
        <v/>
      </c>
      <c r="J113" s="2" t="str">
        <f t="shared" si="115"/>
        <v/>
      </c>
      <c r="K113" s="2" t="str">
        <f t="shared" si="115"/>
        <v/>
      </c>
      <c r="L113" s="2" t="str">
        <f t="shared" si="19"/>
        <v/>
      </c>
      <c r="M113" s="2" t="str">
        <f t="shared" si="11"/>
        <v/>
      </c>
      <c r="N113" s="2" t="str">
        <f t="shared" si="12"/>
        <v/>
      </c>
      <c r="O113" s="2" t="str">
        <f t="shared" ref="O113:S113" si="116">X53</f>
        <v/>
      </c>
      <c r="P113" s="2" t="str">
        <f t="shared" si="116"/>
        <v/>
      </c>
      <c r="Q113" s="2" t="str">
        <f t="shared" si="116"/>
        <v/>
      </c>
      <c r="R113" s="2" t="str">
        <f t="shared" si="116"/>
        <v/>
      </c>
      <c r="S113" s="2" t="str">
        <f t="shared" si="116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 hidden="1">
      <c r="A114" s="2" t="str">
        <f t="shared" si="9"/>
        <v/>
      </c>
      <c r="B114" s="178" t="str">
        <f t="shared" ref="B114:K114" si="117">L54</f>
        <v>Loss</v>
      </c>
      <c r="C114" s="2" t="str">
        <f t="shared" si="117"/>
        <v/>
      </c>
      <c r="D114" s="2" t="str">
        <f t="shared" si="117"/>
        <v/>
      </c>
      <c r="E114" s="2" t="str">
        <f t="shared" si="117"/>
        <v/>
      </c>
      <c r="F114" s="2" t="str">
        <f t="shared" si="117"/>
        <v/>
      </c>
      <c r="G114" s="2" t="str">
        <f t="shared" si="117"/>
        <v/>
      </c>
      <c r="H114" s="2" t="str">
        <f t="shared" si="117"/>
        <v/>
      </c>
      <c r="I114" s="2" t="str">
        <f t="shared" si="117"/>
        <v/>
      </c>
      <c r="J114" s="2" t="str">
        <f t="shared" si="117"/>
        <v/>
      </c>
      <c r="K114" s="2" t="str">
        <f t="shared" si="117"/>
        <v/>
      </c>
      <c r="L114" s="2" t="str">
        <f t="shared" si="19"/>
        <v/>
      </c>
      <c r="M114" s="2" t="str">
        <f t="shared" si="11"/>
        <v/>
      </c>
      <c r="N114" s="2" t="str">
        <f t="shared" si="12"/>
        <v/>
      </c>
      <c r="O114" s="2" t="str">
        <f t="shared" ref="O114:S114" si="118">X54</f>
        <v/>
      </c>
      <c r="P114" s="2" t="str">
        <f t="shared" si="118"/>
        <v/>
      </c>
      <c r="Q114" s="2" t="str">
        <f t="shared" si="118"/>
        <v/>
      </c>
      <c r="R114" s="2" t="str">
        <f t="shared" si="118"/>
        <v/>
      </c>
      <c r="S114" s="2" t="str">
        <f t="shared" si="118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 hidden="1">
      <c r="A115" s="2" t="str">
        <f t="shared" si="9"/>
        <v/>
      </c>
      <c r="B115" s="178" t="str">
        <f t="shared" ref="B115:K115" si="119">L55</f>
        <v>Loss</v>
      </c>
      <c r="C115" s="2" t="str">
        <f t="shared" si="119"/>
        <v/>
      </c>
      <c r="D115" s="2" t="str">
        <f t="shared" si="119"/>
        <v/>
      </c>
      <c r="E115" s="2" t="str">
        <f t="shared" si="119"/>
        <v/>
      </c>
      <c r="F115" s="2" t="str">
        <f t="shared" si="119"/>
        <v/>
      </c>
      <c r="G115" s="2" t="str">
        <f t="shared" si="119"/>
        <v/>
      </c>
      <c r="H115" s="2" t="str">
        <f t="shared" si="119"/>
        <v/>
      </c>
      <c r="I115" s="2" t="str">
        <f t="shared" si="119"/>
        <v/>
      </c>
      <c r="J115" s="2" t="str">
        <f t="shared" si="119"/>
        <v/>
      </c>
      <c r="K115" s="2" t="str">
        <f t="shared" si="119"/>
        <v/>
      </c>
      <c r="L115" s="2" t="str">
        <f t="shared" si="19"/>
        <v/>
      </c>
      <c r="M115" s="2" t="str">
        <f t="shared" si="11"/>
        <v/>
      </c>
      <c r="N115" s="2" t="str">
        <f t="shared" si="12"/>
        <v/>
      </c>
      <c r="O115" s="2" t="str">
        <f t="shared" ref="O115:S115" si="120">X55</f>
        <v/>
      </c>
      <c r="P115" s="2" t="str">
        <f t="shared" si="120"/>
        <v/>
      </c>
      <c r="Q115" s="2" t="str">
        <f t="shared" si="120"/>
        <v/>
      </c>
      <c r="R115" s="2" t="str">
        <f t="shared" si="120"/>
        <v/>
      </c>
      <c r="S115" s="2" t="str">
        <f t="shared" si="120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 hidden="1">
      <c r="A116" s="2" t="str">
        <f t="shared" si="9"/>
        <v/>
      </c>
      <c r="B116" s="178" t="str">
        <f t="shared" ref="B116:K116" si="121">L56</f>
        <v>Loss</v>
      </c>
      <c r="C116" s="2" t="str">
        <f t="shared" si="121"/>
        <v/>
      </c>
      <c r="D116" s="2" t="str">
        <f t="shared" si="121"/>
        <v/>
      </c>
      <c r="E116" s="2" t="str">
        <f t="shared" si="121"/>
        <v/>
      </c>
      <c r="F116" s="2" t="str">
        <f t="shared" si="121"/>
        <v/>
      </c>
      <c r="G116" s="2" t="str">
        <f t="shared" si="121"/>
        <v/>
      </c>
      <c r="H116" s="2" t="str">
        <f t="shared" si="121"/>
        <v/>
      </c>
      <c r="I116" s="2" t="str">
        <f t="shared" si="121"/>
        <v/>
      </c>
      <c r="J116" s="2" t="str">
        <f t="shared" si="121"/>
        <v/>
      </c>
      <c r="K116" s="2" t="str">
        <f t="shared" si="121"/>
        <v/>
      </c>
      <c r="L116" s="2" t="str">
        <f t="shared" si="19"/>
        <v/>
      </c>
      <c r="M116" s="2" t="str">
        <f t="shared" si="11"/>
        <v/>
      </c>
      <c r="N116" s="2" t="str">
        <f t="shared" si="12"/>
        <v/>
      </c>
      <c r="O116" s="2" t="str">
        <f t="shared" ref="O116:S116" si="122">X56</f>
        <v/>
      </c>
      <c r="P116" s="2" t="str">
        <f t="shared" si="122"/>
        <v/>
      </c>
      <c r="Q116" s="2" t="str">
        <f t="shared" si="122"/>
        <v/>
      </c>
      <c r="R116" s="2" t="str">
        <f t="shared" si="122"/>
        <v/>
      </c>
      <c r="S116" s="2" t="str">
        <f t="shared" si="122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 hidden="1">
      <c r="A117" s="2" t="str">
        <f t="shared" si="9"/>
        <v/>
      </c>
      <c r="B117" s="178" t="str">
        <f t="shared" ref="B117:K117" si="123">L57</f>
        <v>Loss</v>
      </c>
      <c r="C117" s="2" t="str">
        <f t="shared" si="123"/>
        <v/>
      </c>
      <c r="D117" s="2" t="str">
        <f t="shared" si="123"/>
        <v/>
      </c>
      <c r="E117" s="2" t="str">
        <f t="shared" si="123"/>
        <v/>
      </c>
      <c r="F117" s="2" t="str">
        <f t="shared" si="123"/>
        <v/>
      </c>
      <c r="G117" s="2" t="str">
        <f t="shared" si="123"/>
        <v/>
      </c>
      <c r="H117" s="2" t="str">
        <f t="shared" si="123"/>
        <v/>
      </c>
      <c r="I117" s="2" t="str">
        <f t="shared" si="123"/>
        <v/>
      </c>
      <c r="J117" s="2" t="str">
        <f t="shared" si="123"/>
        <v/>
      </c>
      <c r="K117" s="2" t="str">
        <f t="shared" si="123"/>
        <v/>
      </c>
      <c r="L117" s="2" t="str">
        <f t="shared" si="19"/>
        <v/>
      </c>
      <c r="M117" s="2" t="str">
        <f t="shared" si="11"/>
        <v/>
      </c>
      <c r="N117" s="2" t="str">
        <f t="shared" si="12"/>
        <v/>
      </c>
      <c r="O117" s="2" t="str">
        <f t="shared" ref="O117:S117" si="124">X57</f>
        <v/>
      </c>
      <c r="P117" s="2" t="str">
        <f t="shared" si="124"/>
        <v/>
      </c>
      <c r="Q117" s="2" t="str">
        <f t="shared" si="124"/>
        <v/>
      </c>
      <c r="R117" s="2" t="str">
        <f t="shared" si="124"/>
        <v/>
      </c>
      <c r="S117" s="2" t="str">
        <f t="shared" si="124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 hidden="1">
      <c r="A118" s="176" t="str">
        <f t="shared" si="9"/>
        <v>Pulled Cups</v>
      </c>
      <c r="B118" s="178" t="str">
        <f t="shared" ref="B118:K118" si="125">L58</f>
        <v/>
      </c>
      <c r="C118" s="2" t="str">
        <f t="shared" si="125"/>
        <v/>
      </c>
      <c r="D118" s="2" t="str">
        <f t="shared" si="125"/>
        <v/>
      </c>
      <c r="E118" s="2" t="str">
        <f t="shared" si="125"/>
        <v/>
      </c>
      <c r="F118" s="2" t="str">
        <f t="shared" si="125"/>
        <v/>
      </c>
      <c r="G118" s="2" t="str">
        <f t="shared" si="125"/>
        <v/>
      </c>
      <c r="H118" s="2" t="str">
        <f t="shared" si="125"/>
        <v/>
      </c>
      <c r="I118" s="2" t="str">
        <f t="shared" si="125"/>
        <v/>
      </c>
      <c r="J118" s="2" t="str">
        <f t="shared" si="125"/>
        <v/>
      </c>
      <c r="K118" s="2" t="str">
        <f t="shared" si="125"/>
        <v/>
      </c>
      <c r="L118" s="2" t="str">
        <f t="shared" si="19"/>
        <v/>
      </c>
      <c r="M118" s="2" t="str">
        <f t="shared" si="11"/>
        <v/>
      </c>
      <c r="N118" s="2" t="str">
        <f t="shared" si="12"/>
        <v/>
      </c>
      <c r="O118" s="2" t="str">
        <f t="shared" ref="O118:S118" si="126">X58</f>
        <v/>
      </c>
      <c r="P118" s="2" t="str">
        <f t="shared" si="126"/>
        <v/>
      </c>
      <c r="Q118" s="2" t="str">
        <f t="shared" si="126"/>
        <v/>
      </c>
      <c r="R118" s="2" t="str">
        <f t="shared" si="126"/>
        <v/>
      </c>
      <c r="S118" s="2" t="str">
        <f t="shared" si="126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 hidden="1">
      <c r="A119" s="176" t="str">
        <f t="shared" si="9"/>
        <v>Total</v>
      </c>
      <c r="B119" s="178" t="str">
        <f t="shared" ref="B119:K119" si="127">L59</f>
        <v/>
      </c>
      <c r="C119" s="2" t="str">
        <f t="shared" si="127"/>
        <v/>
      </c>
      <c r="D119" s="129">
        <f t="shared" si="127"/>
        <v>98</v>
      </c>
      <c r="E119" s="2" t="str">
        <f t="shared" si="127"/>
        <v/>
      </c>
      <c r="F119" s="2" t="str">
        <f t="shared" si="127"/>
        <v/>
      </c>
      <c r="G119" s="2" t="str">
        <f t="shared" si="127"/>
        <v/>
      </c>
      <c r="H119" s="2" t="str">
        <f t="shared" si="127"/>
        <v/>
      </c>
      <c r="I119" s="128">
        <f t="shared" si="127"/>
        <v>0.3525179856</v>
      </c>
      <c r="J119" s="2" t="str">
        <f t="shared" si="127"/>
        <v/>
      </c>
      <c r="K119" s="2" t="str">
        <f t="shared" si="127"/>
        <v/>
      </c>
      <c r="L119" s="2" t="str">
        <f t="shared" si="19"/>
        <v/>
      </c>
      <c r="M119" s="2" t="str">
        <f t="shared" si="11"/>
        <v/>
      </c>
      <c r="N119" s="129" t="str">
        <f t="shared" si="12"/>
        <v/>
      </c>
      <c r="O119" s="2" t="str">
        <f t="shared" ref="O119:S119" si="128">X59</f>
        <v/>
      </c>
      <c r="P119" s="2" t="str">
        <f t="shared" si="128"/>
        <v/>
      </c>
      <c r="Q119" s="2" t="str">
        <f t="shared" si="128"/>
        <v/>
      </c>
      <c r="R119" s="2" t="str">
        <f t="shared" si="128"/>
        <v/>
      </c>
      <c r="S119" s="2" t="str">
        <f t="shared" si="128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 t="str">
        <f t="shared" si="9"/>
        <v/>
      </c>
      <c r="B120" s="2" t="str">
        <f t="shared" ref="B120:B175" si="131">M60</f>
        <v/>
      </c>
      <c r="C120" s="2" t="str">
        <f t="shared" ref="C120:K120" si="129">M60</f>
        <v/>
      </c>
      <c r="D120" s="2" t="str">
        <f t="shared" si="129"/>
        <v/>
      </c>
      <c r="E120" s="2" t="str">
        <f t="shared" si="129"/>
        <v/>
      </c>
      <c r="F120" s="2" t="str">
        <f t="shared" si="129"/>
        <v/>
      </c>
      <c r="G120" s="2" t="str">
        <f t="shared" si="129"/>
        <v/>
      </c>
      <c r="H120" s="2" t="str">
        <f t="shared" si="129"/>
        <v/>
      </c>
      <c r="I120" s="2" t="str">
        <f t="shared" si="129"/>
        <v/>
      </c>
      <c r="J120" s="2" t="str">
        <f t="shared" si="129"/>
        <v/>
      </c>
      <c r="K120" s="2" t="str">
        <f t="shared" si="129"/>
        <v/>
      </c>
      <c r="L120" s="2" t="str">
        <f t="shared" si="19"/>
        <v/>
      </c>
      <c r="M120" s="2" t="str">
        <f t="shared" si="11"/>
        <v/>
      </c>
      <c r="N120" s="2" t="str">
        <f t="shared" si="12"/>
        <v/>
      </c>
      <c r="O120" s="2" t="str">
        <f t="shared" ref="O120:S120" si="130">X60</f>
        <v/>
      </c>
      <c r="P120" s="2" t="str">
        <f t="shared" si="130"/>
        <v/>
      </c>
      <c r="Q120" s="2" t="str">
        <f t="shared" si="130"/>
        <v/>
      </c>
      <c r="R120" s="2" t="str">
        <f t="shared" si="130"/>
        <v/>
      </c>
      <c r="S120" s="2" t="str">
        <f t="shared" si="130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31"/>
        <v/>
      </c>
      <c r="C121" s="2" t="str">
        <f t="shared" ref="C121:K121" si="132">M61</f>
        <v/>
      </c>
      <c r="D121" s="2" t="str">
        <f t="shared" si="132"/>
        <v/>
      </c>
      <c r="E121" s="2" t="str">
        <f t="shared" si="132"/>
        <v/>
      </c>
      <c r="F121" s="2" t="str">
        <f t="shared" si="132"/>
        <v/>
      </c>
      <c r="G121" s="2" t="str">
        <f t="shared" si="132"/>
        <v/>
      </c>
      <c r="H121" s="2" t="str">
        <f t="shared" si="132"/>
        <v/>
      </c>
      <c r="I121" s="2" t="str">
        <f t="shared" si="132"/>
        <v/>
      </c>
      <c r="J121" s="2" t="str">
        <f t="shared" si="132"/>
        <v/>
      </c>
      <c r="K121" s="2" t="str">
        <f t="shared" si="132"/>
        <v/>
      </c>
      <c r="L121" s="2" t="str">
        <f t="shared" si="19"/>
        <v/>
      </c>
      <c r="M121" s="2" t="str">
        <f t="shared" si="11"/>
        <v/>
      </c>
      <c r="N121" s="2" t="str">
        <f t="shared" si="12"/>
        <v/>
      </c>
      <c r="O121" s="2" t="str">
        <f t="shared" ref="O121:S121" si="133">X61</f>
        <v/>
      </c>
      <c r="P121" s="2" t="str">
        <f t="shared" si="133"/>
        <v/>
      </c>
      <c r="Q121" s="2" t="str">
        <f t="shared" si="133"/>
        <v/>
      </c>
      <c r="R121" s="2" t="str">
        <f t="shared" si="133"/>
        <v/>
      </c>
      <c r="S121" s="2" t="str">
        <f t="shared" si="133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31"/>
        <v/>
      </c>
      <c r="C122" s="2" t="str">
        <f t="shared" ref="C122:K122" si="134">M62</f>
        <v/>
      </c>
      <c r="D122" s="2" t="str">
        <f t="shared" si="134"/>
        <v/>
      </c>
      <c r="E122" s="2" t="str">
        <f t="shared" si="134"/>
        <v/>
      </c>
      <c r="F122" s="2" t="str">
        <f t="shared" si="134"/>
        <v/>
      </c>
      <c r="G122" s="2" t="str">
        <f t="shared" si="134"/>
        <v/>
      </c>
      <c r="H122" s="2" t="str">
        <f t="shared" si="134"/>
        <v/>
      </c>
      <c r="I122" s="2" t="str">
        <f t="shared" si="134"/>
        <v/>
      </c>
      <c r="J122" s="2" t="str">
        <f t="shared" si="134"/>
        <v/>
      </c>
      <c r="K122" s="2" t="str">
        <f t="shared" si="134"/>
        <v/>
      </c>
      <c r="L122" s="2" t="str">
        <f t="shared" si="19"/>
        <v/>
      </c>
      <c r="M122" s="2" t="str">
        <f t="shared" si="11"/>
        <v/>
      </c>
      <c r="N122" s="2" t="str">
        <f t="shared" si="12"/>
        <v/>
      </c>
      <c r="O122" s="2" t="str">
        <f t="shared" ref="O122:S122" si="135">X62</f>
        <v/>
      </c>
      <c r="P122" s="2" t="str">
        <f t="shared" si="135"/>
        <v/>
      </c>
      <c r="Q122" s="2" t="str">
        <f t="shared" si="135"/>
        <v/>
      </c>
      <c r="R122" s="2" t="str">
        <f t="shared" si="135"/>
        <v/>
      </c>
      <c r="S122" s="2" t="str">
        <f t="shared" si="135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31"/>
        <v/>
      </c>
      <c r="C123" s="2" t="str">
        <f t="shared" ref="C123:K123" si="136">M63</f>
        <v/>
      </c>
      <c r="D123" s="2" t="str">
        <f t="shared" si="136"/>
        <v/>
      </c>
      <c r="E123" s="2" t="str">
        <f t="shared" si="136"/>
        <v/>
      </c>
      <c r="F123" s="2" t="str">
        <f t="shared" si="136"/>
        <v/>
      </c>
      <c r="G123" s="2" t="str">
        <f t="shared" si="136"/>
        <v/>
      </c>
      <c r="H123" s="2" t="str">
        <f t="shared" si="136"/>
        <v/>
      </c>
      <c r="I123" s="2" t="str">
        <f t="shared" si="136"/>
        <v/>
      </c>
      <c r="J123" s="2" t="str">
        <f t="shared" si="136"/>
        <v/>
      </c>
      <c r="K123" s="2" t="str">
        <f t="shared" si="136"/>
        <v/>
      </c>
      <c r="L123" s="2" t="str">
        <f t="shared" si="19"/>
        <v/>
      </c>
      <c r="M123" s="2" t="str">
        <f t="shared" si="11"/>
        <v/>
      </c>
      <c r="N123" s="2" t="str">
        <f t="shared" si="12"/>
        <v/>
      </c>
      <c r="O123" s="2" t="str">
        <f t="shared" ref="O123:S123" si="137">X63</f>
        <v/>
      </c>
      <c r="P123" s="2" t="str">
        <f t="shared" si="137"/>
        <v/>
      </c>
      <c r="Q123" s="2" t="str">
        <f t="shared" si="137"/>
        <v/>
      </c>
      <c r="R123" s="2" t="str">
        <f t="shared" si="137"/>
        <v/>
      </c>
      <c r="S123" s="2" t="str">
        <f t="shared" si="137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31"/>
        <v/>
      </c>
      <c r="C124" s="2" t="str">
        <f t="shared" ref="C124:K124" si="138">M64</f>
        <v/>
      </c>
      <c r="D124" s="2" t="str">
        <f t="shared" si="138"/>
        <v/>
      </c>
      <c r="E124" s="2" t="str">
        <f t="shared" si="138"/>
        <v/>
      </c>
      <c r="F124" s="2" t="str">
        <f t="shared" si="138"/>
        <v/>
      </c>
      <c r="G124" s="2" t="str">
        <f t="shared" si="138"/>
        <v/>
      </c>
      <c r="H124" s="2" t="str">
        <f t="shared" si="138"/>
        <v/>
      </c>
      <c r="I124" s="2" t="str">
        <f t="shared" si="138"/>
        <v/>
      </c>
      <c r="J124" s="2" t="str">
        <f t="shared" si="138"/>
        <v/>
      </c>
      <c r="K124" s="2" t="str">
        <f t="shared" si="138"/>
        <v/>
      </c>
      <c r="L124" s="2" t="str">
        <f t="shared" si="19"/>
        <v/>
      </c>
      <c r="M124" s="2" t="str">
        <f t="shared" si="11"/>
        <v/>
      </c>
      <c r="N124" s="2" t="str">
        <f t="shared" si="12"/>
        <v/>
      </c>
      <c r="O124" s="2" t="str">
        <f t="shared" ref="O124:S124" si="139">X64</f>
        <v/>
      </c>
      <c r="P124" s="2" t="str">
        <f t="shared" si="139"/>
        <v/>
      </c>
      <c r="Q124" s="2" t="str">
        <f t="shared" si="139"/>
        <v/>
      </c>
      <c r="R124" s="2" t="str">
        <f t="shared" si="139"/>
        <v/>
      </c>
      <c r="S124" s="2" t="str">
        <f t="shared" si="139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31"/>
        <v/>
      </c>
      <c r="C125" s="2" t="str">
        <f t="shared" ref="C125:K125" si="140">M65</f>
        <v/>
      </c>
      <c r="D125" s="2" t="str">
        <f t="shared" si="140"/>
        <v/>
      </c>
      <c r="E125" s="2" t="str">
        <f t="shared" si="140"/>
        <v/>
      </c>
      <c r="F125" s="2" t="str">
        <f t="shared" si="140"/>
        <v/>
      </c>
      <c r="G125" s="2" t="str">
        <f t="shared" si="140"/>
        <v/>
      </c>
      <c r="H125" s="2" t="str">
        <f t="shared" si="140"/>
        <v/>
      </c>
      <c r="I125" s="2" t="str">
        <f t="shared" si="140"/>
        <v/>
      </c>
      <c r="J125" s="2" t="str">
        <f t="shared" si="140"/>
        <v/>
      </c>
      <c r="K125" s="2" t="str">
        <f t="shared" si="140"/>
        <v/>
      </c>
      <c r="L125" s="2" t="str">
        <f t="shared" si="19"/>
        <v/>
      </c>
      <c r="M125" s="2" t="str">
        <f t="shared" si="11"/>
        <v/>
      </c>
      <c r="N125" s="2" t="str">
        <f t="shared" si="12"/>
        <v/>
      </c>
      <c r="O125" s="2" t="str">
        <f t="shared" ref="O125:S125" si="141">X65</f>
        <v/>
      </c>
      <c r="P125" s="2" t="str">
        <f t="shared" si="141"/>
        <v/>
      </c>
      <c r="Q125" s="2" t="str">
        <f t="shared" si="141"/>
        <v/>
      </c>
      <c r="R125" s="2" t="str">
        <f t="shared" si="141"/>
        <v/>
      </c>
      <c r="S125" s="2" t="str">
        <f t="shared" si="141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31"/>
        <v/>
      </c>
      <c r="C126" s="2" t="str">
        <f t="shared" ref="C126:K126" si="142">M66</f>
        <v/>
      </c>
      <c r="D126" s="2" t="str">
        <f t="shared" si="142"/>
        <v/>
      </c>
      <c r="E126" s="2" t="str">
        <f t="shared" si="142"/>
        <v/>
      </c>
      <c r="F126" s="2" t="str">
        <f t="shared" si="142"/>
        <v/>
      </c>
      <c r="G126" s="2" t="str">
        <f t="shared" si="142"/>
        <v/>
      </c>
      <c r="H126" s="2" t="str">
        <f t="shared" si="142"/>
        <v/>
      </c>
      <c r="I126" s="2" t="str">
        <f t="shared" si="142"/>
        <v/>
      </c>
      <c r="J126" s="2" t="str">
        <f t="shared" si="142"/>
        <v/>
      </c>
      <c r="K126" s="2" t="str">
        <f t="shared" si="142"/>
        <v/>
      </c>
      <c r="L126" s="2" t="str">
        <f t="shared" si="19"/>
        <v/>
      </c>
      <c r="M126" s="2" t="str">
        <f t="shared" si="11"/>
        <v/>
      </c>
      <c r="N126" s="2" t="str">
        <f t="shared" si="12"/>
        <v/>
      </c>
      <c r="O126" s="2" t="str">
        <f t="shared" ref="O126:S126" si="143">X66</f>
        <v/>
      </c>
      <c r="P126" s="2" t="str">
        <f t="shared" si="143"/>
        <v/>
      </c>
      <c r="Q126" s="2" t="str">
        <f t="shared" si="143"/>
        <v/>
      </c>
      <c r="R126" s="2" t="str">
        <f t="shared" si="143"/>
        <v/>
      </c>
      <c r="S126" s="2" t="str">
        <f t="shared" si="143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31"/>
        <v/>
      </c>
      <c r="C127" s="2" t="str">
        <f t="shared" ref="C127:K127" si="144">M67</f>
        <v/>
      </c>
      <c r="D127" s="2" t="str">
        <f t="shared" si="144"/>
        <v/>
      </c>
      <c r="E127" s="2" t="str">
        <f t="shared" si="144"/>
        <v/>
      </c>
      <c r="F127" s="2" t="str">
        <f t="shared" si="144"/>
        <v/>
      </c>
      <c r="G127" s="2" t="str">
        <f t="shared" si="144"/>
        <v/>
      </c>
      <c r="H127" s="2" t="str">
        <f t="shared" si="144"/>
        <v/>
      </c>
      <c r="I127" s="2" t="str">
        <f t="shared" si="144"/>
        <v/>
      </c>
      <c r="J127" s="2" t="str">
        <f t="shared" si="144"/>
        <v/>
      </c>
      <c r="K127" s="2" t="str">
        <f t="shared" si="144"/>
        <v/>
      </c>
      <c r="L127" s="2" t="str">
        <f t="shared" si="19"/>
        <v/>
      </c>
      <c r="M127" s="2" t="str">
        <f t="shared" si="11"/>
        <v/>
      </c>
      <c r="N127" s="2" t="str">
        <f t="shared" si="12"/>
        <v/>
      </c>
      <c r="O127" s="2" t="str">
        <f t="shared" ref="O127:S127" si="145">X67</f>
        <v/>
      </c>
      <c r="P127" s="2" t="str">
        <f t="shared" si="145"/>
        <v/>
      </c>
      <c r="Q127" s="2" t="str">
        <f t="shared" si="145"/>
        <v/>
      </c>
      <c r="R127" s="2" t="str">
        <f t="shared" si="145"/>
        <v/>
      </c>
      <c r="S127" s="2" t="str">
        <f t="shared" si="145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31"/>
        <v/>
      </c>
      <c r="C128" s="2" t="str">
        <f t="shared" ref="C128:K128" si="146">M68</f>
        <v/>
      </c>
      <c r="D128" s="2" t="str">
        <f t="shared" si="146"/>
        <v/>
      </c>
      <c r="E128" s="2" t="str">
        <f t="shared" si="146"/>
        <v/>
      </c>
      <c r="F128" s="2" t="str">
        <f t="shared" si="146"/>
        <v/>
      </c>
      <c r="G128" s="2" t="str">
        <f t="shared" si="146"/>
        <v/>
      </c>
      <c r="H128" s="2" t="str">
        <f t="shared" si="146"/>
        <v/>
      </c>
      <c r="I128" s="2" t="str">
        <f t="shared" si="146"/>
        <v/>
      </c>
      <c r="J128" s="2" t="str">
        <f t="shared" si="146"/>
        <v/>
      </c>
      <c r="K128" s="2" t="str">
        <f t="shared" si="146"/>
        <v/>
      </c>
      <c r="L128" s="2" t="str">
        <f t="shared" si="19"/>
        <v/>
      </c>
      <c r="M128" s="2" t="str">
        <f t="shared" si="11"/>
        <v/>
      </c>
      <c r="N128" s="2" t="str">
        <f t="shared" si="12"/>
        <v/>
      </c>
      <c r="O128" s="2" t="str">
        <f t="shared" ref="O128:S128" si="147">X68</f>
        <v/>
      </c>
      <c r="P128" s="2" t="str">
        <f t="shared" si="147"/>
        <v/>
      </c>
      <c r="Q128" s="2" t="str">
        <f t="shared" si="147"/>
        <v/>
      </c>
      <c r="R128" s="2" t="str">
        <f t="shared" si="147"/>
        <v/>
      </c>
      <c r="S128" s="2" t="str">
        <f t="shared" si="147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31"/>
        <v/>
      </c>
      <c r="C129" s="2" t="str">
        <f t="shared" ref="C129:K129" si="148">M69</f>
        <v/>
      </c>
      <c r="D129" s="2" t="str">
        <f t="shared" si="148"/>
        <v/>
      </c>
      <c r="E129" s="2" t="str">
        <f t="shared" si="148"/>
        <v/>
      </c>
      <c r="F129" s="2" t="str">
        <f t="shared" si="148"/>
        <v/>
      </c>
      <c r="G129" s="2" t="str">
        <f t="shared" si="148"/>
        <v/>
      </c>
      <c r="H129" s="2" t="str">
        <f t="shared" si="148"/>
        <v/>
      </c>
      <c r="I129" s="2" t="str">
        <f t="shared" si="148"/>
        <v/>
      </c>
      <c r="J129" s="2" t="str">
        <f t="shared" si="148"/>
        <v/>
      </c>
      <c r="K129" s="2" t="str">
        <f t="shared" si="148"/>
        <v/>
      </c>
      <c r="L129" s="2" t="str">
        <f t="shared" si="19"/>
        <v/>
      </c>
      <c r="M129" s="2" t="str">
        <f t="shared" si="11"/>
        <v/>
      </c>
      <c r="N129" s="2" t="str">
        <f t="shared" si="12"/>
        <v/>
      </c>
      <c r="O129" s="2" t="str">
        <f t="shared" ref="O129:S129" si="149">X69</f>
        <v/>
      </c>
      <c r="P129" s="2" t="str">
        <f t="shared" si="149"/>
        <v/>
      </c>
      <c r="Q129" s="2" t="str">
        <f t="shared" si="149"/>
        <v/>
      </c>
      <c r="R129" s="2" t="str">
        <f t="shared" si="149"/>
        <v/>
      </c>
      <c r="S129" s="2" t="str">
        <f t="shared" si="149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31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19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31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19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31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19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31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19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31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19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31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si="19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31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19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31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19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31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19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31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19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31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19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31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19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31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19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31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19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31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19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31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19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31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19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31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19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31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19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31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19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31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19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31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19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31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19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31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19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31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19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31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19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31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19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31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19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31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19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31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19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31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19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31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19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31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19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31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19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31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19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31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19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31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19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31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19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31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9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31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9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31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9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31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9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31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9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31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9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31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9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31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9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C975 D1:D1000 E1:M975 N1:N1000 O1:AB975">
    <cfRule type="containsText" dxfId="2" priority="1" operator="containsText" text="Win">
      <formula>NOT(ISERROR(SEARCH(("Win"),(A1))))</formula>
    </cfRule>
  </conditionalFormatting>
  <conditionalFormatting sqref="A1:C975 D1:D1000 E1:M975 N1:N1000 O1:AB975">
    <cfRule type="containsText" dxfId="3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Schedule'!G3</f>
        <v>Migos</v>
      </c>
      <c r="B1" s="2"/>
      <c r="C1" s="2"/>
      <c r="D1" s="2"/>
      <c r="E1" s="2" t="s">
        <v>145</v>
      </c>
      <c r="F1" s="166" t="str">
        <f>if(D19&gt;N19, "Win", if(D19&lt;N19, "Loss", ""))</f>
        <v>Win</v>
      </c>
      <c r="G1" s="2"/>
      <c r="H1" s="17" t="s">
        <v>146</v>
      </c>
      <c r="I1" s="152">
        <f>D19-N19</f>
        <v>5</v>
      </c>
      <c r="J1" s="167" t="s">
        <v>184</v>
      </c>
      <c r="K1" s="168" t="str">
        <f>'Full Schedule'!H3</f>
        <v>Team F</v>
      </c>
      <c r="L1" s="2"/>
      <c r="M1" s="2"/>
      <c r="N1" s="2"/>
      <c r="O1" s="17" t="s">
        <v>145</v>
      </c>
      <c r="P1" s="166" t="str">
        <f>if(N19&gt;D19, "Win", if(N19&lt;D19, "Loss", ""))</f>
        <v>Loss</v>
      </c>
      <c r="Q1" s="2"/>
      <c r="R1" s="17" t="s">
        <v>146</v>
      </c>
      <c r="S1" s="152">
        <f>N19-D19</f>
        <v>-5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Arnav</v>
      </c>
      <c r="B3" s="24" t="str">
        <f>F1</f>
        <v>Win</v>
      </c>
      <c r="C3" s="24">
        <v>6.0</v>
      </c>
      <c r="D3" s="152">
        <f t="shared" ref="D3:D17" si="1">if(I3&gt;0, sum(E3:H3), "")</f>
        <v>27</v>
      </c>
      <c r="E3" s="24">
        <v>9.0</v>
      </c>
      <c r="F3" s="24">
        <v>5.0</v>
      </c>
      <c r="G3" s="24">
        <v>10.0</v>
      </c>
      <c r="H3" s="24">
        <v>3.0</v>
      </c>
      <c r="I3" s="24">
        <v>20.0</v>
      </c>
      <c r="J3" s="2"/>
      <c r="K3" s="2" t="str">
        <f t="array" ref="K3">xlookup($K$1, 'General Info'!$F$3:$K$3, 'General Info'!$F4:$K4)</f>
        <v>Jay</v>
      </c>
      <c r="L3" s="24" t="str">
        <f>P1</f>
        <v>Loss</v>
      </c>
      <c r="M3" s="24">
        <v>6.0</v>
      </c>
      <c r="N3" s="152">
        <f t="shared" ref="N3:N17" si="2">if(S3&gt;0, sum(O3:R3), "")</f>
        <v>11</v>
      </c>
      <c r="O3" s="24">
        <v>5.0</v>
      </c>
      <c r="P3" s="24">
        <v>0.0</v>
      </c>
      <c r="Q3" s="24">
        <v>4.0</v>
      </c>
      <c r="R3" s="24">
        <v>2.0</v>
      </c>
      <c r="S3" s="24">
        <v>24.0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Brendan</v>
      </c>
      <c r="B4" s="24" t="str">
        <f>F1</f>
        <v>Win</v>
      </c>
      <c r="C4" s="24">
        <v>1.0</v>
      </c>
      <c r="D4" s="152">
        <f t="shared" si="1"/>
        <v>13</v>
      </c>
      <c r="E4" s="24">
        <v>2.0</v>
      </c>
      <c r="F4" s="24">
        <v>0.0</v>
      </c>
      <c r="G4" s="24">
        <v>11.0</v>
      </c>
      <c r="H4" s="24">
        <v>0.0</v>
      </c>
      <c r="I4" s="24">
        <v>25.0</v>
      </c>
      <c r="J4" s="2"/>
      <c r="K4" s="2" t="str">
        <f t="array" ref="K4">xlookup($K$1, 'General Info'!$F$3:$K$3, 'General Info'!$F5:$K5)</f>
        <v>Schmid</v>
      </c>
      <c r="L4" s="24" t="str">
        <f>P1</f>
        <v>Loss</v>
      </c>
      <c r="M4" s="24"/>
      <c r="N4" s="152" t="str">
        <f t="shared" si="2"/>
        <v/>
      </c>
      <c r="O4" s="24"/>
      <c r="P4" s="24"/>
      <c r="Q4" s="24"/>
      <c r="R4" s="24"/>
      <c r="S4" s="24"/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Kumbatovic</v>
      </c>
      <c r="B5" s="2" t="str">
        <f>F1</f>
        <v>Win</v>
      </c>
      <c r="C5" s="24">
        <v>2.0</v>
      </c>
      <c r="D5" s="152">
        <f t="shared" si="1"/>
        <v>17</v>
      </c>
      <c r="E5" s="24">
        <v>5.0</v>
      </c>
      <c r="F5" s="24">
        <v>2.0</v>
      </c>
      <c r="G5" s="24">
        <v>7.0</v>
      </c>
      <c r="H5" s="24">
        <v>3.0</v>
      </c>
      <c r="I5" s="24">
        <v>24.0</v>
      </c>
      <c r="J5" s="2"/>
      <c r="K5" s="2" t="str">
        <f t="array" ref="K5">xlookup($K$1, 'General Info'!$F$3:$K$3, 'General Info'!$F6:$K6)</f>
        <v>DC</v>
      </c>
      <c r="L5" s="2" t="str">
        <f>P1</f>
        <v>Loss</v>
      </c>
      <c r="M5" s="24">
        <v>5.0</v>
      </c>
      <c r="N5" s="152">
        <f t="shared" si="2"/>
        <v>15</v>
      </c>
      <c r="O5" s="24">
        <v>7.0</v>
      </c>
      <c r="P5" s="24">
        <v>1.0</v>
      </c>
      <c r="Q5" s="24">
        <v>6.0</v>
      </c>
      <c r="R5" s="24">
        <v>1.0</v>
      </c>
      <c r="S5" s="24">
        <v>25.0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Paul</v>
      </c>
      <c r="B6" s="24" t="str">
        <f>F1</f>
        <v>Win</v>
      </c>
      <c r="C6" s="24">
        <v>5.0</v>
      </c>
      <c r="D6" s="152">
        <f t="shared" si="1"/>
        <v>18</v>
      </c>
      <c r="E6" s="24">
        <v>13.0</v>
      </c>
      <c r="F6" s="24">
        <v>0.0</v>
      </c>
      <c r="G6" s="24">
        <v>4.0</v>
      </c>
      <c r="H6" s="24">
        <v>1.0</v>
      </c>
      <c r="I6" s="24">
        <v>26.0</v>
      </c>
      <c r="J6" s="2"/>
      <c r="K6" s="2" t="str">
        <f t="array" ref="K6">xlookup($K$1, 'General Info'!$F$3:$K$3, 'General Info'!$F7:$K7)</f>
        <v>Steven</v>
      </c>
      <c r="L6" s="24" t="str">
        <f>P1</f>
        <v>Loss</v>
      </c>
      <c r="M6" s="24">
        <v>4.0</v>
      </c>
      <c r="N6" s="152">
        <f t="shared" si="2"/>
        <v>20</v>
      </c>
      <c r="O6" s="24">
        <v>5.0</v>
      </c>
      <c r="P6" s="24">
        <v>2.0</v>
      </c>
      <c r="Q6" s="24">
        <v>12.0</v>
      </c>
      <c r="R6" s="24">
        <v>1.0</v>
      </c>
      <c r="S6" s="24">
        <v>24.0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Raymond</v>
      </c>
      <c r="B7" s="24" t="str">
        <f>F1</f>
        <v>Win</v>
      </c>
      <c r="C7" s="24">
        <v>3.0</v>
      </c>
      <c r="D7" s="152">
        <f t="shared" si="1"/>
        <v>12</v>
      </c>
      <c r="E7" s="24">
        <v>2.0</v>
      </c>
      <c r="F7" s="24">
        <v>0.0</v>
      </c>
      <c r="G7" s="24">
        <v>10.0</v>
      </c>
      <c r="H7" s="24">
        <v>0.0</v>
      </c>
      <c r="I7" s="24">
        <v>25.0</v>
      </c>
      <c r="J7" s="2"/>
      <c r="K7" s="2" t="str">
        <f t="array" ref="K7">xlookup($K$1, 'General Info'!$F$3:$K$3, 'General Info'!$F8:$K8)</f>
        <v>Dave</v>
      </c>
      <c r="L7" s="24" t="str">
        <f>P1</f>
        <v>Loss</v>
      </c>
      <c r="M7" s="24">
        <v>1.0</v>
      </c>
      <c r="N7" s="152">
        <f t="shared" si="2"/>
        <v>24</v>
      </c>
      <c r="O7" s="24">
        <v>15.0</v>
      </c>
      <c r="P7" s="24">
        <v>4.0</v>
      </c>
      <c r="Q7" s="24">
        <v>5.0</v>
      </c>
      <c r="R7" s="24">
        <v>0.0</v>
      </c>
      <c r="S7" s="24">
        <v>23.0</v>
      </c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TC</v>
      </c>
      <c r="B8" s="24" t="str">
        <f>F1</f>
        <v>Win</v>
      </c>
      <c r="C8" s="24">
        <v>4.0</v>
      </c>
      <c r="D8" s="152">
        <f t="shared" si="1"/>
        <v>13</v>
      </c>
      <c r="E8" s="24">
        <v>7.0</v>
      </c>
      <c r="F8" s="24">
        <v>0.0</v>
      </c>
      <c r="G8" s="24">
        <v>6.0</v>
      </c>
      <c r="H8" s="24">
        <v>0.0</v>
      </c>
      <c r="I8" s="24">
        <v>26.0</v>
      </c>
      <c r="J8" s="2"/>
      <c r="K8" s="2" t="str">
        <f t="array" ref="K8">xlookup($K$1, 'General Info'!$F$3:$K$3, 'General Info'!$F9:$K9)</f>
        <v>Lulu</v>
      </c>
      <c r="L8" s="24" t="str">
        <f>P1</f>
        <v>Loss</v>
      </c>
      <c r="M8" s="24">
        <v>2.0</v>
      </c>
      <c r="N8" s="152">
        <f t="shared" si="2"/>
        <v>8</v>
      </c>
      <c r="O8" s="24">
        <v>6.0</v>
      </c>
      <c r="P8" s="24">
        <v>0.0</v>
      </c>
      <c r="Q8" s="24">
        <v>2.0</v>
      </c>
      <c r="R8" s="24">
        <v>0.0</v>
      </c>
      <c r="S8" s="24">
        <v>27.0</v>
      </c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Kyi</v>
      </c>
      <c r="B9" s="2" t="str">
        <f>F1</f>
        <v>Win</v>
      </c>
      <c r="C9" s="2"/>
      <c r="D9" s="2" t="str">
        <f t="shared" si="1"/>
        <v/>
      </c>
      <c r="E9" s="2"/>
      <c r="F9" s="2"/>
      <c r="G9" s="2"/>
      <c r="H9" s="2"/>
      <c r="I9" s="2"/>
      <c r="J9" s="2"/>
      <c r="K9" s="2" t="str">
        <f t="array" ref="K9">xlookup($K$1, 'General Info'!$F$3:$K$3, 'General Info'!$F10:$K10)</f>
        <v>Will</v>
      </c>
      <c r="L9" s="2" t="str">
        <f>P1</f>
        <v>Loss</v>
      </c>
      <c r="M9" s="2"/>
      <c r="N9" s="2" t="str">
        <f t="shared" si="2"/>
        <v/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Jwu</v>
      </c>
      <c r="B10" s="24" t="str">
        <f>F1</f>
        <v>Win</v>
      </c>
      <c r="C10" s="24"/>
      <c r="D10" s="2" t="str">
        <f t="shared" si="1"/>
        <v/>
      </c>
      <c r="E10" s="24"/>
      <c r="F10" s="24"/>
      <c r="G10" s="24"/>
      <c r="H10" s="24"/>
      <c r="I10" s="24"/>
      <c r="J10" s="2"/>
      <c r="K10" s="2" t="str">
        <f t="array" ref="K10">xlookup($K$1, 'General Info'!$F$3:$K$3, 'General Info'!$F11:$K11)</f>
        <v>Hershey</v>
      </c>
      <c r="L10" s="24" t="str">
        <f>P1</f>
        <v>Loss</v>
      </c>
      <c r="M10" s="24">
        <v>3.0</v>
      </c>
      <c r="N10" s="2">
        <f t="shared" si="2"/>
        <v>18</v>
      </c>
      <c r="O10" s="24">
        <v>1.0</v>
      </c>
      <c r="P10" s="24">
        <v>1.0</v>
      </c>
      <c r="Q10" s="24">
        <v>16.0</v>
      </c>
      <c r="R10" s="24">
        <v>0.0</v>
      </c>
      <c r="S10" s="24">
        <v>26.0</v>
      </c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Parker</v>
      </c>
      <c r="B11" s="2" t="str">
        <f>F1</f>
        <v>Win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Byun</v>
      </c>
      <c r="L11" s="2" t="str">
        <f>P1</f>
        <v>Loss</v>
      </c>
      <c r="M11" s="2"/>
      <c r="N11" s="2" t="str">
        <f t="shared" si="2"/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>Henry</v>
      </c>
      <c r="B12" s="2" t="str">
        <f>F1</f>
        <v>Win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>Ted</v>
      </c>
      <c r="L12" s="2" t="str">
        <f>P1</f>
        <v>Loss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>Ayush</v>
      </c>
      <c r="B13" s="2" t="str">
        <f>F1</f>
        <v>Win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>Gio</v>
      </c>
      <c r="L13" s="2" t="str">
        <f>P1</f>
        <v>Loss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Win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Loss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Win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Loss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Win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Loss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Win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Loss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182"/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27">
        <v>-1.0</v>
      </c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100</v>
      </c>
      <c r="E19" s="2"/>
      <c r="F19" s="2"/>
      <c r="G19" s="2"/>
      <c r="H19" s="2"/>
      <c r="I19" s="174">
        <f>sum(D3:D17)/(sum(D3:D17)+sum(I3:I17))</f>
        <v>0.406504065</v>
      </c>
      <c r="J19" s="2"/>
      <c r="K19" s="171" t="s">
        <v>152</v>
      </c>
      <c r="L19" s="172"/>
      <c r="M19" s="172"/>
      <c r="N19" s="173">
        <f>sum(N3:N18)</f>
        <v>95</v>
      </c>
      <c r="O19" s="2"/>
      <c r="P19" s="2"/>
      <c r="Q19" s="2"/>
      <c r="R19" s="2"/>
      <c r="S19" s="174">
        <f>sum(N3:N17)/(sum(N3:N17)+sum(S3:S17))</f>
        <v>0.3918367347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Schedule'!G4</f>
        <v>Candice?</v>
      </c>
      <c r="B21" s="2"/>
      <c r="C21" s="2"/>
      <c r="D21" s="2"/>
      <c r="E21" s="2" t="s">
        <v>145</v>
      </c>
      <c r="F21" s="166" t="str">
        <f>if(D39&gt;N39, "Win", if(D39&lt;N39, "Loss", ""))</f>
        <v>Loss</v>
      </c>
      <c r="G21" s="2"/>
      <c r="H21" s="17" t="s">
        <v>146</v>
      </c>
      <c r="I21" s="152">
        <f>D39-N39</f>
        <v>-3</v>
      </c>
      <c r="J21" s="167" t="s">
        <v>184</v>
      </c>
      <c r="K21" s="165" t="str">
        <f>'Full Schedule'!H4</f>
        <v>Gargantuan</v>
      </c>
      <c r="L21" s="2"/>
      <c r="M21" s="2"/>
      <c r="N21" s="2"/>
      <c r="O21" s="17" t="s">
        <v>145</v>
      </c>
      <c r="P21" s="166" t="str">
        <f>if(N39&gt;D39, "Win", if(N39&lt;D39, "Loss", ""))</f>
        <v>Win</v>
      </c>
      <c r="Q21" s="2"/>
      <c r="R21" s="17" t="s">
        <v>146</v>
      </c>
      <c r="S21" s="152">
        <f>N39-D39</f>
        <v>3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John</v>
      </c>
      <c r="B23" s="24" t="str">
        <f>F21</f>
        <v>Loss</v>
      </c>
      <c r="C23" s="24">
        <v>6.0</v>
      </c>
      <c r="D23" s="152">
        <f t="shared" ref="D23:D37" si="3">if(I23&gt;0, sum(E23:H23), "")</f>
        <v>15</v>
      </c>
      <c r="E23" s="24">
        <v>5.0</v>
      </c>
      <c r="F23" s="24">
        <v>0.0</v>
      </c>
      <c r="G23" s="24">
        <v>9.0</v>
      </c>
      <c r="H23" s="24">
        <v>1.0</v>
      </c>
      <c r="I23" s="24">
        <v>20.0</v>
      </c>
      <c r="J23" s="2"/>
      <c r="K23" s="2" t="str">
        <f t="array" ref="K23">xlookup($K$21, 'General Info'!$F$3:$K$3, 'General Info'!$F4:$K4)</f>
        <v>Tyler</v>
      </c>
      <c r="L23" s="24" t="str">
        <f>P21</f>
        <v>Win</v>
      </c>
      <c r="M23" s="2"/>
      <c r="N23" s="152" t="str">
        <f t="shared" ref="N23:N37" si="4">if(S23&gt;0, sum(O23:R23), "")</f>
        <v/>
      </c>
      <c r="O23" s="24"/>
      <c r="P23" s="24"/>
      <c r="Q23" s="24"/>
      <c r="R23" s="24"/>
      <c r="S23" s="24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Cole</v>
      </c>
      <c r="B24" s="24" t="str">
        <f>F21</f>
        <v>Loss</v>
      </c>
      <c r="C24" s="24">
        <v>5.0</v>
      </c>
      <c r="D24" s="152">
        <f t="shared" si="3"/>
        <v>24</v>
      </c>
      <c r="E24" s="24">
        <v>8.0</v>
      </c>
      <c r="F24" s="24">
        <v>2.0</v>
      </c>
      <c r="G24" s="24">
        <v>11.0</v>
      </c>
      <c r="H24" s="24">
        <v>3.0</v>
      </c>
      <c r="I24" s="24">
        <v>19.0</v>
      </c>
      <c r="J24" s="2"/>
      <c r="K24" s="2" t="str">
        <f t="array" ref="K24">xlookup($K$21, 'General Info'!$F$3:$K$3, 'General Info'!$F5:$K5)</f>
        <v>Lucas</v>
      </c>
      <c r="L24" s="24" t="str">
        <f>P21</f>
        <v>Win</v>
      </c>
      <c r="M24" s="24">
        <v>1.0</v>
      </c>
      <c r="N24" s="152">
        <f t="shared" si="4"/>
        <v>17</v>
      </c>
      <c r="O24" s="24">
        <v>9.0</v>
      </c>
      <c r="P24" s="24">
        <v>1.0</v>
      </c>
      <c r="Q24" s="24">
        <v>4.0</v>
      </c>
      <c r="R24" s="24">
        <v>3.0</v>
      </c>
      <c r="S24" s="24">
        <v>20.0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Dannegger</v>
      </c>
      <c r="B25" s="2" t="str">
        <f>F21</f>
        <v>Loss</v>
      </c>
      <c r="C25" s="24">
        <v>4.0</v>
      </c>
      <c r="D25" s="2">
        <f t="shared" si="3"/>
        <v>20</v>
      </c>
      <c r="E25" s="24">
        <v>4.0</v>
      </c>
      <c r="F25" s="24">
        <v>2.0</v>
      </c>
      <c r="G25" s="24">
        <v>13.0</v>
      </c>
      <c r="H25" s="24">
        <v>1.0</v>
      </c>
      <c r="I25" s="24">
        <v>19.0</v>
      </c>
      <c r="J25" s="2"/>
      <c r="K25" s="2" t="str">
        <f t="array" ref="K25">xlookup($K$21, 'General Info'!$F$3:$K$3, 'General Info'!$F6:$K6)</f>
        <v>Porco</v>
      </c>
      <c r="L25" s="2" t="str">
        <f>P21</f>
        <v>Win</v>
      </c>
      <c r="M25" s="24">
        <v>6.0</v>
      </c>
      <c r="N25" s="2">
        <f t="shared" si="4"/>
        <v>5</v>
      </c>
      <c r="O25" s="24">
        <v>2.0</v>
      </c>
      <c r="P25" s="24">
        <v>0.0</v>
      </c>
      <c r="Q25" s="24">
        <v>2.0</v>
      </c>
      <c r="R25" s="24">
        <v>1.0</v>
      </c>
      <c r="S25" s="24">
        <v>23.0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KZ</v>
      </c>
      <c r="B26" s="24" t="str">
        <f>F21</f>
        <v>Loss</v>
      </c>
      <c r="C26" s="24">
        <v>3.0</v>
      </c>
      <c r="D26" s="2">
        <f t="shared" si="3"/>
        <v>14</v>
      </c>
      <c r="E26" s="24">
        <v>10.0</v>
      </c>
      <c r="F26" s="24">
        <v>0.0</v>
      </c>
      <c r="G26" s="24">
        <v>4.0</v>
      </c>
      <c r="H26" s="24">
        <v>0.0</v>
      </c>
      <c r="I26" s="24">
        <v>21.0</v>
      </c>
      <c r="J26" s="2"/>
      <c r="K26" s="2" t="str">
        <f t="array" ref="K26">xlookup($K$21, 'General Info'!$F$3:$K$3, 'General Info'!$F7:$K7)</f>
        <v>Andy Yu</v>
      </c>
      <c r="L26" s="24" t="str">
        <f>P21</f>
        <v>Win</v>
      </c>
      <c r="M26" s="24">
        <v>5.0</v>
      </c>
      <c r="N26" s="2">
        <f t="shared" si="4"/>
        <v>21</v>
      </c>
      <c r="O26" s="24">
        <v>8.0</v>
      </c>
      <c r="P26" s="24">
        <v>2.0</v>
      </c>
      <c r="Q26" s="24">
        <v>8.0</v>
      </c>
      <c r="R26" s="24">
        <v>3.0</v>
      </c>
      <c r="S26" s="24">
        <v>21.0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Adi</v>
      </c>
      <c r="B27" s="24" t="str">
        <f>F21</f>
        <v>Loss</v>
      </c>
      <c r="C27" s="24">
        <v>2.0</v>
      </c>
      <c r="D27" s="2">
        <f t="shared" si="3"/>
        <v>15</v>
      </c>
      <c r="E27" s="24">
        <v>11.0</v>
      </c>
      <c r="F27" s="24">
        <v>1.0</v>
      </c>
      <c r="G27" s="24">
        <v>3.0</v>
      </c>
      <c r="H27" s="24">
        <v>0.0</v>
      </c>
      <c r="I27" s="24">
        <v>22.0</v>
      </c>
      <c r="J27" s="2"/>
      <c r="K27" s="2" t="str">
        <f t="array" ref="K27">xlookup($K$21, 'General Info'!$F$3:$K$3, 'General Info'!$F8:$K8)</f>
        <v>Dli</v>
      </c>
      <c r="L27" s="24" t="str">
        <f>P21</f>
        <v>Win</v>
      </c>
      <c r="M27" s="24">
        <v>2.0</v>
      </c>
      <c r="N27" s="2">
        <f t="shared" si="4"/>
        <v>23</v>
      </c>
      <c r="O27" s="24">
        <v>8.0</v>
      </c>
      <c r="P27" s="24">
        <v>1.0</v>
      </c>
      <c r="Q27" s="24">
        <v>11.0</v>
      </c>
      <c r="R27" s="24">
        <v>3.0</v>
      </c>
      <c r="S27" s="24">
        <v>19.0</v>
      </c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Gavin</v>
      </c>
      <c r="B28" s="24" t="str">
        <f>F21</f>
        <v>Loss</v>
      </c>
      <c r="C28" s="2"/>
      <c r="D28" s="152" t="str">
        <f t="shared" si="3"/>
        <v/>
      </c>
      <c r="E28" s="24"/>
      <c r="F28" s="24"/>
      <c r="G28" s="24"/>
      <c r="H28" s="24"/>
      <c r="I28" s="24"/>
      <c r="J28" s="2"/>
      <c r="K28" s="2" t="str">
        <f t="array" ref="K28">xlookup($K$21, 'General Info'!$F$3:$K$3, 'General Info'!$F9:$K9)</f>
        <v>Somil</v>
      </c>
      <c r="L28" s="24" t="str">
        <f>P21</f>
        <v>Win</v>
      </c>
      <c r="M28" s="2"/>
      <c r="N28" s="152" t="str">
        <f t="shared" si="4"/>
        <v/>
      </c>
      <c r="O28" s="24"/>
      <c r="P28" s="24"/>
      <c r="Q28" s="24"/>
      <c r="R28" s="24"/>
      <c r="S28" s="24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David</v>
      </c>
      <c r="B29" s="2" t="str">
        <f>F21</f>
        <v>Loss</v>
      </c>
      <c r="C29" s="24">
        <v>1.0</v>
      </c>
      <c r="D29" s="2">
        <f t="shared" si="3"/>
        <v>12</v>
      </c>
      <c r="E29" s="24">
        <v>4.0</v>
      </c>
      <c r="F29" s="24">
        <v>0.0</v>
      </c>
      <c r="G29" s="24">
        <v>8.0</v>
      </c>
      <c r="H29" s="24">
        <v>0.0</v>
      </c>
      <c r="I29" s="24">
        <v>22.0</v>
      </c>
      <c r="J29" s="2"/>
      <c r="K29" s="2" t="str">
        <f t="array" ref="K29">xlookup($K$21, 'General Info'!$F$3:$K$3, 'General Info'!$F10:$K10)</f>
        <v>VIshal</v>
      </c>
      <c r="L29" s="2" t="str">
        <f>P21</f>
        <v>Win</v>
      </c>
      <c r="M29" s="24">
        <v>4.0</v>
      </c>
      <c r="N29" s="2">
        <f t="shared" si="4"/>
        <v>18</v>
      </c>
      <c r="O29" s="24">
        <v>11.0</v>
      </c>
      <c r="P29" s="24">
        <v>0.0</v>
      </c>
      <c r="Q29" s="24">
        <v>4.0</v>
      </c>
      <c r="R29" s="24">
        <v>3.0</v>
      </c>
      <c r="S29" s="24">
        <v>20.0</v>
      </c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Kento</v>
      </c>
      <c r="B30" s="24" t="str">
        <f>F21</f>
        <v>Loss</v>
      </c>
      <c r="C30" s="2"/>
      <c r="D30" s="152" t="str">
        <f t="shared" si="3"/>
        <v/>
      </c>
      <c r="E30" s="2"/>
      <c r="F30" s="2"/>
      <c r="G30" s="2"/>
      <c r="H30" s="2"/>
      <c r="I30" s="2"/>
      <c r="J30" s="2"/>
      <c r="K30" s="2" t="str">
        <f t="array" ref="K30">xlookup($K$21, 'General Info'!$F$3:$K$3, 'General Info'!$F11:$K11)</f>
        <v>Sam</v>
      </c>
      <c r="L30" s="24" t="str">
        <f>P21</f>
        <v>Win</v>
      </c>
      <c r="M30" s="24">
        <v>3.0</v>
      </c>
      <c r="N30" s="152">
        <f t="shared" si="4"/>
        <v>18</v>
      </c>
      <c r="O30" s="24">
        <v>3.0</v>
      </c>
      <c r="P30" s="24">
        <v>0.0</v>
      </c>
      <c r="Q30" s="24">
        <v>14.0</v>
      </c>
      <c r="R30" s="24">
        <v>1.0</v>
      </c>
      <c r="S30" s="24">
        <v>19.0</v>
      </c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Jacob</v>
      </c>
      <c r="B31" s="2" t="str">
        <f>F21</f>
        <v>Loss</v>
      </c>
      <c r="C31" s="2"/>
      <c r="D31" s="152" t="str">
        <f t="shared" si="3"/>
        <v/>
      </c>
      <c r="E31" s="2"/>
      <c r="F31" s="2"/>
      <c r="G31" s="2"/>
      <c r="H31" s="2"/>
      <c r="I31" s="2"/>
      <c r="J31" s="2"/>
      <c r="K31" s="2" t="str">
        <f t="array" ref="K31">xlookup($K$21, 'General Info'!$F$3:$K$3, 'General Info'!$F12:$K12)</f>
        <v>Charlie</v>
      </c>
      <c r="L31" s="2" t="str">
        <f>P21</f>
        <v>Win</v>
      </c>
      <c r="M31" s="2"/>
      <c r="N31" s="15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/>
      </c>
      <c r="B32" s="2" t="str">
        <f>F21</f>
        <v>Loss</v>
      </c>
      <c r="C32" s="2"/>
      <c r="D32" s="152" t="str">
        <f t="shared" si="3"/>
        <v/>
      </c>
      <c r="E32" s="2"/>
      <c r="F32" s="2"/>
      <c r="G32" s="2"/>
      <c r="H32" s="2"/>
      <c r="I32" s="2"/>
      <c r="J32" s="2"/>
      <c r="K32" s="2" t="str">
        <f t="array" ref="K32">xlookup($K$21, 'General Info'!$F$3:$K$3, 'General Info'!$F13:$K13)</f>
        <v>Daniel</v>
      </c>
      <c r="L32" s="2" t="str">
        <f>P21</f>
        <v>Win</v>
      </c>
      <c r="M32" s="2"/>
      <c r="N32" s="15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tr">
        <f t="array" ref="A33">xlookup($A$21, 'General Info'!$F$3:$K$3, 'General Info'!$F14:$K14)</f>
        <v/>
      </c>
      <c r="B33" s="2" t="str">
        <f>F21</f>
        <v>Loss</v>
      </c>
      <c r="C33" s="2"/>
      <c r="D33" s="2" t="str">
        <f t="shared" si="3"/>
        <v/>
      </c>
      <c r="E33" s="2"/>
      <c r="F33" s="2"/>
      <c r="G33" s="2"/>
      <c r="H33" s="2"/>
      <c r="I33" s="2"/>
      <c r="J33" s="2"/>
      <c r="K33" s="2" t="str">
        <f t="array" ref="K33">xlookup($K$21, 'General Info'!$F$3:$K$3, 'General Info'!$F14:$K14)</f>
        <v/>
      </c>
      <c r="L33" s="2" t="str">
        <f>P21</f>
        <v>Win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Loss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Win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Loss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Win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Loss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Win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Loss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Win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27">
        <v>-1.0</v>
      </c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182"/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99</v>
      </c>
      <c r="E39" s="2"/>
      <c r="F39" s="2"/>
      <c r="G39" s="2"/>
      <c r="H39" s="2"/>
      <c r="I39" s="174">
        <f>sum(D23:D37)/(sum(D23:D37)+sum(I23:I37))</f>
        <v>0.4484304933</v>
      </c>
      <c r="J39" s="2"/>
      <c r="K39" s="171" t="s">
        <v>152</v>
      </c>
      <c r="L39" s="172"/>
      <c r="M39" s="172"/>
      <c r="N39" s="173">
        <f>sum(N23:N38)</f>
        <v>102</v>
      </c>
      <c r="O39" s="2"/>
      <c r="P39" s="2"/>
      <c r="Q39" s="2"/>
      <c r="R39" s="2"/>
      <c r="S39" s="174">
        <f>sum(N23:N37)/(sum(N23:N37)+sum(S23:S37))</f>
        <v>0.4553571429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Schedule'!G5</f>
        <v>Team E</v>
      </c>
      <c r="B41" s="2"/>
      <c r="C41" s="2"/>
      <c r="D41" s="2"/>
      <c r="E41" s="2" t="s">
        <v>145</v>
      </c>
      <c r="F41" s="166" t="str">
        <f>if(D59&gt;N59, "Win", if(D59&lt;N59, "Loss", ""))</f>
        <v>Win</v>
      </c>
      <c r="G41" s="2"/>
      <c r="H41" s="17" t="s">
        <v>146</v>
      </c>
      <c r="I41" s="152">
        <f>D59-N59</f>
        <v>3</v>
      </c>
      <c r="J41" s="167" t="s">
        <v>184</v>
      </c>
      <c r="K41" s="165" t="str">
        <f>'Full Schedule'!H5</f>
        <v>Team C</v>
      </c>
      <c r="L41" s="2"/>
      <c r="M41" s="2"/>
      <c r="N41" s="2"/>
      <c r="O41" s="17" t="s">
        <v>145</v>
      </c>
      <c r="P41" s="166" t="str">
        <f>if(N59&gt;D59, "Win", if(N59&lt;D59, "Loss", ""))</f>
        <v>Loss</v>
      </c>
      <c r="Q41" s="2"/>
      <c r="R41" s="17" t="s">
        <v>146</v>
      </c>
      <c r="S41" s="152">
        <f>N59-D59</f>
        <v>-3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Guel</v>
      </c>
      <c r="B43" s="24" t="str">
        <f>F41</f>
        <v>Win</v>
      </c>
      <c r="C43" s="24"/>
      <c r="D43" s="152">
        <f t="shared" ref="D43:D57" si="5">if(I43&gt;0, sum(E43:H43), "")</f>
        <v>25</v>
      </c>
      <c r="E43" s="24">
        <v>9.0</v>
      </c>
      <c r="F43" s="24">
        <v>3.0</v>
      </c>
      <c r="G43" s="24">
        <v>9.0</v>
      </c>
      <c r="H43" s="24">
        <v>4.0</v>
      </c>
      <c r="I43" s="24">
        <v>25.0</v>
      </c>
      <c r="J43" s="2"/>
      <c r="K43" s="2" t="str">
        <f t="array" ref="K43">xlookup($K$41, 'General Info'!$F$3:$K$3, 'General Info'!$F4:$K4)</f>
        <v>Du</v>
      </c>
      <c r="L43" s="24" t="str">
        <f>P41</f>
        <v>Loss</v>
      </c>
      <c r="M43" s="24"/>
      <c r="N43" s="152">
        <f t="shared" ref="N43:N57" si="6">if(S43&gt;0, sum(O43:R43), "")</f>
        <v>15</v>
      </c>
      <c r="O43" s="24">
        <v>6.0</v>
      </c>
      <c r="P43" s="24">
        <v>0.0</v>
      </c>
      <c r="Q43" s="24">
        <v>7.0</v>
      </c>
      <c r="R43" s="24">
        <v>2.0</v>
      </c>
      <c r="S43" s="24">
        <v>30.0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Pasha</v>
      </c>
      <c r="B44" s="24" t="str">
        <f>F41</f>
        <v>Win</v>
      </c>
      <c r="C44" s="24"/>
      <c r="D44" s="152">
        <f t="shared" si="5"/>
        <v>18</v>
      </c>
      <c r="E44" s="24">
        <v>9.0</v>
      </c>
      <c r="F44" s="24">
        <v>1.0</v>
      </c>
      <c r="G44" s="24">
        <v>8.0</v>
      </c>
      <c r="H44" s="24">
        <v>0.0</v>
      </c>
      <c r="I44" s="24">
        <v>29.0</v>
      </c>
      <c r="J44" s="2"/>
      <c r="K44" s="2" t="str">
        <f t="array" ref="K44">xlookup($K$41, 'General Info'!$F$3:$K$3, 'General Info'!$F5:$K5)</f>
        <v>Neo</v>
      </c>
      <c r="L44" s="24" t="str">
        <f>P41</f>
        <v>Loss</v>
      </c>
      <c r="M44" s="24"/>
      <c r="N44" s="152" t="str">
        <f t="shared" si="6"/>
        <v/>
      </c>
      <c r="O44" s="24"/>
      <c r="P44" s="24"/>
      <c r="Q44" s="24"/>
      <c r="R44" s="24"/>
      <c r="S44" s="24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Yost</v>
      </c>
      <c r="B45" s="2" t="str">
        <f>F41</f>
        <v>Win</v>
      </c>
      <c r="C45" s="24"/>
      <c r="D45" s="152">
        <f t="shared" si="5"/>
        <v>12</v>
      </c>
      <c r="E45" s="24">
        <v>5.0</v>
      </c>
      <c r="F45" s="24">
        <v>3.0</v>
      </c>
      <c r="G45" s="24">
        <v>2.0</v>
      </c>
      <c r="H45" s="24">
        <v>2.0</v>
      </c>
      <c r="I45" s="24">
        <v>29.0</v>
      </c>
      <c r="J45" s="2"/>
      <c r="K45" s="2" t="str">
        <f t="array" ref="K45">xlookup($K$41, 'General Info'!$F$3:$K$3, 'General Info'!$F6:$K6)</f>
        <v>Fritz</v>
      </c>
      <c r="L45" s="2" t="str">
        <f>P41</f>
        <v>Loss</v>
      </c>
      <c r="M45" s="2"/>
      <c r="N45" s="152">
        <f t="shared" si="6"/>
        <v>23</v>
      </c>
      <c r="O45" s="24">
        <v>9.0</v>
      </c>
      <c r="P45" s="24">
        <v>5.0</v>
      </c>
      <c r="Q45" s="24">
        <v>4.0</v>
      </c>
      <c r="R45" s="24">
        <v>5.0</v>
      </c>
      <c r="S45" s="24">
        <v>23.0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Sean</v>
      </c>
      <c r="B46" s="24" t="str">
        <f>F41</f>
        <v>Win</v>
      </c>
      <c r="C46" s="24"/>
      <c r="D46" s="152">
        <f t="shared" si="5"/>
        <v>12</v>
      </c>
      <c r="E46" s="24">
        <v>4.0</v>
      </c>
      <c r="F46" s="24">
        <v>2.0</v>
      </c>
      <c r="G46" s="24">
        <v>5.0</v>
      </c>
      <c r="H46" s="24">
        <v>1.0</v>
      </c>
      <c r="I46" s="24">
        <v>31.0</v>
      </c>
      <c r="J46" s="2"/>
      <c r="K46" s="2" t="str">
        <f t="array" ref="K46">xlookup($K$41, 'General Info'!$F$3:$K$3, 'General Info'!$F7:$K7)</f>
        <v>Eric</v>
      </c>
      <c r="L46" s="24" t="str">
        <f>P41</f>
        <v>Loss</v>
      </c>
      <c r="M46" s="24"/>
      <c r="N46" s="152">
        <f t="shared" si="6"/>
        <v>21</v>
      </c>
      <c r="O46" s="24">
        <v>10.0</v>
      </c>
      <c r="P46" s="24">
        <v>3.0</v>
      </c>
      <c r="Q46" s="24">
        <v>6.0</v>
      </c>
      <c r="R46" s="24">
        <v>2.0</v>
      </c>
      <c r="S46" s="24">
        <v>31.0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Samos</v>
      </c>
      <c r="B47" s="24" t="str">
        <f>F41</f>
        <v>Win</v>
      </c>
      <c r="C47" s="24"/>
      <c r="D47" s="152">
        <f t="shared" si="5"/>
        <v>21</v>
      </c>
      <c r="E47" s="24">
        <v>8.0</v>
      </c>
      <c r="F47" s="24">
        <v>0.0</v>
      </c>
      <c r="G47" s="24">
        <v>13.0</v>
      </c>
      <c r="H47" s="24">
        <v>0.0</v>
      </c>
      <c r="I47" s="24">
        <v>29.0</v>
      </c>
      <c r="J47" s="2"/>
      <c r="K47" s="2" t="str">
        <f t="array" ref="K47">xlookup($K$41, 'General Info'!$F$3:$K$3, 'General Info'!$F8:$K8)</f>
        <v>Ilt</v>
      </c>
      <c r="L47" s="24" t="str">
        <f>P41</f>
        <v>Loss</v>
      </c>
      <c r="M47" s="2"/>
      <c r="N47" s="152">
        <f t="shared" si="6"/>
        <v>9</v>
      </c>
      <c r="O47" s="24">
        <v>2.0</v>
      </c>
      <c r="P47" s="24">
        <v>0.0</v>
      </c>
      <c r="Q47" s="24">
        <v>7.0</v>
      </c>
      <c r="R47" s="24">
        <v>0.0</v>
      </c>
      <c r="S47" s="24">
        <v>31.0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Soho</v>
      </c>
      <c r="B48" s="24" t="str">
        <f>F41</f>
        <v>Win</v>
      </c>
      <c r="C48" s="24"/>
      <c r="D48" s="2" t="str">
        <f t="shared" si="5"/>
        <v/>
      </c>
      <c r="E48" s="24"/>
      <c r="F48" s="24"/>
      <c r="G48" s="24"/>
      <c r="H48" s="24"/>
      <c r="I48" s="24"/>
      <c r="J48" s="2"/>
      <c r="K48" s="2" t="str">
        <f t="array" ref="K48">xlookup($K$41, 'General Info'!$F$3:$K$3, 'General Info'!$F9:$K9)</f>
        <v>Matvey</v>
      </c>
      <c r="L48" s="24" t="str">
        <f>P41</f>
        <v>Loss</v>
      </c>
      <c r="M48" s="24"/>
      <c r="N48" s="2">
        <f t="shared" si="6"/>
        <v>19</v>
      </c>
      <c r="O48" s="24">
        <v>8.0</v>
      </c>
      <c r="P48" s="24">
        <v>1.0</v>
      </c>
      <c r="Q48" s="24">
        <v>10.0</v>
      </c>
      <c r="R48" s="24">
        <v>0.0</v>
      </c>
      <c r="S48" s="24">
        <v>30.0</v>
      </c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Haldar</v>
      </c>
      <c r="B49" s="2" t="str">
        <f>F41</f>
        <v>Win</v>
      </c>
      <c r="C49" s="2"/>
      <c r="D49" s="2" t="str">
        <f t="shared" si="5"/>
        <v/>
      </c>
      <c r="E49" s="2"/>
      <c r="F49" s="2"/>
      <c r="G49" s="2"/>
      <c r="H49" s="2"/>
      <c r="I49" s="2"/>
      <c r="J49" s="2"/>
      <c r="K49" s="2" t="str">
        <f t="array" ref="K49">xlookup($K$41, 'General Info'!$F$3:$K$3, 'General Info'!$F10:$K10)</f>
        <v>James</v>
      </c>
      <c r="L49" s="2" t="str">
        <f>P41</f>
        <v>Loss</v>
      </c>
      <c r="M49" s="24"/>
      <c r="N49" s="2" t="str">
        <f t="shared" si="6"/>
        <v/>
      </c>
      <c r="O49" s="24"/>
      <c r="P49" s="24"/>
      <c r="Q49" s="24"/>
      <c r="R49" s="24"/>
      <c r="S49" s="24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Dji</v>
      </c>
      <c r="B50" s="24" t="str">
        <f>F41</f>
        <v>Win</v>
      </c>
      <c r="C50" s="2"/>
      <c r="D50" s="152">
        <f t="shared" si="5"/>
        <v>12</v>
      </c>
      <c r="E50" s="24">
        <v>1.0</v>
      </c>
      <c r="F50" s="24">
        <v>0.0</v>
      </c>
      <c r="G50" s="24">
        <v>11.0</v>
      </c>
      <c r="H50" s="24">
        <v>0.0</v>
      </c>
      <c r="I50" s="24">
        <v>33.0</v>
      </c>
      <c r="J50" s="2"/>
      <c r="K50" s="2" t="str">
        <f t="array" ref="K50">xlookup($K$41, 'General Info'!$F$3:$K$3, 'General Info'!$F11:$K11)</f>
        <v>Sebastian</v>
      </c>
      <c r="L50" s="24" t="str">
        <f>P41</f>
        <v>Loss</v>
      </c>
      <c r="M50" s="24"/>
      <c r="N50" s="152">
        <f t="shared" si="6"/>
        <v>10</v>
      </c>
      <c r="O50" s="24">
        <v>1.0</v>
      </c>
      <c r="P50" s="24">
        <v>0.0</v>
      </c>
      <c r="Q50" s="24">
        <v>9.0</v>
      </c>
      <c r="R50" s="24">
        <v>0.0</v>
      </c>
      <c r="S50" s="24">
        <v>32.0</v>
      </c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Lubke</v>
      </c>
      <c r="B51" s="2" t="str">
        <f>F41</f>
        <v>Win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Erik</v>
      </c>
      <c r="L51" s="2" t="str">
        <f>P41</f>
        <v>Loss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David (pledge)</v>
      </c>
      <c r="B52" s="2" t="str">
        <f>F41</f>
        <v>Win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Jack</v>
      </c>
      <c r="L52" s="2" t="str">
        <f>P41</f>
        <v>Loss</v>
      </c>
      <c r="M52" s="2"/>
      <c r="N52" s="2" t="str">
        <f t="shared" si="6"/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>Will</v>
      </c>
      <c r="B53" s="2" t="str">
        <f>F41</f>
        <v>Win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/>
      </c>
      <c r="L53" s="2" t="str">
        <f>P41</f>
        <v>Loss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Win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Loss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Win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Loss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Win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Loss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Win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Loss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182"/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6"/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100</v>
      </c>
      <c r="E59" s="2"/>
      <c r="F59" s="2"/>
      <c r="G59" s="2"/>
      <c r="H59" s="2"/>
      <c r="I59" s="174">
        <f>sum(D43:D57)/(sum(D43:D57)+sum(I43:I57))</f>
        <v>0.3623188406</v>
      </c>
      <c r="J59" s="2"/>
      <c r="K59" s="171" t="s">
        <v>152</v>
      </c>
      <c r="L59" s="172"/>
      <c r="M59" s="172"/>
      <c r="N59" s="173">
        <f>sum(N43:N58)</f>
        <v>97</v>
      </c>
      <c r="O59" s="2"/>
      <c r="P59" s="2"/>
      <c r="Q59" s="2"/>
      <c r="R59" s="2"/>
      <c r="S59" s="174">
        <f>sum(N43:N57)/(sum(N43:N57)+sum(S43:S57))</f>
        <v>0.3540145985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idden="1">
      <c r="A61" s="176" t="str">
        <f t="shared" ref="A61:A129" si="9">K1</f>
        <v>Team F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Loss</v>
      </c>
      <c r="G61" s="2" t="str">
        <f t="shared" si="7"/>
        <v/>
      </c>
      <c r="H61" s="176" t="str">
        <f t="shared" si="7"/>
        <v>Margin</v>
      </c>
      <c r="I61" s="129">
        <f t="shared" si="7"/>
        <v>-5</v>
      </c>
      <c r="J61" s="2" t="str">
        <f t="shared" si="7"/>
        <v/>
      </c>
      <c r="K61" s="2" t="str">
        <f t="shared" si="7"/>
        <v/>
      </c>
      <c r="L61" s="2"/>
      <c r="M61" s="2" t="str">
        <f t="shared" ref="M61:M129" si="11">V1</f>
        <v/>
      </c>
      <c r="N61" s="2" t="str">
        <f t="shared" ref="N61:N129" si="12">X1</f>
        <v/>
      </c>
      <c r="O61" s="2" t="str">
        <f t="shared" ref="O61:T61" si="8">X1</f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 hidden="1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176"/>
      <c r="M62" s="2" t="str">
        <f t="shared" si="11"/>
        <v/>
      </c>
      <c r="N62" s="176" t="str">
        <f t="shared" si="12"/>
        <v/>
      </c>
      <c r="O62" s="2" t="str">
        <f t="shared" ref="O62:S62" si="13">X2</f>
        <v/>
      </c>
      <c r="P62" s="2" t="str">
        <f t="shared" si="13"/>
        <v/>
      </c>
      <c r="Q62" s="2" t="str">
        <f t="shared" si="13"/>
        <v/>
      </c>
      <c r="R62" s="2" t="str">
        <f t="shared" si="13"/>
        <v/>
      </c>
      <c r="S62" s="2" t="str">
        <f t="shared" si="13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hidden="1">
      <c r="A63" s="176" t="str">
        <f t="shared" si="9"/>
        <v>Jay</v>
      </c>
      <c r="B63" s="178" t="str">
        <f t="shared" ref="B63:K63" si="14">L3</f>
        <v>Loss</v>
      </c>
      <c r="C63" s="2">
        <f t="shared" si="14"/>
        <v>6</v>
      </c>
      <c r="D63" s="152">
        <f t="shared" si="14"/>
        <v>11</v>
      </c>
      <c r="E63" s="2">
        <f t="shared" si="14"/>
        <v>5</v>
      </c>
      <c r="F63" s="2">
        <f t="shared" si="14"/>
        <v>0</v>
      </c>
      <c r="G63" s="2">
        <f t="shared" si="14"/>
        <v>4</v>
      </c>
      <c r="H63" s="2">
        <f t="shared" si="14"/>
        <v>2</v>
      </c>
      <c r="I63" s="2">
        <f t="shared" si="14"/>
        <v>24</v>
      </c>
      <c r="J63" s="2" t="str">
        <f t="shared" si="14"/>
        <v/>
      </c>
      <c r="K63" s="2" t="str">
        <f t="shared" si="14"/>
        <v/>
      </c>
      <c r="L63" s="2"/>
      <c r="M63" s="2" t="str">
        <f t="shared" si="11"/>
        <v/>
      </c>
      <c r="N63" s="152" t="str">
        <f t="shared" si="12"/>
        <v/>
      </c>
      <c r="O63" s="2" t="str">
        <f t="shared" ref="O63:S63" si="15">X3</f>
        <v/>
      </c>
      <c r="P63" s="2" t="str">
        <f t="shared" si="15"/>
        <v/>
      </c>
      <c r="Q63" s="2" t="str">
        <f t="shared" si="15"/>
        <v/>
      </c>
      <c r="R63" s="2" t="str">
        <f t="shared" si="15"/>
        <v/>
      </c>
      <c r="S63" s="2" t="str">
        <f t="shared" si="15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hidden="1">
      <c r="A64" s="2" t="str">
        <f t="shared" si="9"/>
        <v>Schmid</v>
      </c>
      <c r="B64" s="178" t="str">
        <f t="shared" ref="B64:K64" si="16">L4</f>
        <v>Loss</v>
      </c>
      <c r="C64" s="2" t="str">
        <f t="shared" si="16"/>
        <v/>
      </c>
      <c r="D64" s="152" t="str">
        <f t="shared" si="16"/>
        <v/>
      </c>
      <c r="E64" s="2" t="str">
        <f t="shared" si="16"/>
        <v/>
      </c>
      <c r="F64" s="2" t="str">
        <f t="shared" si="16"/>
        <v/>
      </c>
      <c r="G64" s="2" t="str">
        <f t="shared" si="16"/>
        <v/>
      </c>
      <c r="H64" s="2" t="str">
        <f t="shared" si="16"/>
        <v/>
      </c>
      <c r="I64" s="2" t="str">
        <f t="shared" si="16"/>
        <v/>
      </c>
      <c r="J64" s="2" t="str">
        <f t="shared" si="16"/>
        <v/>
      </c>
      <c r="K64" s="2" t="str">
        <f t="shared" si="16"/>
        <v/>
      </c>
      <c r="L64" s="2" t="str">
        <f t="shared" ref="L64:L175" si="19">W4</f>
        <v/>
      </c>
      <c r="M64" s="2" t="str">
        <f t="shared" si="11"/>
        <v/>
      </c>
      <c r="N64" s="152" t="str">
        <f t="shared" si="12"/>
        <v/>
      </c>
      <c r="O64" s="2" t="str">
        <f t="shared" ref="O64:S64" si="17">X4</f>
        <v/>
      </c>
      <c r="P64" s="2" t="str">
        <f t="shared" si="17"/>
        <v/>
      </c>
      <c r="Q64" s="2" t="str">
        <f t="shared" si="17"/>
        <v/>
      </c>
      <c r="R64" s="2" t="str">
        <f t="shared" si="17"/>
        <v/>
      </c>
      <c r="S64" s="2" t="str">
        <f t="shared" si="17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hidden="1">
      <c r="A65" s="176" t="str">
        <f t="shared" si="9"/>
        <v>DC</v>
      </c>
      <c r="B65" s="178" t="str">
        <f t="shared" ref="B65:K65" si="18">L5</f>
        <v>Loss</v>
      </c>
      <c r="C65" s="2">
        <f t="shared" si="18"/>
        <v>5</v>
      </c>
      <c r="D65" s="152">
        <f t="shared" si="18"/>
        <v>15</v>
      </c>
      <c r="E65" s="2">
        <f t="shared" si="18"/>
        <v>7</v>
      </c>
      <c r="F65" s="2">
        <f t="shared" si="18"/>
        <v>1</v>
      </c>
      <c r="G65" s="2">
        <f t="shared" si="18"/>
        <v>6</v>
      </c>
      <c r="H65" s="2">
        <f t="shared" si="18"/>
        <v>1</v>
      </c>
      <c r="I65" s="2">
        <f t="shared" si="18"/>
        <v>25</v>
      </c>
      <c r="J65" s="2" t="str">
        <f t="shared" si="18"/>
        <v/>
      </c>
      <c r="K65" s="2" t="str">
        <f t="shared" si="18"/>
        <v/>
      </c>
      <c r="L65" s="2" t="str">
        <f t="shared" si="19"/>
        <v/>
      </c>
      <c r="M65" s="2" t="str">
        <f t="shared" si="11"/>
        <v/>
      </c>
      <c r="N65" s="152" t="str">
        <f t="shared" si="12"/>
        <v/>
      </c>
      <c r="O65" s="2" t="str">
        <f t="shared" ref="O65:S65" si="20">X5</f>
        <v/>
      </c>
      <c r="P65" s="2" t="str">
        <f t="shared" si="20"/>
        <v/>
      </c>
      <c r="Q65" s="2" t="str">
        <f t="shared" si="20"/>
        <v/>
      </c>
      <c r="R65" s="2" t="str">
        <f t="shared" si="20"/>
        <v/>
      </c>
      <c r="S65" s="2" t="str">
        <f t="shared" si="20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hidden="1">
      <c r="A66" s="2" t="str">
        <f t="shared" si="9"/>
        <v>Steven</v>
      </c>
      <c r="B66" s="178" t="str">
        <f t="shared" ref="B66:K66" si="21">L6</f>
        <v>Loss</v>
      </c>
      <c r="C66" s="2">
        <f t="shared" si="21"/>
        <v>4</v>
      </c>
      <c r="D66" s="152">
        <f t="shared" si="21"/>
        <v>20</v>
      </c>
      <c r="E66" s="2">
        <f t="shared" si="21"/>
        <v>5</v>
      </c>
      <c r="F66" s="2">
        <f t="shared" si="21"/>
        <v>2</v>
      </c>
      <c r="G66" s="2">
        <f t="shared" si="21"/>
        <v>12</v>
      </c>
      <c r="H66" s="2">
        <f t="shared" si="21"/>
        <v>1</v>
      </c>
      <c r="I66" s="2">
        <f t="shared" si="21"/>
        <v>24</v>
      </c>
      <c r="J66" s="2" t="str">
        <f t="shared" si="21"/>
        <v/>
      </c>
      <c r="K66" s="2" t="str">
        <f t="shared" si="21"/>
        <v/>
      </c>
      <c r="L66" s="2" t="str">
        <f t="shared" si="19"/>
        <v/>
      </c>
      <c r="M66" s="2" t="str">
        <f t="shared" si="11"/>
        <v/>
      </c>
      <c r="N66" s="152" t="str">
        <f t="shared" si="12"/>
        <v/>
      </c>
      <c r="O66" s="2" t="str">
        <f t="shared" ref="O66:S66" si="22">X6</f>
        <v/>
      </c>
      <c r="P66" s="2" t="str">
        <f t="shared" si="22"/>
        <v/>
      </c>
      <c r="Q66" s="2" t="str">
        <f t="shared" si="22"/>
        <v/>
      </c>
      <c r="R66" s="2" t="str">
        <f t="shared" si="22"/>
        <v/>
      </c>
      <c r="S66" s="2" t="str">
        <f t="shared" si="22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hidden="1">
      <c r="A67" s="2" t="str">
        <f t="shared" si="9"/>
        <v>Dave</v>
      </c>
      <c r="B67" s="178" t="str">
        <f t="shared" ref="B67:K67" si="23">L7</f>
        <v>Loss</v>
      </c>
      <c r="C67" s="2">
        <f t="shared" si="23"/>
        <v>1</v>
      </c>
      <c r="D67" s="152">
        <f t="shared" si="23"/>
        <v>24</v>
      </c>
      <c r="E67" s="2">
        <f t="shared" si="23"/>
        <v>15</v>
      </c>
      <c r="F67" s="2">
        <f t="shared" si="23"/>
        <v>4</v>
      </c>
      <c r="G67" s="2">
        <f t="shared" si="23"/>
        <v>5</v>
      </c>
      <c r="H67" s="2">
        <f t="shared" si="23"/>
        <v>0</v>
      </c>
      <c r="I67" s="2">
        <f t="shared" si="23"/>
        <v>23</v>
      </c>
      <c r="J67" s="2" t="str">
        <f t="shared" si="23"/>
        <v/>
      </c>
      <c r="K67" s="2" t="str">
        <f t="shared" si="23"/>
        <v/>
      </c>
      <c r="L67" s="2" t="str">
        <f t="shared" si="19"/>
        <v/>
      </c>
      <c r="M67" s="2" t="str">
        <f t="shared" si="11"/>
        <v/>
      </c>
      <c r="N67" s="152" t="str">
        <f t="shared" si="12"/>
        <v/>
      </c>
      <c r="O67" s="2" t="str">
        <f t="shared" ref="O67:S67" si="24">X7</f>
        <v/>
      </c>
      <c r="P67" s="2" t="str">
        <f t="shared" si="24"/>
        <v/>
      </c>
      <c r="Q67" s="2" t="str">
        <f t="shared" si="24"/>
        <v/>
      </c>
      <c r="R67" s="2" t="str">
        <f t="shared" si="24"/>
        <v/>
      </c>
      <c r="S67" s="2" t="str">
        <f t="shared" si="2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hidden="1">
      <c r="A68" s="2" t="str">
        <f t="shared" si="9"/>
        <v>Lulu</v>
      </c>
      <c r="B68" s="178" t="str">
        <f t="shared" ref="B68:K68" si="25">L8</f>
        <v>Loss</v>
      </c>
      <c r="C68" s="2">
        <f t="shared" si="25"/>
        <v>2</v>
      </c>
      <c r="D68" s="152">
        <f t="shared" si="25"/>
        <v>8</v>
      </c>
      <c r="E68" s="2">
        <f t="shared" si="25"/>
        <v>6</v>
      </c>
      <c r="F68" s="2">
        <f t="shared" si="25"/>
        <v>0</v>
      </c>
      <c r="G68" s="2">
        <f t="shared" si="25"/>
        <v>2</v>
      </c>
      <c r="H68" s="2">
        <f t="shared" si="25"/>
        <v>0</v>
      </c>
      <c r="I68" s="2">
        <f t="shared" si="25"/>
        <v>27</v>
      </c>
      <c r="J68" s="2" t="str">
        <f t="shared" si="25"/>
        <v/>
      </c>
      <c r="K68" s="2" t="str">
        <f t="shared" si="25"/>
        <v/>
      </c>
      <c r="L68" s="2" t="str">
        <f t="shared" si="19"/>
        <v/>
      </c>
      <c r="M68" s="2" t="str">
        <f t="shared" si="11"/>
        <v/>
      </c>
      <c r="N68" s="152" t="str">
        <f t="shared" si="12"/>
        <v/>
      </c>
      <c r="O68" s="2" t="str">
        <f t="shared" ref="O68:S68" si="26">X8</f>
        <v/>
      </c>
      <c r="P68" s="2" t="str">
        <f t="shared" si="26"/>
        <v/>
      </c>
      <c r="Q68" s="2" t="str">
        <f t="shared" si="26"/>
        <v/>
      </c>
      <c r="R68" s="2" t="str">
        <f t="shared" si="26"/>
        <v/>
      </c>
      <c r="S68" s="2" t="str">
        <f t="shared" si="26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hidden="1">
      <c r="A69" s="2" t="str">
        <f t="shared" si="9"/>
        <v>Will</v>
      </c>
      <c r="B69" s="178" t="str">
        <f t="shared" ref="B69:K69" si="27">L9</f>
        <v>Loss</v>
      </c>
      <c r="C69" s="2" t="str">
        <f t="shared" si="27"/>
        <v/>
      </c>
      <c r="D69" s="152" t="str">
        <f t="shared" si="27"/>
        <v/>
      </c>
      <c r="E69" s="2" t="str">
        <f t="shared" si="27"/>
        <v/>
      </c>
      <c r="F69" s="2" t="str">
        <f t="shared" si="27"/>
        <v/>
      </c>
      <c r="G69" s="2" t="str">
        <f t="shared" si="27"/>
        <v/>
      </c>
      <c r="H69" s="2" t="str">
        <f t="shared" si="27"/>
        <v/>
      </c>
      <c r="I69" s="2" t="str">
        <f t="shared" si="27"/>
        <v/>
      </c>
      <c r="J69" s="2" t="str">
        <f t="shared" si="27"/>
        <v/>
      </c>
      <c r="K69" s="2" t="str">
        <f t="shared" si="27"/>
        <v/>
      </c>
      <c r="L69" s="2" t="str">
        <f t="shared" si="19"/>
        <v/>
      </c>
      <c r="M69" s="2" t="str">
        <f t="shared" si="11"/>
        <v/>
      </c>
      <c r="N69" s="152" t="str">
        <f t="shared" si="12"/>
        <v/>
      </c>
      <c r="O69" s="2" t="str">
        <f t="shared" ref="O69:S69" si="28">X9</f>
        <v/>
      </c>
      <c r="P69" s="2" t="str">
        <f t="shared" si="28"/>
        <v/>
      </c>
      <c r="Q69" s="2" t="str">
        <f t="shared" si="28"/>
        <v/>
      </c>
      <c r="R69" s="2" t="str">
        <f t="shared" si="28"/>
        <v/>
      </c>
      <c r="S69" s="2" t="str">
        <f t="shared" si="28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hidden="1">
      <c r="A70" s="2" t="str">
        <f t="shared" si="9"/>
        <v>Hershey</v>
      </c>
      <c r="B70" s="178" t="str">
        <f t="shared" ref="B70:K70" si="29">L10</f>
        <v>Loss</v>
      </c>
      <c r="C70" s="2">
        <f t="shared" si="29"/>
        <v>3</v>
      </c>
      <c r="D70" s="2">
        <f t="shared" si="29"/>
        <v>18</v>
      </c>
      <c r="E70" s="2">
        <f t="shared" si="29"/>
        <v>1</v>
      </c>
      <c r="F70" s="2">
        <f t="shared" si="29"/>
        <v>1</v>
      </c>
      <c r="G70" s="2">
        <f t="shared" si="29"/>
        <v>16</v>
      </c>
      <c r="H70" s="2">
        <f t="shared" si="29"/>
        <v>0</v>
      </c>
      <c r="I70" s="2">
        <f t="shared" si="29"/>
        <v>26</v>
      </c>
      <c r="J70" s="2" t="str">
        <f t="shared" si="29"/>
        <v/>
      </c>
      <c r="K70" s="2" t="str">
        <f t="shared" si="29"/>
        <v/>
      </c>
      <c r="L70" s="2" t="str">
        <f t="shared" si="19"/>
        <v/>
      </c>
      <c r="M70" s="2" t="str">
        <f t="shared" si="11"/>
        <v/>
      </c>
      <c r="N70" s="2" t="str">
        <f t="shared" si="12"/>
        <v/>
      </c>
      <c r="O70" s="2" t="str">
        <f t="shared" ref="O70:S70" si="30">X10</f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2" t="str">
        <f t="shared" si="30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hidden="1">
      <c r="A71" s="2" t="str">
        <f t="shared" si="9"/>
        <v>Byun</v>
      </c>
      <c r="B71" s="178" t="str">
        <f t="shared" ref="B71:K71" si="31">L11</f>
        <v>Loss</v>
      </c>
      <c r="C71" s="2" t="str">
        <f t="shared" si="31"/>
        <v/>
      </c>
      <c r="D71" s="2" t="str">
        <f t="shared" si="31"/>
        <v/>
      </c>
      <c r="E71" s="2" t="str">
        <f t="shared" si="31"/>
        <v/>
      </c>
      <c r="F71" s="2" t="str">
        <f t="shared" si="31"/>
        <v/>
      </c>
      <c r="G71" s="2" t="str">
        <f t="shared" si="31"/>
        <v/>
      </c>
      <c r="H71" s="2" t="str">
        <f t="shared" si="31"/>
        <v/>
      </c>
      <c r="I71" s="2" t="str">
        <f t="shared" si="31"/>
        <v/>
      </c>
      <c r="J71" s="2" t="str">
        <f t="shared" si="31"/>
        <v/>
      </c>
      <c r="K71" s="2" t="str">
        <f t="shared" si="31"/>
        <v/>
      </c>
      <c r="L71" s="2" t="str">
        <f t="shared" si="19"/>
        <v/>
      </c>
      <c r="M71" s="2" t="str">
        <f t="shared" si="11"/>
        <v/>
      </c>
      <c r="N71" s="2" t="str">
        <f t="shared" si="12"/>
        <v/>
      </c>
      <c r="O71" s="2" t="str">
        <f t="shared" ref="O71:S71" si="32">X11</f>
        <v/>
      </c>
      <c r="P71" s="2" t="str">
        <f t="shared" si="32"/>
        <v/>
      </c>
      <c r="Q71" s="2" t="str">
        <f t="shared" si="32"/>
        <v/>
      </c>
      <c r="R71" s="2" t="str">
        <f t="shared" si="32"/>
        <v/>
      </c>
      <c r="S71" s="2" t="str">
        <f t="shared" si="32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hidden="1">
      <c r="A72" s="176" t="str">
        <f t="shared" si="9"/>
        <v>Ted</v>
      </c>
      <c r="B72" s="178" t="str">
        <f t="shared" ref="B72:K72" si="33">L12</f>
        <v>Loss</v>
      </c>
      <c r="C72" s="2" t="str">
        <f t="shared" si="33"/>
        <v/>
      </c>
      <c r="D72" s="2" t="str">
        <f t="shared" si="33"/>
        <v/>
      </c>
      <c r="E72" s="2" t="str">
        <f t="shared" si="33"/>
        <v/>
      </c>
      <c r="F72" s="2" t="str">
        <f t="shared" si="33"/>
        <v/>
      </c>
      <c r="G72" s="2" t="str">
        <f t="shared" si="33"/>
        <v/>
      </c>
      <c r="H72" s="2" t="str">
        <f t="shared" si="33"/>
        <v/>
      </c>
      <c r="I72" s="2" t="str">
        <f t="shared" si="33"/>
        <v/>
      </c>
      <c r="J72" s="2" t="str">
        <f t="shared" si="33"/>
        <v/>
      </c>
      <c r="K72" s="2" t="str">
        <f t="shared" si="33"/>
        <v/>
      </c>
      <c r="L72" s="2" t="str">
        <f t="shared" si="19"/>
        <v/>
      </c>
      <c r="M72" s="2" t="str">
        <f t="shared" si="11"/>
        <v/>
      </c>
      <c r="N72" s="2" t="str">
        <f t="shared" si="12"/>
        <v/>
      </c>
      <c r="O72" s="2" t="str">
        <f t="shared" ref="O72:S72" si="34">X12</f>
        <v/>
      </c>
      <c r="P72" s="2" t="str">
        <f t="shared" si="34"/>
        <v/>
      </c>
      <c r="Q72" s="2" t="str">
        <f t="shared" si="34"/>
        <v/>
      </c>
      <c r="R72" s="2" t="str">
        <f t="shared" si="34"/>
        <v/>
      </c>
      <c r="S72" s="2" t="str">
        <f t="shared" si="3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hidden="1">
      <c r="A73" s="2" t="str">
        <f t="shared" si="9"/>
        <v>Gio</v>
      </c>
      <c r="B73" s="178" t="str">
        <f t="shared" ref="B73:K73" si="35">L13</f>
        <v>Loss</v>
      </c>
      <c r="C73" s="2" t="str">
        <f t="shared" si="35"/>
        <v/>
      </c>
      <c r="D73" s="2" t="str">
        <f t="shared" si="35"/>
        <v/>
      </c>
      <c r="E73" s="2" t="str">
        <f t="shared" si="35"/>
        <v/>
      </c>
      <c r="F73" s="2" t="str">
        <f t="shared" si="35"/>
        <v/>
      </c>
      <c r="G73" s="2" t="str">
        <f t="shared" si="35"/>
        <v/>
      </c>
      <c r="H73" s="2" t="str">
        <f t="shared" si="35"/>
        <v/>
      </c>
      <c r="I73" s="2" t="str">
        <f t="shared" si="35"/>
        <v/>
      </c>
      <c r="J73" s="2" t="str">
        <f t="shared" si="35"/>
        <v/>
      </c>
      <c r="K73" s="2" t="str">
        <f t="shared" si="35"/>
        <v/>
      </c>
      <c r="L73" s="2" t="str">
        <f t="shared" si="19"/>
        <v/>
      </c>
      <c r="M73" s="2" t="str">
        <f t="shared" si="11"/>
        <v/>
      </c>
      <c r="N73" s="2" t="str">
        <f t="shared" si="12"/>
        <v/>
      </c>
      <c r="O73" s="2" t="str">
        <f t="shared" ref="O73:S73" si="36">X13</f>
        <v/>
      </c>
      <c r="P73" s="2" t="str">
        <f t="shared" si="36"/>
        <v/>
      </c>
      <c r="Q73" s="2" t="str">
        <f t="shared" si="36"/>
        <v/>
      </c>
      <c r="R73" s="2" t="str">
        <f t="shared" si="36"/>
        <v/>
      </c>
      <c r="S73" s="2" t="str">
        <f t="shared" si="36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hidden="1">
      <c r="A74" s="2" t="str">
        <f t="shared" si="9"/>
        <v/>
      </c>
      <c r="B74" s="178" t="str">
        <f t="shared" ref="B74:K74" si="37">L14</f>
        <v>Loss</v>
      </c>
      <c r="C74" s="2" t="str">
        <f t="shared" si="37"/>
        <v/>
      </c>
      <c r="D74" s="2" t="str">
        <f t="shared" si="37"/>
        <v/>
      </c>
      <c r="E74" s="2" t="str">
        <f t="shared" si="37"/>
        <v/>
      </c>
      <c r="F74" s="2" t="str">
        <f t="shared" si="37"/>
        <v/>
      </c>
      <c r="G74" s="2" t="str">
        <f t="shared" si="37"/>
        <v/>
      </c>
      <c r="H74" s="2" t="str">
        <f t="shared" si="37"/>
        <v/>
      </c>
      <c r="I74" s="2" t="str">
        <f t="shared" si="37"/>
        <v/>
      </c>
      <c r="J74" s="2" t="str">
        <f t="shared" si="37"/>
        <v/>
      </c>
      <c r="K74" s="2" t="str">
        <f t="shared" si="37"/>
        <v/>
      </c>
      <c r="L74" s="2" t="str">
        <f t="shared" si="19"/>
        <v/>
      </c>
      <c r="M74" s="2" t="str">
        <f t="shared" si="11"/>
        <v/>
      </c>
      <c r="N74" s="2" t="str">
        <f t="shared" si="12"/>
        <v/>
      </c>
      <c r="O74" s="2" t="str">
        <f t="shared" ref="O74:S74" si="38">X14</f>
        <v/>
      </c>
      <c r="P74" s="2" t="str">
        <f t="shared" si="38"/>
        <v/>
      </c>
      <c r="Q74" s="2" t="str">
        <f t="shared" si="38"/>
        <v/>
      </c>
      <c r="R74" s="2" t="str">
        <f t="shared" si="38"/>
        <v/>
      </c>
      <c r="S74" s="2" t="str">
        <f t="shared" si="38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hidden="1">
      <c r="A75" s="2" t="str">
        <f t="shared" si="9"/>
        <v/>
      </c>
      <c r="B75" s="178" t="str">
        <f t="shared" ref="B75:K75" si="39">L15</f>
        <v>Loss</v>
      </c>
      <c r="C75" s="2" t="str">
        <f t="shared" si="39"/>
        <v/>
      </c>
      <c r="D75" s="2" t="str">
        <f t="shared" si="39"/>
        <v/>
      </c>
      <c r="E75" s="2" t="str">
        <f t="shared" si="39"/>
        <v/>
      </c>
      <c r="F75" s="2" t="str">
        <f t="shared" si="39"/>
        <v/>
      </c>
      <c r="G75" s="2" t="str">
        <f t="shared" si="39"/>
        <v/>
      </c>
      <c r="H75" s="2" t="str">
        <f t="shared" si="39"/>
        <v/>
      </c>
      <c r="I75" s="2" t="str">
        <f t="shared" si="39"/>
        <v/>
      </c>
      <c r="J75" s="2" t="str">
        <f t="shared" si="39"/>
        <v/>
      </c>
      <c r="K75" s="2" t="str">
        <f t="shared" si="39"/>
        <v/>
      </c>
      <c r="L75" s="2" t="str">
        <f t="shared" si="19"/>
        <v/>
      </c>
      <c r="M75" s="2" t="str">
        <f t="shared" si="11"/>
        <v/>
      </c>
      <c r="N75" s="2" t="str">
        <f t="shared" si="12"/>
        <v/>
      </c>
      <c r="O75" s="2" t="str">
        <f t="shared" ref="O75:S75" si="40">X15</f>
        <v/>
      </c>
      <c r="P75" s="2" t="str">
        <f t="shared" si="40"/>
        <v/>
      </c>
      <c r="Q75" s="2" t="str">
        <f t="shared" si="40"/>
        <v/>
      </c>
      <c r="R75" s="2" t="str">
        <f t="shared" si="40"/>
        <v/>
      </c>
      <c r="S75" s="2" t="str">
        <f t="shared" si="40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hidden="1">
      <c r="A76" s="2" t="str">
        <f t="shared" si="9"/>
        <v/>
      </c>
      <c r="B76" s="178" t="str">
        <f t="shared" ref="B76:K76" si="41">L16</f>
        <v>Loss</v>
      </c>
      <c r="C76" s="2" t="str">
        <f t="shared" si="41"/>
        <v/>
      </c>
      <c r="D76" s="2" t="str">
        <f t="shared" si="41"/>
        <v/>
      </c>
      <c r="E76" s="2" t="str">
        <f t="shared" si="41"/>
        <v/>
      </c>
      <c r="F76" s="2" t="str">
        <f t="shared" si="41"/>
        <v/>
      </c>
      <c r="G76" s="2" t="str">
        <f t="shared" si="41"/>
        <v/>
      </c>
      <c r="H76" s="2" t="str">
        <f t="shared" si="41"/>
        <v/>
      </c>
      <c r="I76" s="2" t="str">
        <f t="shared" si="41"/>
        <v/>
      </c>
      <c r="J76" s="2" t="str">
        <f t="shared" si="41"/>
        <v/>
      </c>
      <c r="K76" s="2" t="str">
        <f t="shared" si="41"/>
        <v/>
      </c>
      <c r="L76" s="2" t="str">
        <f t="shared" si="19"/>
        <v/>
      </c>
      <c r="M76" s="2" t="str">
        <f t="shared" si="11"/>
        <v/>
      </c>
      <c r="N76" s="2" t="str">
        <f t="shared" si="12"/>
        <v/>
      </c>
      <c r="O76" s="2" t="str">
        <f t="shared" ref="O76:S76" si="42">X16</f>
        <v/>
      </c>
      <c r="P76" s="2" t="str">
        <f t="shared" si="42"/>
        <v/>
      </c>
      <c r="Q76" s="2" t="str">
        <f t="shared" si="42"/>
        <v/>
      </c>
      <c r="R76" s="2" t="str">
        <f t="shared" si="42"/>
        <v/>
      </c>
      <c r="S76" s="2" t="str">
        <f t="shared" si="42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hidden="1">
      <c r="A77" s="2" t="str">
        <f t="shared" si="9"/>
        <v/>
      </c>
      <c r="B77" s="178" t="str">
        <f t="shared" ref="B77:K77" si="43">L17</f>
        <v>Loss</v>
      </c>
      <c r="C77" s="2" t="str">
        <f t="shared" si="43"/>
        <v/>
      </c>
      <c r="D77" s="2" t="str">
        <f t="shared" si="43"/>
        <v/>
      </c>
      <c r="E77" s="2" t="str">
        <f t="shared" si="43"/>
        <v/>
      </c>
      <c r="F77" s="2" t="str">
        <f t="shared" si="43"/>
        <v/>
      </c>
      <c r="G77" s="2" t="str">
        <f t="shared" si="43"/>
        <v/>
      </c>
      <c r="H77" s="2" t="str">
        <f t="shared" si="43"/>
        <v/>
      </c>
      <c r="I77" s="2" t="str">
        <f t="shared" si="43"/>
        <v/>
      </c>
      <c r="J77" s="2" t="str">
        <f t="shared" si="43"/>
        <v/>
      </c>
      <c r="K77" s="2" t="str">
        <f t="shared" si="43"/>
        <v/>
      </c>
      <c r="L77" s="2" t="str">
        <f t="shared" si="19"/>
        <v/>
      </c>
      <c r="M77" s="2" t="str">
        <f t="shared" si="11"/>
        <v/>
      </c>
      <c r="N77" s="2" t="str">
        <f t="shared" si="12"/>
        <v/>
      </c>
      <c r="O77" s="2" t="str">
        <f t="shared" ref="O77:S77" si="44">X17</f>
        <v/>
      </c>
      <c r="P77" s="2" t="str">
        <f t="shared" si="44"/>
        <v/>
      </c>
      <c r="Q77" s="2" t="str">
        <f t="shared" si="44"/>
        <v/>
      </c>
      <c r="R77" s="2" t="str">
        <f t="shared" si="44"/>
        <v/>
      </c>
      <c r="S77" s="2" t="str">
        <f t="shared" si="4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hidden="1">
      <c r="A78" s="176" t="str">
        <f t="shared" si="9"/>
        <v>Pulled Cups</v>
      </c>
      <c r="B78" s="178" t="str">
        <f t="shared" ref="B78:K78" si="45">L18</f>
        <v/>
      </c>
      <c r="C78" s="2" t="str">
        <f t="shared" si="45"/>
        <v/>
      </c>
      <c r="D78" s="2">
        <f t="shared" si="45"/>
        <v>-1</v>
      </c>
      <c r="E78" s="2" t="str">
        <f t="shared" si="45"/>
        <v/>
      </c>
      <c r="F78" s="2" t="str">
        <f t="shared" si="45"/>
        <v/>
      </c>
      <c r="G78" s="2" t="str">
        <f t="shared" si="45"/>
        <v/>
      </c>
      <c r="H78" s="2" t="str">
        <f t="shared" si="45"/>
        <v/>
      </c>
      <c r="I78" s="2" t="str">
        <f t="shared" si="45"/>
        <v/>
      </c>
      <c r="J78" s="2" t="str">
        <f t="shared" si="45"/>
        <v/>
      </c>
      <c r="K78" s="2" t="str">
        <f t="shared" si="45"/>
        <v/>
      </c>
      <c r="L78" s="2" t="str">
        <f t="shared" si="19"/>
        <v/>
      </c>
      <c r="M78" s="2" t="str">
        <f t="shared" si="11"/>
        <v/>
      </c>
      <c r="N78" s="2" t="str">
        <f t="shared" si="12"/>
        <v/>
      </c>
      <c r="O78" s="2" t="str">
        <f t="shared" ref="O78:S78" si="46">X18</f>
        <v/>
      </c>
      <c r="P78" s="2" t="str">
        <f t="shared" si="46"/>
        <v/>
      </c>
      <c r="Q78" s="2" t="str">
        <f t="shared" si="46"/>
        <v/>
      </c>
      <c r="R78" s="2" t="str">
        <f t="shared" si="46"/>
        <v/>
      </c>
      <c r="S78" s="2" t="str">
        <f t="shared" si="46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hidden="1">
      <c r="A79" s="176" t="str">
        <f t="shared" si="9"/>
        <v>Total</v>
      </c>
      <c r="B79" s="178" t="str">
        <f t="shared" ref="B79:K79" si="47">L19</f>
        <v/>
      </c>
      <c r="C79" s="2" t="str">
        <f t="shared" si="47"/>
        <v/>
      </c>
      <c r="D79" s="129">
        <f t="shared" si="47"/>
        <v>95</v>
      </c>
      <c r="E79" s="2" t="str">
        <f t="shared" si="47"/>
        <v/>
      </c>
      <c r="F79" s="2" t="str">
        <f t="shared" si="47"/>
        <v/>
      </c>
      <c r="G79" s="2" t="str">
        <f t="shared" si="47"/>
        <v/>
      </c>
      <c r="H79" s="2" t="str">
        <f t="shared" si="47"/>
        <v/>
      </c>
      <c r="I79" s="128">
        <f t="shared" si="47"/>
        <v>0.3918367347</v>
      </c>
      <c r="J79" s="2" t="str">
        <f t="shared" si="47"/>
        <v/>
      </c>
      <c r="K79" s="2" t="str">
        <f t="shared" si="47"/>
        <v/>
      </c>
      <c r="L79" s="2" t="str">
        <f t="shared" si="19"/>
        <v/>
      </c>
      <c r="M79" s="2" t="str">
        <f t="shared" si="11"/>
        <v/>
      </c>
      <c r="N79" s="129" t="str">
        <f t="shared" si="12"/>
        <v/>
      </c>
      <c r="O79" s="2" t="str">
        <f t="shared" ref="O79:S79" si="48">X19</f>
        <v/>
      </c>
      <c r="P79" s="2" t="str">
        <f t="shared" si="48"/>
        <v/>
      </c>
      <c r="Q79" s="2" t="str">
        <f t="shared" si="48"/>
        <v/>
      </c>
      <c r="R79" s="2" t="str">
        <f t="shared" si="48"/>
        <v/>
      </c>
      <c r="S79" s="2" t="str">
        <f t="shared" si="48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hidden="1">
      <c r="A80" s="2" t="str">
        <f t="shared" si="9"/>
        <v/>
      </c>
      <c r="B80" s="178" t="str">
        <f t="shared" ref="B80:K80" si="49">L20</f>
        <v/>
      </c>
      <c r="C80" s="2" t="str">
        <f t="shared" si="49"/>
        <v/>
      </c>
      <c r="D80" s="2" t="str">
        <f t="shared" si="49"/>
        <v/>
      </c>
      <c r="E80" s="2" t="str">
        <f t="shared" si="49"/>
        <v/>
      </c>
      <c r="F80" s="2" t="str">
        <f t="shared" si="49"/>
        <v/>
      </c>
      <c r="G80" s="2" t="str">
        <f t="shared" si="49"/>
        <v/>
      </c>
      <c r="H80" s="2" t="str">
        <f t="shared" si="49"/>
        <v/>
      </c>
      <c r="I80" s="2" t="str">
        <f t="shared" si="49"/>
        <v/>
      </c>
      <c r="J80" s="2" t="str">
        <f t="shared" si="49"/>
        <v/>
      </c>
      <c r="K80" s="2" t="str">
        <f t="shared" si="49"/>
        <v/>
      </c>
      <c r="L80" s="2" t="str">
        <f t="shared" si="19"/>
        <v/>
      </c>
      <c r="M80" s="2" t="str">
        <f t="shared" si="11"/>
        <v/>
      </c>
      <c r="N80" s="2" t="str">
        <f t="shared" si="12"/>
        <v/>
      </c>
      <c r="O80" s="2" t="str">
        <f t="shared" ref="O80:S80" si="50">X20</f>
        <v/>
      </c>
      <c r="P80" s="2" t="str">
        <f t="shared" si="50"/>
        <v/>
      </c>
      <c r="Q80" s="2" t="str">
        <f t="shared" si="50"/>
        <v/>
      </c>
      <c r="R80" s="2" t="str">
        <f t="shared" si="50"/>
        <v/>
      </c>
      <c r="S80" s="2" t="str">
        <f t="shared" si="50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hidden="1">
      <c r="A81" s="176" t="str">
        <f t="shared" si="9"/>
        <v>Gargantuan</v>
      </c>
      <c r="B81" s="178" t="str">
        <f t="shared" ref="B81:K81" si="51">L21</f>
        <v/>
      </c>
      <c r="C81" s="2" t="str">
        <f t="shared" si="51"/>
        <v/>
      </c>
      <c r="D81" s="2" t="str">
        <f t="shared" si="51"/>
        <v/>
      </c>
      <c r="E81" s="176" t="str">
        <f t="shared" si="51"/>
        <v>Result</v>
      </c>
      <c r="F81" s="166" t="str">
        <f t="shared" si="51"/>
        <v>Win</v>
      </c>
      <c r="G81" s="2" t="str">
        <f t="shared" si="51"/>
        <v/>
      </c>
      <c r="H81" s="176" t="str">
        <f t="shared" si="51"/>
        <v>Margin</v>
      </c>
      <c r="I81" s="129">
        <f t="shared" si="51"/>
        <v>3</v>
      </c>
      <c r="J81" s="2" t="str">
        <f t="shared" si="51"/>
        <v/>
      </c>
      <c r="K81" s="2" t="str">
        <f t="shared" si="51"/>
        <v/>
      </c>
      <c r="L81" s="2" t="str">
        <f t="shared" si="19"/>
        <v/>
      </c>
      <c r="M81" s="2" t="str">
        <f t="shared" si="11"/>
        <v/>
      </c>
      <c r="N81" s="2" t="str">
        <f t="shared" si="12"/>
        <v/>
      </c>
      <c r="O81" s="2" t="str">
        <f t="shared" ref="O81:S81" si="52">X21</f>
        <v/>
      </c>
      <c r="P81" s="2" t="str">
        <f t="shared" si="52"/>
        <v/>
      </c>
      <c r="Q81" s="2" t="str">
        <f t="shared" si="52"/>
        <v/>
      </c>
      <c r="R81" s="2" t="str">
        <f t="shared" si="52"/>
        <v/>
      </c>
      <c r="S81" s="2" t="str">
        <f t="shared" si="52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hidden="1">
      <c r="A82" s="176" t="str">
        <f t="shared" si="9"/>
        <v>Name</v>
      </c>
      <c r="B82" s="178" t="str">
        <f t="shared" ref="B82:K82" si="53">L22</f>
        <v>W/L?</v>
      </c>
      <c r="C82" s="176" t="str">
        <f t="shared" si="53"/>
        <v>Shot Order</v>
      </c>
      <c r="D82" s="176" t="str">
        <f t="shared" si="53"/>
        <v>Total Cups</v>
      </c>
      <c r="E82" s="176" t="str">
        <f t="shared" si="53"/>
        <v>Tops</v>
      </c>
      <c r="F82" s="176" t="str">
        <f t="shared" si="53"/>
        <v>Top Isos</v>
      </c>
      <c r="G82" s="176" t="str">
        <f t="shared" si="53"/>
        <v>Bottoms</v>
      </c>
      <c r="H82" s="176" t="str">
        <f t="shared" si="53"/>
        <v>Bottom Isos</v>
      </c>
      <c r="I82" s="176" t="str">
        <f t="shared" si="53"/>
        <v>Misses</v>
      </c>
      <c r="J82" s="2" t="str">
        <f t="shared" si="53"/>
        <v/>
      </c>
      <c r="K82" s="2" t="str">
        <f t="shared" si="53"/>
        <v/>
      </c>
      <c r="L82" s="2" t="str">
        <f t="shared" si="19"/>
        <v/>
      </c>
      <c r="M82" s="2" t="str">
        <f t="shared" si="11"/>
        <v/>
      </c>
      <c r="N82" s="176" t="str">
        <f t="shared" si="12"/>
        <v/>
      </c>
      <c r="O82" s="2" t="str">
        <f t="shared" ref="O82:S82" si="54">X22</f>
        <v/>
      </c>
      <c r="P82" s="2" t="str">
        <f t="shared" si="54"/>
        <v/>
      </c>
      <c r="Q82" s="2" t="str">
        <f t="shared" si="54"/>
        <v/>
      </c>
      <c r="R82" s="2" t="str">
        <f t="shared" si="54"/>
        <v/>
      </c>
      <c r="S82" s="2" t="str">
        <f t="shared" si="5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hidden="1">
      <c r="A83" s="176" t="str">
        <f t="shared" si="9"/>
        <v>Tyler</v>
      </c>
      <c r="B83" s="178" t="str">
        <f t="shared" ref="B83:K83" si="55">L23</f>
        <v>Win</v>
      </c>
      <c r="C83" s="2" t="str">
        <f t="shared" si="55"/>
        <v/>
      </c>
      <c r="D83" s="152" t="str">
        <f t="shared" si="55"/>
        <v/>
      </c>
      <c r="E83" s="2" t="str">
        <f t="shared" si="55"/>
        <v/>
      </c>
      <c r="F83" s="2" t="str">
        <f t="shared" si="55"/>
        <v/>
      </c>
      <c r="G83" s="2" t="str">
        <f t="shared" si="55"/>
        <v/>
      </c>
      <c r="H83" s="2" t="str">
        <f t="shared" si="55"/>
        <v/>
      </c>
      <c r="I83" s="2" t="str">
        <f t="shared" si="55"/>
        <v/>
      </c>
      <c r="J83" s="2" t="str">
        <f t="shared" si="55"/>
        <v/>
      </c>
      <c r="K83" s="2" t="str">
        <f t="shared" si="55"/>
        <v/>
      </c>
      <c r="L83" s="2" t="str">
        <f t="shared" si="19"/>
        <v/>
      </c>
      <c r="M83" s="2" t="str">
        <f t="shared" si="11"/>
        <v/>
      </c>
      <c r="N83" s="152" t="str">
        <f t="shared" si="12"/>
        <v/>
      </c>
      <c r="O83" s="2" t="str">
        <f t="shared" ref="O83:S83" si="56">X23</f>
        <v/>
      </c>
      <c r="P83" s="2" t="str">
        <f t="shared" si="56"/>
        <v/>
      </c>
      <c r="Q83" s="2" t="str">
        <f t="shared" si="56"/>
        <v/>
      </c>
      <c r="R83" s="2" t="str">
        <f t="shared" si="56"/>
        <v/>
      </c>
      <c r="S83" s="2" t="str">
        <f t="shared" si="56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hidden="1">
      <c r="A84" s="2" t="str">
        <f t="shared" si="9"/>
        <v>Lucas</v>
      </c>
      <c r="B84" s="178" t="str">
        <f t="shared" ref="B84:K84" si="57">L24</f>
        <v>Win</v>
      </c>
      <c r="C84" s="2">
        <f t="shared" si="57"/>
        <v>1</v>
      </c>
      <c r="D84" s="152">
        <f t="shared" si="57"/>
        <v>17</v>
      </c>
      <c r="E84" s="2">
        <f t="shared" si="57"/>
        <v>9</v>
      </c>
      <c r="F84" s="2">
        <f t="shared" si="57"/>
        <v>1</v>
      </c>
      <c r="G84" s="2">
        <f t="shared" si="57"/>
        <v>4</v>
      </c>
      <c r="H84" s="2">
        <f t="shared" si="57"/>
        <v>3</v>
      </c>
      <c r="I84" s="2">
        <f t="shared" si="57"/>
        <v>20</v>
      </c>
      <c r="J84" s="2" t="str">
        <f t="shared" si="57"/>
        <v/>
      </c>
      <c r="K84" s="2" t="str">
        <f t="shared" si="57"/>
        <v/>
      </c>
      <c r="L84" s="2" t="str">
        <f t="shared" si="19"/>
        <v/>
      </c>
      <c r="M84" s="2" t="str">
        <f t="shared" si="11"/>
        <v/>
      </c>
      <c r="N84" s="152" t="str">
        <f t="shared" si="12"/>
        <v/>
      </c>
      <c r="O84" s="2" t="str">
        <f t="shared" ref="O84:S84" si="58">X24</f>
        <v/>
      </c>
      <c r="P84" s="2" t="str">
        <f t="shared" si="58"/>
        <v/>
      </c>
      <c r="Q84" s="2" t="str">
        <f t="shared" si="58"/>
        <v/>
      </c>
      <c r="R84" s="2" t="str">
        <f t="shared" si="58"/>
        <v/>
      </c>
      <c r="S84" s="2" t="str">
        <f t="shared" si="58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hidden="1">
      <c r="A85" s="176" t="str">
        <f t="shared" si="9"/>
        <v>Porco</v>
      </c>
      <c r="B85" s="178" t="str">
        <f t="shared" ref="B85:K85" si="59">L25</f>
        <v>Win</v>
      </c>
      <c r="C85" s="2">
        <f t="shared" si="59"/>
        <v>6</v>
      </c>
      <c r="D85" s="152">
        <f t="shared" si="59"/>
        <v>5</v>
      </c>
      <c r="E85" s="2">
        <f t="shared" si="59"/>
        <v>2</v>
      </c>
      <c r="F85" s="2">
        <f t="shared" si="59"/>
        <v>0</v>
      </c>
      <c r="G85" s="2">
        <f t="shared" si="59"/>
        <v>2</v>
      </c>
      <c r="H85" s="2">
        <f t="shared" si="59"/>
        <v>1</v>
      </c>
      <c r="I85" s="2">
        <f t="shared" si="59"/>
        <v>23</v>
      </c>
      <c r="J85" s="2" t="str">
        <f t="shared" si="59"/>
        <v/>
      </c>
      <c r="K85" s="2" t="str">
        <f t="shared" si="59"/>
        <v/>
      </c>
      <c r="L85" s="2" t="str">
        <f t="shared" si="19"/>
        <v/>
      </c>
      <c r="M85" s="2" t="str">
        <f t="shared" si="11"/>
        <v/>
      </c>
      <c r="N85" s="152" t="str">
        <f t="shared" si="12"/>
        <v/>
      </c>
      <c r="O85" s="2" t="str">
        <f t="shared" ref="O85:S85" si="60">X25</f>
        <v/>
      </c>
      <c r="P85" s="2" t="str">
        <f t="shared" si="60"/>
        <v/>
      </c>
      <c r="Q85" s="2" t="str">
        <f t="shared" si="60"/>
        <v/>
      </c>
      <c r="R85" s="2" t="str">
        <f t="shared" si="60"/>
        <v/>
      </c>
      <c r="S85" s="2" t="str">
        <f t="shared" si="60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hidden="1">
      <c r="A86" s="176" t="str">
        <f t="shared" si="9"/>
        <v>Andy Yu</v>
      </c>
      <c r="B86" s="178" t="str">
        <f t="shared" ref="B86:K86" si="61">L26</f>
        <v>Win</v>
      </c>
      <c r="C86" s="2">
        <f t="shared" si="61"/>
        <v>5</v>
      </c>
      <c r="D86" s="152">
        <f t="shared" si="61"/>
        <v>21</v>
      </c>
      <c r="E86" s="2">
        <f t="shared" si="61"/>
        <v>8</v>
      </c>
      <c r="F86" s="2">
        <f t="shared" si="61"/>
        <v>2</v>
      </c>
      <c r="G86" s="2">
        <f t="shared" si="61"/>
        <v>8</v>
      </c>
      <c r="H86" s="2">
        <f t="shared" si="61"/>
        <v>3</v>
      </c>
      <c r="I86" s="2">
        <f t="shared" si="61"/>
        <v>21</v>
      </c>
      <c r="J86" s="2" t="str">
        <f t="shared" si="61"/>
        <v/>
      </c>
      <c r="K86" s="2" t="str">
        <f t="shared" si="61"/>
        <v/>
      </c>
      <c r="L86" s="2" t="str">
        <f t="shared" si="19"/>
        <v/>
      </c>
      <c r="M86" s="2" t="str">
        <f t="shared" si="11"/>
        <v/>
      </c>
      <c r="N86" s="152" t="str">
        <f t="shared" si="12"/>
        <v/>
      </c>
      <c r="O86" s="2" t="str">
        <f t="shared" ref="O86:S86" si="62">X26</f>
        <v/>
      </c>
      <c r="P86" s="2" t="str">
        <f t="shared" si="62"/>
        <v/>
      </c>
      <c r="Q86" s="2" t="str">
        <f t="shared" si="62"/>
        <v/>
      </c>
      <c r="R86" s="2" t="str">
        <f t="shared" si="62"/>
        <v/>
      </c>
      <c r="S86" s="2" t="str">
        <f t="shared" si="62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hidden="1">
      <c r="A87" s="2" t="str">
        <f t="shared" si="9"/>
        <v>Dli</v>
      </c>
      <c r="B87" s="178" t="str">
        <f t="shared" ref="B87:K87" si="63">L27</f>
        <v>Win</v>
      </c>
      <c r="C87" s="2">
        <f t="shared" si="63"/>
        <v>2</v>
      </c>
      <c r="D87" s="152">
        <f t="shared" si="63"/>
        <v>23</v>
      </c>
      <c r="E87" s="2">
        <f t="shared" si="63"/>
        <v>8</v>
      </c>
      <c r="F87" s="2">
        <f t="shared" si="63"/>
        <v>1</v>
      </c>
      <c r="G87" s="2">
        <f t="shared" si="63"/>
        <v>11</v>
      </c>
      <c r="H87" s="2">
        <f t="shared" si="63"/>
        <v>3</v>
      </c>
      <c r="I87" s="2">
        <f t="shared" si="63"/>
        <v>19</v>
      </c>
      <c r="J87" s="2" t="str">
        <f t="shared" si="63"/>
        <v/>
      </c>
      <c r="K87" s="2" t="str">
        <f t="shared" si="63"/>
        <v/>
      </c>
      <c r="L87" s="2" t="str">
        <f t="shared" si="19"/>
        <v/>
      </c>
      <c r="M87" s="2" t="str">
        <f t="shared" si="11"/>
        <v/>
      </c>
      <c r="N87" s="152" t="str">
        <f t="shared" si="12"/>
        <v/>
      </c>
      <c r="O87" s="2" t="str">
        <f t="shared" ref="O87:S87" si="64">X27</f>
        <v/>
      </c>
      <c r="P87" s="2" t="str">
        <f t="shared" si="64"/>
        <v/>
      </c>
      <c r="Q87" s="2" t="str">
        <f t="shared" si="64"/>
        <v/>
      </c>
      <c r="R87" s="2" t="str">
        <f t="shared" si="64"/>
        <v/>
      </c>
      <c r="S87" s="2" t="str">
        <f t="shared" si="6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hidden="1">
      <c r="A88" s="2" t="str">
        <f t="shared" si="9"/>
        <v>Somil</v>
      </c>
      <c r="B88" s="178" t="str">
        <f t="shared" ref="B88:K88" si="65">L28</f>
        <v>Win</v>
      </c>
      <c r="C88" s="2" t="str">
        <f t="shared" si="65"/>
        <v/>
      </c>
      <c r="D88" s="152" t="str">
        <f t="shared" si="65"/>
        <v/>
      </c>
      <c r="E88" s="2" t="str">
        <f t="shared" si="65"/>
        <v/>
      </c>
      <c r="F88" s="2" t="str">
        <f t="shared" si="65"/>
        <v/>
      </c>
      <c r="G88" s="2" t="str">
        <f t="shared" si="65"/>
        <v/>
      </c>
      <c r="H88" s="2" t="str">
        <f t="shared" si="65"/>
        <v/>
      </c>
      <c r="I88" s="2" t="str">
        <f t="shared" si="65"/>
        <v/>
      </c>
      <c r="J88" s="2" t="str">
        <f t="shared" si="65"/>
        <v/>
      </c>
      <c r="K88" s="2" t="str">
        <f t="shared" si="65"/>
        <v/>
      </c>
      <c r="L88" s="2" t="str">
        <f t="shared" si="19"/>
        <v/>
      </c>
      <c r="M88" s="2" t="str">
        <f t="shared" si="11"/>
        <v/>
      </c>
      <c r="N88" s="152" t="str">
        <f t="shared" si="12"/>
        <v/>
      </c>
      <c r="O88" s="2" t="str">
        <f t="shared" ref="O88:S88" si="66">X28</f>
        <v/>
      </c>
      <c r="P88" s="2" t="str">
        <f t="shared" si="66"/>
        <v/>
      </c>
      <c r="Q88" s="2" t="str">
        <f t="shared" si="66"/>
        <v/>
      </c>
      <c r="R88" s="2" t="str">
        <f t="shared" si="66"/>
        <v/>
      </c>
      <c r="S88" s="2" t="str">
        <f t="shared" si="66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hidden="1">
      <c r="A89" s="2" t="str">
        <f t="shared" si="9"/>
        <v>VIshal</v>
      </c>
      <c r="B89" s="178" t="str">
        <f t="shared" ref="B89:K89" si="67">L29</f>
        <v>Win</v>
      </c>
      <c r="C89" s="2">
        <f t="shared" si="67"/>
        <v>4</v>
      </c>
      <c r="D89" s="152">
        <f t="shared" si="67"/>
        <v>18</v>
      </c>
      <c r="E89" s="2">
        <f t="shared" si="67"/>
        <v>11</v>
      </c>
      <c r="F89" s="2">
        <f t="shared" si="67"/>
        <v>0</v>
      </c>
      <c r="G89" s="2">
        <f t="shared" si="67"/>
        <v>4</v>
      </c>
      <c r="H89" s="2">
        <f t="shared" si="67"/>
        <v>3</v>
      </c>
      <c r="I89" s="2">
        <f t="shared" si="67"/>
        <v>20</v>
      </c>
      <c r="J89" s="2" t="str">
        <f t="shared" si="67"/>
        <v/>
      </c>
      <c r="K89" s="2" t="str">
        <f t="shared" si="67"/>
        <v/>
      </c>
      <c r="L89" s="2" t="str">
        <f t="shared" si="19"/>
        <v/>
      </c>
      <c r="M89" s="2" t="str">
        <f t="shared" si="11"/>
        <v/>
      </c>
      <c r="N89" s="152" t="str">
        <f t="shared" si="12"/>
        <v/>
      </c>
      <c r="O89" s="2" t="str">
        <f t="shared" ref="O89:S89" si="68">X29</f>
        <v/>
      </c>
      <c r="P89" s="2" t="str">
        <f t="shared" si="68"/>
        <v/>
      </c>
      <c r="Q89" s="2" t="str">
        <f t="shared" si="68"/>
        <v/>
      </c>
      <c r="R89" s="2" t="str">
        <f t="shared" si="68"/>
        <v/>
      </c>
      <c r="S89" s="2" t="str">
        <f t="shared" si="68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hidden="1">
      <c r="A90" s="2" t="str">
        <f t="shared" si="9"/>
        <v>Sam</v>
      </c>
      <c r="B90" s="178" t="str">
        <f t="shared" ref="B90:K90" si="69">L30</f>
        <v>Win</v>
      </c>
      <c r="C90" s="2">
        <f t="shared" si="69"/>
        <v>3</v>
      </c>
      <c r="D90" s="152">
        <f t="shared" si="69"/>
        <v>18</v>
      </c>
      <c r="E90" s="2">
        <f t="shared" si="69"/>
        <v>3</v>
      </c>
      <c r="F90" s="2">
        <f t="shared" si="69"/>
        <v>0</v>
      </c>
      <c r="G90" s="2">
        <f t="shared" si="69"/>
        <v>14</v>
      </c>
      <c r="H90" s="2">
        <f t="shared" si="69"/>
        <v>1</v>
      </c>
      <c r="I90" s="2">
        <f t="shared" si="69"/>
        <v>19</v>
      </c>
      <c r="J90" s="2" t="str">
        <f t="shared" si="69"/>
        <v/>
      </c>
      <c r="K90" s="2" t="str">
        <f t="shared" si="69"/>
        <v/>
      </c>
      <c r="L90" s="2" t="str">
        <f t="shared" si="19"/>
        <v/>
      </c>
      <c r="M90" s="2" t="str">
        <f t="shared" si="11"/>
        <v/>
      </c>
      <c r="N90" s="152" t="str">
        <f t="shared" si="12"/>
        <v/>
      </c>
      <c r="O90" s="2" t="str">
        <f t="shared" ref="O90:S90" si="70">X30</f>
        <v/>
      </c>
      <c r="P90" s="2" t="str">
        <f t="shared" si="70"/>
        <v/>
      </c>
      <c r="Q90" s="2" t="str">
        <f t="shared" si="70"/>
        <v/>
      </c>
      <c r="R90" s="2" t="str">
        <f t="shared" si="70"/>
        <v/>
      </c>
      <c r="S90" s="2" t="str">
        <f t="shared" si="70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hidden="1">
      <c r="A91" s="2" t="str">
        <f t="shared" si="9"/>
        <v>Charlie</v>
      </c>
      <c r="B91" s="178" t="str">
        <f t="shared" ref="B91:K91" si="71">L31</f>
        <v>Win</v>
      </c>
      <c r="C91" s="2" t="str">
        <f t="shared" si="71"/>
        <v/>
      </c>
      <c r="D91" s="152" t="str">
        <f t="shared" si="71"/>
        <v/>
      </c>
      <c r="E91" s="2" t="str">
        <f t="shared" si="71"/>
        <v/>
      </c>
      <c r="F91" s="2" t="str">
        <f t="shared" si="71"/>
        <v/>
      </c>
      <c r="G91" s="2" t="str">
        <f t="shared" si="71"/>
        <v/>
      </c>
      <c r="H91" s="2" t="str">
        <f t="shared" si="71"/>
        <v/>
      </c>
      <c r="I91" s="2" t="str">
        <f t="shared" si="71"/>
        <v/>
      </c>
      <c r="J91" s="2" t="str">
        <f t="shared" si="71"/>
        <v/>
      </c>
      <c r="K91" s="2" t="str">
        <f t="shared" si="71"/>
        <v/>
      </c>
      <c r="L91" s="2" t="str">
        <f t="shared" si="19"/>
        <v/>
      </c>
      <c r="M91" s="2" t="str">
        <f t="shared" si="11"/>
        <v/>
      </c>
      <c r="N91" s="152" t="str">
        <f t="shared" si="12"/>
        <v/>
      </c>
      <c r="O91" s="2" t="str">
        <f t="shared" ref="O91:S91" si="72">X31</f>
        <v/>
      </c>
      <c r="P91" s="2" t="str">
        <f t="shared" si="72"/>
        <v/>
      </c>
      <c r="Q91" s="2" t="str">
        <f t="shared" si="72"/>
        <v/>
      </c>
      <c r="R91" s="2" t="str">
        <f t="shared" si="72"/>
        <v/>
      </c>
      <c r="S91" s="2" t="str">
        <f t="shared" si="72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hidden="1">
      <c r="A92" s="176" t="str">
        <f t="shared" si="9"/>
        <v>Daniel</v>
      </c>
      <c r="B92" s="178" t="str">
        <f t="shared" ref="B92:K92" si="73">L32</f>
        <v>Win</v>
      </c>
      <c r="C92" s="2" t="str">
        <f t="shared" si="73"/>
        <v/>
      </c>
      <c r="D92" s="152" t="str">
        <f t="shared" si="73"/>
        <v/>
      </c>
      <c r="E92" s="2" t="str">
        <f t="shared" si="73"/>
        <v/>
      </c>
      <c r="F92" s="2" t="str">
        <f t="shared" si="73"/>
        <v/>
      </c>
      <c r="G92" s="2" t="str">
        <f t="shared" si="73"/>
        <v/>
      </c>
      <c r="H92" s="2" t="str">
        <f t="shared" si="73"/>
        <v/>
      </c>
      <c r="I92" s="2" t="str">
        <f t="shared" si="73"/>
        <v/>
      </c>
      <c r="J92" s="2" t="str">
        <f t="shared" si="73"/>
        <v/>
      </c>
      <c r="K92" s="2" t="str">
        <f t="shared" si="73"/>
        <v/>
      </c>
      <c r="L92" s="2" t="str">
        <f t="shared" si="19"/>
        <v/>
      </c>
      <c r="M92" s="2" t="str">
        <f t="shared" si="11"/>
        <v/>
      </c>
      <c r="N92" s="152" t="str">
        <f t="shared" si="12"/>
        <v/>
      </c>
      <c r="O92" s="2" t="str">
        <f t="shared" ref="O92:S92" si="74">X32</f>
        <v/>
      </c>
      <c r="P92" s="2" t="str">
        <f t="shared" si="74"/>
        <v/>
      </c>
      <c r="Q92" s="2" t="str">
        <f t="shared" si="74"/>
        <v/>
      </c>
      <c r="R92" s="2" t="str">
        <f t="shared" si="74"/>
        <v/>
      </c>
      <c r="S92" s="2" t="str">
        <f t="shared" si="74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 hidden="1">
      <c r="A93" s="2" t="str">
        <f t="shared" si="9"/>
        <v/>
      </c>
      <c r="B93" s="178" t="str">
        <f t="shared" ref="B93:K93" si="75">L33</f>
        <v>Win</v>
      </c>
      <c r="C93" s="2" t="str">
        <f t="shared" si="75"/>
        <v/>
      </c>
      <c r="D93" s="152" t="str">
        <f t="shared" si="75"/>
        <v/>
      </c>
      <c r="E93" s="2" t="str">
        <f t="shared" si="75"/>
        <v/>
      </c>
      <c r="F93" s="2" t="str">
        <f t="shared" si="75"/>
        <v/>
      </c>
      <c r="G93" s="2" t="str">
        <f t="shared" si="75"/>
        <v/>
      </c>
      <c r="H93" s="2" t="str">
        <f t="shared" si="75"/>
        <v/>
      </c>
      <c r="I93" s="2" t="str">
        <f t="shared" si="75"/>
        <v/>
      </c>
      <c r="J93" s="2" t="str">
        <f t="shared" si="75"/>
        <v/>
      </c>
      <c r="K93" s="2" t="str">
        <f t="shared" si="75"/>
        <v/>
      </c>
      <c r="L93" s="2" t="str">
        <f t="shared" si="19"/>
        <v/>
      </c>
      <c r="M93" s="2" t="str">
        <f t="shared" si="11"/>
        <v/>
      </c>
      <c r="N93" s="152" t="str">
        <f t="shared" si="12"/>
        <v/>
      </c>
      <c r="O93" s="2" t="str">
        <f t="shared" ref="O93:S93" si="76">X33</f>
        <v/>
      </c>
      <c r="P93" s="2" t="str">
        <f t="shared" si="76"/>
        <v/>
      </c>
      <c r="Q93" s="2" t="str">
        <f t="shared" si="76"/>
        <v/>
      </c>
      <c r="R93" s="2" t="str">
        <f t="shared" si="76"/>
        <v/>
      </c>
      <c r="S93" s="2" t="str">
        <f t="shared" si="76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 hidden="1">
      <c r="A94" s="2" t="str">
        <f t="shared" si="9"/>
        <v/>
      </c>
      <c r="B94" s="178" t="str">
        <f t="shared" ref="B94:K94" si="77">L34</f>
        <v>Win</v>
      </c>
      <c r="C94" s="2" t="str">
        <f t="shared" si="77"/>
        <v/>
      </c>
      <c r="D94" s="152" t="str">
        <f t="shared" si="77"/>
        <v/>
      </c>
      <c r="E94" s="2" t="str">
        <f t="shared" si="77"/>
        <v/>
      </c>
      <c r="F94" s="2" t="str">
        <f t="shared" si="77"/>
        <v/>
      </c>
      <c r="G94" s="2" t="str">
        <f t="shared" si="77"/>
        <v/>
      </c>
      <c r="H94" s="2" t="str">
        <f t="shared" si="77"/>
        <v/>
      </c>
      <c r="I94" s="2" t="str">
        <f t="shared" si="77"/>
        <v/>
      </c>
      <c r="J94" s="2" t="str">
        <f t="shared" si="77"/>
        <v/>
      </c>
      <c r="K94" s="2" t="str">
        <f t="shared" si="77"/>
        <v/>
      </c>
      <c r="L94" s="2" t="str">
        <f t="shared" si="19"/>
        <v/>
      </c>
      <c r="M94" s="2" t="str">
        <f t="shared" si="11"/>
        <v/>
      </c>
      <c r="N94" s="152" t="str">
        <f t="shared" si="12"/>
        <v/>
      </c>
      <c r="O94" s="2" t="str">
        <f t="shared" ref="O94:S94" si="78">X34</f>
        <v/>
      </c>
      <c r="P94" s="2" t="str">
        <f t="shared" si="78"/>
        <v/>
      </c>
      <c r="Q94" s="2" t="str">
        <f t="shared" si="78"/>
        <v/>
      </c>
      <c r="R94" s="2" t="str">
        <f t="shared" si="78"/>
        <v/>
      </c>
      <c r="S94" s="2" t="str">
        <f t="shared" si="78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 hidden="1">
      <c r="A95" s="2" t="str">
        <f t="shared" si="9"/>
        <v/>
      </c>
      <c r="B95" s="178" t="str">
        <f t="shared" ref="B95:K95" si="79">L35</f>
        <v>Win</v>
      </c>
      <c r="C95" s="2" t="str">
        <f t="shared" si="79"/>
        <v/>
      </c>
      <c r="D95" s="152" t="str">
        <f t="shared" si="79"/>
        <v/>
      </c>
      <c r="E95" s="2" t="str">
        <f t="shared" si="79"/>
        <v/>
      </c>
      <c r="F95" s="2" t="str">
        <f t="shared" si="79"/>
        <v/>
      </c>
      <c r="G95" s="2" t="str">
        <f t="shared" si="79"/>
        <v/>
      </c>
      <c r="H95" s="2" t="str">
        <f t="shared" si="79"/>
        <v/>
      </c>
      <c r="I95" s="2" t="str">
        <f t="shared" si="79"/>
        <v/>
      </c>
      <c r="J95" s="2" t="str">
        <f t="shared" si="79"/>
        <v/>
      </c>
      <c r="K95" s="2" t="str">
        <f t="shared" si="79"/>
        <v/>
      </c>
      <c r="L95" s="2" t="str">
        <f t="shared" si="19"/>
        <v/>
      </c>
      <c r="M95" s="2" t="str">
        <f t="shared" si="11"/>
        <v/>
      </c>
      <c r="N95" s="152" t="str">
        <f t="shared" si="12"/>
        <v/>
      </c>
      <c r="O95" s="2" t="str">
        <f t="shared" ref="O95:S95" si="80">X35</f>
        <v/>
      </c>
      <c r="P95" s="2" t="str">
        <f t="shared" si="80"/>
        <v/>
      </c>
      <c r="Q95" s="2" t="str">
        <f t="shared" si="80"/>
        <v/>
      </c>
      <c r="R95" s="2" t="str">
        <f t="shared" si="80"/>
        <v/>
      </c>
      <c r="S95" s="2" t="str">
        <f t="shared" si="80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 hidden="1">
      <c r="A96" s="2" t="str">
        <f t="shared" si="9"/>
        <v/>
      </c>
      <c r="B96" s="178" t="str">
        <f t="shared" ref="B96:K96" si="81">L36</f>
        <v>Win</v>
      </c>
      <c r="C96" s="2" t="str">
        <f t="shared" si="81"/>
        <v/>
      </c>
      <c r="D96" s="152" t="str">
        <f t="shared" si="81"/>
        <v/>
      </c>
      <c r="E96" s="2" t="str">
        <f t="shared" si="81"/>
        <v/>
      </c>
      <c r="F96" s="2" t="str">
        <f t="shared" si="81"/>
        <v/>
      </c>
      <c r="G96" s="2" t="str">
        <f t="shared" si="81"/>
        <v/>
      </c>
      <c r="H96" s="2" t="str">
        <f t="shared" si="81"/>
        <v/>
      </c>
      <c r="I96" s="2" t="str">
        <f t="shared" si="81"/>
        <v/>
      </c>
      <c r="J96" s="2" t="str">
        <f t="shared" si="81"/>
        <v/>
      </c>
      <c r="K96" s="2" t="str">
        <f t="shared" si="81"/>
        <v/>
      </c>
      <c r="L96" s="2" t="str">
        <f t="shared" si="19"/>
        <v/>
      </c>
      <c r="M96" s="2" t="str">
        <f t="shared" si="11"/>
        <v/>
      </c>
      <c r="N96" s="152" t="str">
        <f t="shared" si="12"/>
        <v/>
      </c>
      <c r="O96" s="2" t="str">
        <f t="shared" ref="O96:S96" si="82">X36</f>
        <v/>
      </c>
      <c r="P96" s="2" t="str">
        <f t="shared" si="82"/>
        <v/>
      </c>
      <c r="Q96" s="2" t="str">
        <f t="shared" si="82"/>
        <v/>
      </c>
      <c r="R96" s="2" t="str">
        <f t="shared" si="82"/>
        <v/>
      </c>
      <c r="S96" s="2" t="str">
        <f t="shared" si="82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 hidden="1">
      <c r="A97" s="2" t="str">
        <f t="shared" si="9"/>
        <v/>
      </c>
      <c r="B97" s="178" t="str">
        <f t="shared" ref="B97:K97" si="83">L37</f>
        <v>Win</v>
      </c>
      <c r="C97" s="2" t="str">
        <f t="shared" si="83"/>
        <v/>
      </c>
      <c r="D97" s="152" t="str">
        <f t="shared" si="83"/>
        <v/>
      </c>
      <c r="E97" s="2" t="str">
        <f t="shared" si="83"/>
        <v/>
      </c>
      <c r="F97" s="2" t="str">
        <f t="shared" si="83"/>
        <v/>
      </c>
      <c r="G97" s="2" t="str">
        <f t="shared" si="83"/>
        <v/>
      </c>
      <c r="H97" s="2" t="str">
        <f t="shared" si="83"/>
        <v/>
      </c>
      <c r="I97" s="2" t="str">
        <f t="shared" si="83"/>
        <v/>
      </c>
      <c r="J97" s="2" t="str">
        <f t="shared" si="83"/>
        <v/>
      </c>
      <c r="K97" s="2" t="str">
        <f t="shared" si="83"/>
        <v/>
      </c>
      <c r="L97" s="2" t="str">
        <f t="shared" si="19"/>
        <v/>
      </c>
      <c r="M97" s="2" t="str">
        <f t="shared" si="11"/>
        <v/>
      </c>
      <c r="N97" s="152" t="str">
        <f t="shared" si="12"/>
        <v/>
      </c>
      <c r="O97" s="2" t="str">
        <f t="shared" ref="O97:S97" si="84">X37</f>
        <v/>
      </c>
      <c r="P97" s="2" t="str">
        <f t="shared" si="84"/>
        <v/>
      </c>
      <c r="Q97" s="2" t="str">
        <f t="shared" si="84"/>
        <v/>
      </c>
      <c r="R97" s="2" t="str">
        <f t="shared" si="84"/>
        <v/>
      </c>
      <c r="S97" s="2" t="str">
        <f t="shared" si="84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 hidden="1">
      <c r="A98" s="176" t="str">
        <f t="shared" si="9"/>
        <v>Pulled Cups</v>
      </c>
      <c r="B98" s="178" t="str">
        <f t="shared" ref="B98:K98" si="85">L38</f>
        <v/>
      </c>
      <c r="C98" s="2" t="str">
        <f t="shared" si="85"/>
        <v/>
      </c>
      <c r="D98" s="152" t="str">
        <f t="shared" si="85"/>
        <v/>
      </c>
      <c r="E98" s="2" t="str">
        <f t="shared" si="85"/>
        <v/>
      </c>
      <c r="F98" s="2" t="str">
        <f t="shared" si="85"/>
        <v/>
      </c>
      <c r="G98" s="2" t="str">
        <f t="shared" si="85"/>
        <v/>
      </c>
      <c r="H98" s="2" t="str">
        <f t="shared" si="85"/>
        <v/>
      </c>
      <c r="I98" s="2" t="str">
        <f t="shared" si="85"/>
        <v/>
      </c>
      <c r="J98" s="2" t="str">
        <f t="shared" si="85"/>
        <v/>
      </c>
      <c r="K98" s="2" t="str">
        <f t="shared" si="85"/>
        <v/>
      </c>
      <c r="L98" s="2" t="str">
        <f t="shared" si="19"/>
        <v/>
      </c>
      <c r="M98" s="2" t="str">
        <f t="shared" si="11"/>
        <v/>
      </c>
      <c r="N98" s="152" t="str">
        <f t="shared" si="12"/>
        <v/>
      </c>
      <c r="O98" s="2" t="str">
        <f t="shared" ref="O98:S98" si="86">X38</f>
        <v/>
      </c>
      <c r="P98" s="2" t="str">
        <f t="shared" si="86"/>
        <v/>
      </c>
      <c r="Q98" s="2" t="str">
        <f t="shared" si="86"/>
        <v/>
      </c>
      <c r="R98" s="2" t="str">
        <f t="shared" si="86"/>
        <v/>
      </c>
      <c r="S98" s="2" t="str">
        <f t="shared" si="86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 hidden="1">
      <c r="A99" s="176" t="str">
        <f t="shared" si="9"/>
        <v>Total</v>
      </c>
      <c r="B99" s="178" t="str">
        <f t="shared" ref="B99:K99" si="87">L39</f>
        <v/>
      </c>
      <c r="C99" s="2" t="str">
        <f t="shared" si="87"/>
        <v/>
      </c>
      <c r="D99" s="129">
        <f t="shared" si="87"/>
        <v>102</v>
      </c>
      <c r="E99" s="2" t="str">
        <f t="shared" si="87"/>
        <v/>
      </c>
      <c r="F99" s="2" t="str">
        <f t="shared" si="87"/>
        <v/>
      </c>
      <c r="G99" s="2" t="str">
        <f t="shared" si="87"/>
        <v/>
      </c>
      <c r="H99" s="2" t="str">
        <f t="shared" si="87"/>
        <v/>
      </c>
      <c r="I99" s="128">
        <f t="shared" si="87"/>
        <v>0.4553571429</v>
      </c>
      <c r="J99" s="2" t="str">
        <f t="shared" si="87"/>
        <v/>
      </c>
      <c r="K99" s="2" t="str">
        <f t="shared" si="87"/>
        <v/>
      </c>
      <c r="L99" s="2" t="str">
        <f t="shared" si="19"/>
        <v/>
      </c>
      <c r="M99" s="2" t="str">
        <f t="shared" si="11"/>
        <v/>
      </c>
      <c r="N99" s="129" t="str">
        <f t="shared" si="12"/>
        <v/>
      </c>
      <c r="O99" s="2" t="str">
        <f t="shared" ref="O99:S99" si="88">X39</f>
        <v/>
      </c>
      <c r="P99" s="2" t="str">
        <f t="shared" si="88"/>
        <v/>
      </c>
      <c r="Q99" s="2" t="str">
        <f t="shared" si="88"/>
        <v/>
      </c>
      <c r="R99" s="2" t="str">
        <f t="shared" si="88"/>
        <v/>
      </c>
      <c r="S99" s="2" t="str">
        <f t="shared" si="88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 hidden="1">
      <c r="A100" s="2" t="str">
        <f t="shared" si="9"/>
        <v/>
      </c>
      <c r="B100" s="178" t="str">
        <f t="shared" ref="B100:K100" si="89">L40</f>
        <v/>
      </c>
      <c r="C100" s="2" t="str">
        <f t="shared" si="89"/>
        <v/>
      </c>
      <c r="D100" s="2" t="str">
        <f t="shared" si="89"/>
        <v/>
      </c>
      <c r="E100" s="2" t="str">
        <f t="shared" si="89"/>
        <v/>
      </c>
      <c r="F100" s="2" t="str">
        <f t="shared" si="89"/>
        <v/>
      </c>
      <c r="G100" s="2" t="str">
        <f t="shared" si="89"/>
        <v/>
      </c>
      <c r="H100" s="2" t="str">
        <f t="shared" si="89"/>
        <v/>
      </c>
      <c r="I100" s="2" t="str">
        <f t="shared" si="89"/>
        <v/>
      </c>
      <c r="J100" s="2" t="str">
        <f t="shared" si="89"/>
        <v/>
      </c>
      <c r="K100" s="2" t="str">
        <f t="shared" si="89"/>
        <v/>
      </c>
      <c r="L100" s="2" t="str">
        <f t="shared" si="19"/>
        <v/>
      </c>
      <c r="M100" s="2" t="str">
        <f t="shared" si="11"/>
        <v/>
      </c>
      <c r="N100" s="2" t="str">
        <f t="shared" si="12"/>
        <v/>
      </c>
      <c r="O100" s="2" t="str">
        <f t="shared" ref="O100:S100" si="90">X40</f>
        <v/>
      </c>
      <c r="P100" s="2" t="str">
        <f t="shared" si="90"/>
        <v/>
      </c>
      <c r="Q100" s="2" t="str">
        <f t="shared" si="90"/>
        <v/>
      </c>
      <c r="R100" s="2" t="str">
        <f t="shared" si="90"/>
        <v/>
      </c>
      <c r="S100" s="2" t="str">
        <f t="shared" si="90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 hidden="1">
      <c r="A101" s="176" t="str">
        <f t="shared" si="9"/>
        <v>Team C</v>
      </c>
      <c r="B101" s="178" t="str">
        <f t="shared" ref="B101:K101" si="91">L41</f>
        <v/>
      </c>
      <c r="C101" s="2" t="str">
        <f t="shared" si="91"/>
        <v/>
      </c>
      <c r="D101" s="2" t="str">
        <f t="shared" si="91"/>
        <v/>
      </c>
      <c r="E101" s="176" t="str">
        <f t="shared" si="91"/>
        <v>Result</v>
      </c>
      <c r="F101" s="166" t="str">
        <f t="shared" si="91"/>
        <v>Loss</v>
      </c>
      <c r="G101" s="2" t="str">
        <f t="shared" si="91"/>
        <v/>
      </c>
      <c r="H101" s="176" t="str">
        <f t="shared" si="91"/>
        <v>Margin</v>
      </c>
      <c r="I101" s="129">
        <f t="shared" si="91"/>
        <v>-3</v>
      </c>
      <c r="J101" s="2" t="str">
        <f t="shared" si="91"/>
        <v/>
      </c>
      <c r="K101" s="2" t="str">
        <f t="shared" si="91"/>
        <v/>
      </c>
      <c r="L101" s="2" t="str">
        <f t="shared" si="19"/>
        <v/>
      </c>
      <c r="M101" s="2" t="str">
        <f t="shared" si="11"/>
        <v/>
      </c>
      <c r="N101" s="2" t="str">
        <f t="shared" si="12"/>
        <v/>
      </c>
      <c r="O101" s="2" t="str">
        <f t="shared" ref="O101:S101" si="92">X41</f>
        <v/>
      </c>
      <c r="P101" s="2" t="str">
        <f t="shared" si="92"/>
        <v/>
      </c>
      <c r="Q101" s="2" t="str">
        <f t="shared" si="92"/>
        <v/>
      </c>
      <c r="R101" s="2" t="str">
        <f t="shared" si="92"/>
        <v/>
      </c>
      <c r="S101" s="2" t="str">
        <f t="shared" si="92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 hidden="1">
      <c r="A102" s="176" t="str">
        <f t="shared" si="9"/>
        <v>Name</v>
      </c>
      <c r="B102" s="178" t="str">
        <f t="shared" ref="B102:K102" si="93">L42</f>
        <v>W/L?</v>
      </c>
      <c r="C102" s="176" t="str">
        <f t="shared" si="93"/>
        <v>Shot Order</v>
      </c>
      <c r="D102" s="176" t="str">
        <f t="shared" si="93"/>
        <v>Total Cups</v>
      </c>
      <c r="E102" s="176" t="str">
        <f t="shared" si="93"/>
        <v>Tops</v>
      </c>
      <c r="F102" s="176" t="str">
        <f t="shared" si="93"/>
        <v>Top Isos</v>
      </c>
      <c r="G102" s="176" t="str">
        <f t="shared" si="93"/>
        <v>Bottoms</v>
      </c>
      <c r="H102" s="176" t="str">
        <f t="shared" si="93"/>
        <v>Bottom Isos</v>
      </c>
      <c r="I102" s="176" t="str">
        <f t="shared" si="93"/>
        <v>Misses</v>
      </c>
      <c r="J102" s="2" t="str">
        <f t="shared" si="93"/>
        <v/>
      </c>
      <c r="K102" s="2" t="str">
        <f t="shared" si="93"/>
        <v/>
      </c>
      <c r="L102" s="2" t="str">
        <f t="shared" si="19"/>
        <v/>
      </c>
      <c r="M102" s="2" t="str">
        <f t="shared" si="11"/>
        <v/>
      </c>
      <c r="N102" s="176" t="str">
        <f t="shared" si="12"/>
        <v/>
      </c>
      <c r="O102" s="2" t="str">
        <f t="shared" ref="O102:S102" si="94">X42</f>
        <v/>
      </c>
      <c r="P102" s="2" t="str">
        <f t="shared" si="94"/>
        <v/>
      </c>
      <c r="Q102" s="2" t="str">
        <f t="shared" si="94"/>
        <v/>
      </c>
      <c r="R102" s="2" t="str">
        <f t="shared" si="94"/>
        <v/>
      </c>
      <c r="S102" s="2" t="str">
        <f t="shared" si="94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 hidden="1">
      <c r="A103" s="176" t="str">
        <f t="shared" si="9"/>
        <v>Du</v>
      </c>
      <c r="B103" s="178" t="str">
        <f t="shared" ref="B103:K103" si="95">L43</f>
        <v>Loss</v>
      </c>
      <c r="C103" s="2" t="str">
        <f t="shared" si="95"/>
        <v/>
      </c>
      <c r="D103" s="152">
        <f t="shared" si="95"/>
        <v>15</v>
      </c>
      <c r="E103" s="2">
        <f t="shared" si="95"/>
        <v>6</v>
      </c>
      <c r="F103" s="2">
        <f t="shared" si="95"/>
        <v>0</v>
      </c>
      <c r="G103" s="2">
        <f t="shared" si="95"/>
        <v>7</v>
      </c>
      <c r="H103" s="2">
        <f t="shared" si="95"/>
        <v>2</v>
      </c>
      <c r="I103" s="2">
        <f t="shared" si="95"/>
        <v>30</v>
      </c>
      <c r="J103" s="2" t="str">
        <f t="shared" si="95"/>
        <v/>
      </c>
      <c r="K103" s="2" t="str">
        <f t="shared" si="95"/>
        <v/>
      </c>
      <c r="L103" s="2" t="str">
        <f t="shared" si="19"/>
        <v/>
      </c>
      <c r="M103" s="2" t="str">
        <f t="shared" si="11"/>
        <v/>
      </c>
      <c r="N103" s="152" t="str">
        <f t="shared" si="12"/>
        <v/>
      </c>
      <c r="O103" s="2" t="str">
        <f t="shared" ref="O103:S103" si="96">X43</f>
        <v/>
      </c>
      <c r="P103" s="2" t="str">
        <f t="shared" si="96"/>
        <v/>
      </c>
      <c r="Q103" s="2" t="str">
        <f t="shared" si="96"/>
        <v/>
      </c>
      <c r="R103" s="2" t="str">
        <f t="shared" si="96"/>
        <v/>
      </c>
      <c r="S103" s="2" t="str">
        <f t="shared" si="96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 hidden="1">
      <c r="A104" s="2" t="str">
        <f t="shared" si="9"/>
        <v>Neo</v>
      </c>
      <c r="B104" s="178" t="str">
        <f t="shared" ref="B104:K104" si="97">L44</f>
        <v>Loss</v>
      </c>
      <c r="C104" s="2" t="str">
        <f t="shared" si="97"/>
        <v/>
      </c>
      <c r="D104" s="152" t="str">
        <f t="shared" si="97"/>
        <v/>
      </c>
      <c r="E104" s="2" t="str">
        <f t="shared" si="97"/>
        <v/>
      </c>
      <c r="F104" s="2" t="str">
        <f t="shared" si="97"/>
        <v/>
      </c>
      <c r="G104" s="2" t="str">
        <f t="shared" si="97"/>
        <v/>
      </c>
      <c r="H104" s="2" t="str">
        <f t="shared" si="97"/>
        <v/>
      </c>
      <c r="I104" s="2" t="str">
        <f t="shared" si="97"/>
        <v/>
      </c>
      <c r="J104" s="2" t="str">
        <f t="shared" si="97"/>
        <v/>
      </c>
      <c r="K104" s="2" t="str">
        <f t="shared" si="97"/>
        <v/>
      </c>
      <c r="L104" s="2" t="str">
        <f t="shared" si="19"/>
        <v/>
      </c>
      <c r="M104" s="2" t="str">
        <f t="shared" si="11"/>
        <v/>
      </c>
      <c r="N104" s="152" t="str">
        <f t="shared" si="12"/>
        <v/>
      </c>
      <c r="O104" s="2" t="str">
        <f t="shared" ref="O104:S104" si="98">X44</f>
        <v/>
      </c>
      <c r="P104" s="2" t="str">
        <f t="shared" si="98"/>
        <v/>
      </c>
      <c r="Q104" s="2" t="str">
        <f t="shared" si="98"/>
        <v/>
      </c>
      <c r="R104" s="2" t="str">
        <f t="shared" si="98"/>
        <v/>
      </c>
      <c r="S104" s="2" t="str">
        <f t="shared" si="98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 hidden="1">
      <c r="A105" s="176" t="str">
        <f t="shared" si="9"/>
        <v>Fritz</v>
      </c>
      <c r="B105" s="178" t="str">
        <f t="shared" ref="B105:K105" si="99">L45</f>
        <v>Loss</v>
      </c>
      <c r="C105" s="2" t="str">
        <f t="shared" si="99"/>
        <v/>
      </c>
      <c r="D105" s="152">
        <f t="shared" si="99"/>
        <v>23</v>
      </c>
      <c r="E105" s="2">
        <f t="shared" si="99"/>
        <v>9</v>
      </c>
      <c r="F105" s="2">
        <f t="shared" si="99"/>
        <v>5</v>
      </c>
      <c r="G105" s="2">
        <f t="shared" si="99"/>
        <v>4</v>
      </c>
      <c r="H105" s="2">
        <f t="shared" si="99"/>
        <v>5</v>
      </c>
      <c r="I105" s="2">
        <f t="shared" si="99"/>
        <v>23</v>
      </c>
      <c r="J105" s="2" t="str">
        <f t="shared" si="99"/>
        <v/>
      </c>
      <c r="K105" s="2" t="str">
        <f t="shared" si="99"/>
        <v/>
      </c>
      <c r="L105" s="2" t="str">
        <f t="shared" si="19"/>
        <v/>
      </c>
      <c r="M105" s="2" t="str">
        <f t="shared" si="11"/>
        <v/>
      </c>
      <c r="N105" s="152" t="str">
        <f t="shared" si="12"/>
        <v/>
      </c>
      <c r="O105" s="2" t="str">
        <f t="shared" ref="O105:S105" si="100">X45</f>
        <v/>
      </c>
      <c r="P105" s="2" t="str">
        <f t="shared" si="100"/>
        <v/>
      </c>
      <c r="Q105" s="2" t="str">
        <f t="shared" si="100"/>
        <v/>
      </c>
      <c r="R105" s="2" t="str">
        <f t="shared" si="100"/>
        <v/>
      </c>
      <c r="S105" s="2" t="str">
        <f t="shared" si="100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 hidden="1">
      <c r="A106" s="176" t="str">
        <f t="shared" si="9"/>
        <v>Eric</v>
      </c>
      <c r="B106" s="178" t="str">
        <f t="shared" ref="B106:K106" si="101">L46</f>
        <v>Loss</v>
      </c>
      <c r="C106" s="2" t="str">
        <f t="shared" si="101"/>
        <v/>
      </c>
      <c r="D106" s="152">
        <f t="shared" si="101"/>
        <v>21</v>
      </c>
      <c r="E106" s="2">
        <f t="shared" si="101"/>
        <v>10</v>
      </c>
      <c r="F106" s="2">
        <f t="shared" si="101"/>
        <v>3</v>
      </c>
      <c r="G106" s="2">
        <f t="shared" si="101"/>
        <v>6</v>
      </c>
      <c r="H106" s="2">
        <f t="shared" si="101"/>
        <v>2</v>
      </c>
      <c r="I106" s="2">
        <f t="shared" si="101"/>
        <v>31</v>
      </c>
      <c r="J106" s="2" t="str">
        <f t="shared" si="101"/>
        <v/>
      </c>
      <c r="K106" s="2" t="str">
        <f t="shared" si="101"/>
        <v/>
      </c>
      <c r="L106" s="2" t="str">
        <f t="shared" si="19"/>
        <v/>
      </c>
      <c r="M106" s="2" t="str">
        <f t="shared" si="11"/>
        <v/>
      </c>
      <c r="N106" s="152" t="str">
        <f t="shared" si="12"/>
        <v/>
      </c>
      <c r="O106" s="2" t="str">
        <f t="shared" ref="O106:S106" si="102">X46</f>
        <v/>
      </c>
      <c r="P106" s="2" t="str">
        <f t="shared" si="102"/>
        <v/>
      </c>
      <c r="Q106" s="2" t="str">
        <f t="shared" si="102"/>
        <v/>
      </c>
      <c r="R106" s="2" t="str">
        <f t="shared" si="102"/>
        <v/>
      </c>
      <c r="S106" s="2" t="str">
        <f t="shared" si="102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 hidden="1">
      <c r="A107" s="2" t="str">
        <f t="shared" si="9"/>
        <v>Ilt</v>
      </c>
      <c r="B107" s="178" t="str">
        <f t="shared" ref="B107:K107" si="103">L47</f>
        <v>Loss</v>
      </c>
      <c r="C107" s="2" t="str">
        <f t="shared" si="103"/>
        <v/>
      </c>
      <c r="D107" s="152">
        <f t="shared" si="103"/>
        <v>9</v>
      </c>
      <c r="E107" s="2">
        <f t="shared" si="103"/>
        <v>2</v>
      </c>
      <c r="F107" s="2">
        <f t="shared" si="103"/>
        <v>0</v>
      </c>
      <c r="G107" s="2">
        <f t="shared" si="103"/>
        <v>7</v>
      </c>
      <c r="H107" s="2">
        <f t="shared" si="103"/>
        <v>0</v>
      </c>
      <c r="I107" s="2">
        <f t="shared" si="103"/>
        <v>31</v>
      </c>
      <c r="J107" s="2" t="str">
        <f t="shared" si="103"/>
        <v/>
      </c>
      <c r="K107" s="2" t="str">
        <f t="shared" si="103"/>
        <v/>
      </c>
      <c r="L107" s="2" t="str">
        <f t="shared" si="19"/>
        <v/>
      </c>
      <c r="M107" s="2" t="str">
        <f t="shared" si="11"/>
        <v/>
      </c>
      <c r="N107" s="152" t="str">
        <f t="shared" si="12"/>
        <v/>
      </c>
      <c r="O107" s="2" t="str">
        <f t="shared" ref="O107:S107" si="104">X47</f>
        <v/>
      </c>
      <c r="P107" s="2" t="str">
        <f t="shared" si="104"/>
        <v/>
      </c>
      <c r="Q107" s="2" t="str">
        <f t="shared" si="104"/>
        <v/>
      </c>
      <c r="R107" s="2" t="str">
        <f t="shared" si="104"/>
        <v/>
      </c>
      <c r="S107" s="2" t="str">
        <f t="shared" si="104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 hidden="1">
      <c r="A108" s="2" t="str">
        <f t="shared" si="9"/>
        <v>Matvey</v>
      </c>
      <c r="B108" s="178" t="str">
        <f t="shared" ref="B108:K108" si="105">L48</f>
        <v>Loss</v>
      </c>
      <c r="C108" s="2" t="str">
        <f t="shared" si="105"/>
        <v/>
      </c>
      <c r="D108" s="152">
        <f t="shared" si="105"/>
        <v>19</v>
      </c>
      <c r="E108" s="2">
        <f t="shared" si="105"/>
        <v>8</v>
      </c>
      <c r="F108" s="2">
        <f t="shared" si="105"/>
        <v>1</v>
      </c>
      <c r="G108" s="2">
        <f t="shared" si="105"/>
        <v>10</v>
      </c>
      <c r="H108" s="2">
        <f t="shared" si="105"/>
        <v>0</v>
      </c>
      <c r="I108" s="2">
        <f t="shared" si="105"/>
        <v>30</v>
      </c>
      <c r="J108" s="2" t="str">
        <f t="shared" si="105"/>
        <v/>
      </c>
      <c r="K108" s="2" t="str">
        <f t="shared" si="105"/>
        <v/>
      </c>
      <c r="L108" s="2" t="str">
        <f t="shared" si="19"/>
        <v/>
      </c>
      <c r="M108" s="2" t="str">
        <f t="shared" si="11"/>
        <v/>
      </c>
      <c r="N108" s="152" t="str">
        <f t="shared" si="12"/>
        <v/>
      </c>
      <c r="O108" s="2" t="str">
        <f t="shared" ref="O108:S108" si="106">X48</f>
        <v/>
      </c>
      <c r="P108" s="2" t="str">
        <f t="shared" si="106"/>
        <v/>
      </c>
      <c r="Q108" s="2" t="str">
        <f t="shared" si="106"/>
        <v/>
      </c>
      <c r="R108" s="2" t="str">
        <f t="shared" si="106"/>
        <v/>
      </c>
      <c r="S108" s="2" t="str">
        <f t="shared" si="106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 hidden="1">
      <c r="A109" s="2" t="str">
        <f t="shared" si="9"/>
        <v>James</v>
      </c>
      <c r="B109" s="178" t="str">
        <f t="shared" ref="B109:K109" si="107">L49</f>
        <v>Loss</v>
      </c>
      <c r="C109" s="2" t="str">
        <f t="shared" si="107"/>
        <v/>
      </c>
      <c r="D109" s="152" t="str">
        <f t="shared" si="107"/>
        <v/>
      </c>
      <c r="E109" s="2" t="str">
        <f t="shared" si="107"/>
        <v/>
      </c>
      <c r="F109" s="2" t="str">
        <f t="shared" si="107"/>
        <v/>
      </c>
      <c r="G109" s="2" t="str">
        <f t="shared" si="107"/>
        <v/>
      </c>
      <c r="H109" s="2" t="str">
        <f t="shared" si="107"/>
        <v/>
      </c>
      <c r="I109" s="2" t="str">
        <f t="shared" si="107"/>
        <v/>
      </c>
      <c r="J109" s="2" t="str">
        <f t="shared" si="107"/>
        <v/>
      </c>
      <c r="K109" s="2" t="str">
        <f t="shared" si="107"/>
        <v/>
      </c>
      <c r="L109" s="2" t="str">
        <f t="shared" si="19"/>
        <v/>
      </c>
      <c r="M109" s="2" t="str">
        <f t="shared" si="11"/>
        <v/>
      </c>
      <c r="N109" s="152" t="str">
        <f t="shared" si="12"/>
        <v/>
      </c>
      <c r="O109" s="2" t="str">
        <f t="shared" ref="O109:S109" si="108">X49</f>
        <v/>
      </c>
      <c r="P109" s="2" t="str">
        <f t="shared" si="108"/>
        <v/>
      </c>
      <c r="Q109" s="2" t="str">
        <f t="shared" si="108"/>
        <v/>
      </c>
      <c r="R109" s="2" t="str">
        <f t="shared" si="108"/>
        <v/>
      </c>
      <c r="S109" s="2" t="str">
        <f t="shared" si="108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 hidden="1">
      <c r="A110" s="2" t="str">
        <f t="shared" si="9"/>
        <v>Sebastian</v>
      </c>
      <c r="B110" s="178" t="str">
        <f t="shared" ref="B110:K110" si="109">L50</f>
        <v>Loss</v>
      </c>
      <c r="C110" s="2" t="str">
        <f t="shared" si="109"/>
        <v/>
      </c>
      <c r="D110" s="152">
        <f t="shared" si="109"/>
        <v>10</v>
      </c>
      <c r="E110" s="2">
        <f t="shared" si="109"/>
        <v>1</v>
      </c>
      <c r="F110" s="2">
        <f t="shared" si="109"/>
        <v>0</v>
      </c>
      <c r="G110" s="2">
        <f t="shared" si="109"/>
        <v>9</v>
      </c>
      <c r="H110" s="2">
        <f t="shared" si="109"/>
        <v>0</v>
      </c>
      <c r="I110" s="2">
        <f t="shared" si="109"/>
        <v>32</v>
      </c>
      <c r="J110" s="2" t="str">
        <f t="shared" si="109"/>
        <v/>
      </c>
      <c r="K110" s="2" t="str">
        <f t="shared" si="109"/>
        <v/>
      </c>
      <c r="L110" s="2" t="str">
        <f t="shared" si="19"/>
        <v/>
      </c>
      <c r="M110" s="2" t="str">
        <f t="shared" si="11"/>
        <v/>
      </c>
      <c r="N110" s="152" t="str">
        <f t="shared" si="12"/>
        <v/>
      </c>
      <c r="O110" s="2" t="str">
        <f t="shared" ref="O110:S110" si="110">X50</f>
        <v/>
      </c>
      <c r="P110" s="2" t="str">
        <f t="shared" si="110"/>
        <v/>
      </c>
      <c r="Q110" s="2" t="str">
        <f t="shared" si="110"/>
        <v/>
      </c>
      <c r="R110" s="2" t="str">
        <f t="shared" si="110"/>
        <v/>
      </c>
      <c r="S110" s="2" t="str">
        <f t="shared" si="110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 hidden="1">
      <c r="A111" s="2" t="str">
        <f t="shared" si="9"/>
        <v>Erik</v>
      </c>
      <c r="B111" s="178" t="str">
        <f t="shared" ref="B111:K111" si="111">L51</f>
        <v>Loss</v>
      </c>
      <c r="C111" s="2" t="str">
        <f t="shared" si="111"/>
        <v/>
      </c>
      <c r="D111" s="152" t="str">
        <f t="shared" si="111"/>
        <v/>
      </c>
      <c r="E111" s="2" t="str">
        <f t="shared" si="111"/>
        <v/>
      </c>
      <c r="F111" s="2" t="str">
        <f t="shared" si="111"/>
        <v/>
      </c>
      <c r="G111" s="2" t="str">
        <f t="shared" si="111"/>
        <v/>
      </c>
      <c r="H111" s="2" t="str">
        <f t="shared" si="111"/>
        <v/>
      </c>
      <c r="I111" s="2" t="str">
        <f t="shared" si="111"/>
        <v/>
      </c>
      <c r="J111" s="2" t="str">
        <f t="shared" si="111"/>
        <v/>
      </c>
      <c r="K111" s="2" t="str">
        <f t="shared" si="111"/>
        <v/>
      </c>
      <c r="L111" s="2" t="str">
        <f t="shared" si="19"/>
        <v/>
      </c>
      <c r="M111" s="2" t="str">
        <f t="shared" si="11"/>
        <v/>
      </c>
      <c r="N111" s="152" t="str">
        <f t="shared" si="12"/>
        <v/>
      </c>
      <c r="O111" s="2" t="str">
        <f t="shared" ref="O111:S111" si="112">X51</f>
        <v/>
      </c>
      <c r="P111" s="2" t="str">
        <f t="shared" si="112"/>
        <v/>
      </c>
      <c r="Q111" s="2" t="str">
        <f t="shared" si="112"/>
        <v/>
      </c>
      <c r="R111" s="2" t="str">
        <f t="shared" si="112"/>
        <v/>
      </c>
      <c r="S111" s="2" t="str">
        <f t="shared" si="112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 hidden="1">
      <c r="A112" s="176" t="str">
        <f t="shared" si="9"/>
        <v>Jack</v>
      </c>
      <c r="B112" s="178" t="str">
        <f t="shared" ref="B112:K112" si="113">L52</f>
        <v>Loss</v>
      </c>
      <c r="C112" s="2" t="str">
        <f t="shared" si="113"/>
        <v/>
      </c>
      <c r="D112" s="152" t="str">
        <f t="shared" si="113"/>
        <v/>
      </c>
      <c r="E112" s="2" t="str">
        <f t="shared" si="113"/>
        <v/>
      </c>
      <c r="F112" s="2" t="str">
        <f t="shared" si="113"/>
        <v/>
      </c>
      <c r="G112" s="2" t="str">
        <f t="shared" si="113"/>
        <v/>
      </c>
      <c r="H112" s="2" t="str">
        <f t="shared" si="113"/>
        <v/>
      </c>
      <c r="I112" s="2" t="str">
        <f t="shared" si="113"/>
        <v/>
      </c>
      <c r="J112" s="2" t="str">
        <f t="shared" si="113"/>
        <v/>
      </c>
      <c r="K112" s="2" t="str">
        <f t="shared" si="113"/>
        <v/>
      </c>
      <c r="L112" s="2" t="str">
        <f t="shared" si="19"/>
        <v/>
      </c>
      <c r="M112" s="2" t="str">
        <f t="shared" si="11"/>
        <v/>
      </c>
      <c r="N112" s="152" t="str">
        <f t="shared" si="12"/>
        <v/>
      </c>
      <c r="O112" s="2" t="str">
        <f t="shared" ref="O112:S112" si="114">X52</f>
        <v/>
      </c>
      <c r="P112" s="2" t="str">
        <f t="shared" si="114"/>
        <v/>
      </c>
      <c r="Q112" s="2" t="str">
        <f t="shared" si="114"/>
        <v/>
      </c>
      <c r="R112" s="2" t="str">
        <f t="shared" si="114"/>
        <v/>
      </c>
      <c r="S112" s="2" t="str">
        <f t="shared" si="114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 hidden="1">
      <c r="A113" s="2" t="str">
        <f t="shared" si="9"/>
        <v/>
      </c>
      <c r="B113" s="178" t="str">
        <f t="shared" ref="B113:K113" si="115">L53</f>
        <v>Loss</v>
      </c>
      <c r="C113" s="2" t="str">
        <f t="shared" si="115"/>
        <v/>
      </c>
      <c r="D113" s="152" t="str">
        <f t="shared" si="115"/>
        <v/>
      </c>
      <c r="E113" s="2" t="str">
        <f t="shared" si="115"/>
        <v/>
      </c>
      <c r="F113" s="2" t="str">
        <f t="shared" si="115"/>
        <v/>
      </c>
      <c r="G113" s="2" t="str">
        <f t="shared" si="115"/>
        <v/>
      </c>
      <c r="H113" s="2" t="str">
        <f t="shared" si="115"/>
        <v/>
      </c>
      <c r="I113" s="2" t="str">
        <f t="shared" si="115"/>
        <v/>
      </c>
      <c r="J113" s="2" t="str">
        <f t="shared" si="115"/>
        <v/>
      </c>
      <c r="K113" s="2" t="str">
        <f t="shared" si="115"/>
        <v/>
      </c>
      <c r="L113" s="2" t="str">
        <f t="shared" si="19"/>
        <v/>
      </c>
      <c r="M113" s="2" t="str">
        <f t="shared" si="11"/>
        <v/>
      </c>
      <c r="N113" s="152" t="str">
        <f t="shared" si="12"/>
        <v/>
      </c>
      <c r="O113" s="2" t="str">
        <f t="shared" ref="O113:S113" si="116">X53</f>
        <v/>
      </c>
      <c r="P113" s="2" t="str">
        <f t="shared" si="116"/>
        <v/>
      </c>
      <c r="Q113" s="2" t="str">
        <f t="shared" si="116"/>
        <v/>
      </c>
      <c r="R113" s="2" t="str">
        <f t="shared" si="116"/>
        <v/>
      </c>
      <c r="S113" s="2" t="str">
        <f t="shared" si="116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 hidden="1">
      <c r="A114" s="2" t="str">
        <f t="shared" si="9"/>
        <v/>
      </c>
      <c r="B114" s="178" t="str">
        <f t="shared" ref="B114:K114" si="117">L54</f>
        <v>Loss</v>
      </c>
      <c r="C114" s="2" t="str">
        <f t="shared" si="117"/>
        <v/>
      </c>
      <c r="D114" s="152" t="str">
        <f t="shared" si="117"/>
        <v/>
      </c>
      <c r="E114" s="2" t="str">
        <f t="shared" si="117"/>
        <v/>
      </c>
      <c r="F114" s="2" t="str">
        <f t="shared" si="117"/>
        <v/>
      </c>
      <c r="G114" s="2" t="str">
        <f t="shared" si="117"/>
        <v/>
      </c>
      <c r="H114" s="2" t="str">
        <f t="shared" si="117"/>
        <v/>
      </c>
      <c r="I114" s="2" t="str">
        <f t="shared" si="117"/>
        <v/>
      </c>
      <c r="J114" s="2" t="str">
        <f t="shared" si="117"/>
        <v/>
      </c>
      <c r="K114" s="2" t="str">
        <f t="shared" si="117"/>
        <v/>
      </c>
      <c r="L114" s="2" t="str">
        <f t="shared" si="19"/>
        <v/>
      </c>
      <c r="M114" s="2" t="str">
        <f t="shared" si="11"/>
        <v/>
      </c>
      <c r="N114" s="152" t="str">
        <f t="shared" si="12"/>
        <v/>
      </c>
      <c r="O114" s="2" t="str">
        <f t="shared" ref="O114:S114" si="118">X54</f>
        <v/>
      </c>
      <c r="P114" s="2" t="str">
        <f t="shared" si="118"/>
        <v/>
      </c>
      <c r="Q114" s="2" t="str">
        <f t="shared" si="118"/>
        <v/>
      </c>
      <c r="R114" s="2" t="str">
        <f t="shared" si="118"/>
        <v/>
      </c>
      <c r="S114" s="2" t="str">
        <f t="shared" si="118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 hidden="1">
      <c r="A115" s="2" t="str">
        <f t="shared" si="9"/>
        <v/>
      </c>
      <c r="B115" s="178" t="str">
        <f t="shared" ref="B115:K115" si="119">L55</f>
        <v>Loss</v>
      </c>
      <c r="C115" s="2" t="str">
        <f t="shared" si="119"/>
        <v/>
      </c>
      <c r="D115" s="152" t="str">
        <f t="shared" si="119"/>
        <v/>
      </c>
      <c r="E115" s="2" t="str">
        <f t="shared" si="119"/>
        <v/>
      </c>
      <c r="F115" s="2" t="str">
        <f t="shared" si="119"/>
        <v/>
      </c>
      <c r="G115" s="2" t="str">
        <f t="shared" si="119"/>
        <v/>
      </c>
      <c r="H115" s="2" t="str">
        <f t="shared" si="119"/>
        <v/>
      </c>
      <c r="I115" s="2" t="str">
        <f t="shared" si="119"/>
        <v/>
      </c>
      <c r="J115" s="2" t="str">
        <f t="shared" si="119"/>
        <v/>
      </c>
      <c r="K115" s="2" t="str">
        <f t="shared" si="119"/>
        <v/>
      </c>
      <c r="L115" s="2" t="str">
        <f t="shared" si="19"/>
        <v/>
      </c>
      <c r="M115" s="2" t="str">
        <f t="shared" si="11"/>
        <v/>
      </c>
      <c r="N115" s="152" t="str">
        <f t="shared" si="12"/>
        <v/>
      </c>
      <c r="O115" s="2" t="str">
        <f t="shared" ref="O115:S115" si="120">X55</f>
        <v/>
      </c>
      <c r="P115" s="2" t="str">
        <f t="shared" si="120"/>
        <v/>
      </c>
      <c r="Q115" s="2" t="str">
        <f t="shared" si="120"/>
        <v/>
      </c>
      <c r="R115" s="2" t="str">
        <f t="shared" si="120"/>
        <v/>
      </c>
      <c r="S115" s="2" t="str">
        <f t="shared" si="120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 hidden="1">
      <c r="A116" s="2" t="str">
        <f t="shared" si="9"/>
        <v/>
      </c>
      <c r="B116" s="178" t="str">
        <f t="shared" ref="B116:K116" si="121">L56</f>
        <v>Loss</v>
      </c>
      <c r="C116" s="2" t="str">
        <f t="shared" si="121"/>
        <v/>
      </c>
      <c r="D116" s="152" t="str">
        <f t="shared" si="121"/>
        <v/>
      </c>
      <c r="E116" s="2" t="str">
        <f t="shared" si="121"/>
        <v/>
      </c>
      <c r="F116" s="2" t="str">
        <f t="shared" si="121"/>
        <v/>
      </c>
      <c r="G116" s="2" t="str">
        <f t="shared" si="121"/>
        <v/>
      </c>
      <c r="H116" s="2" t="str">
        <f t="shared" si="121"/>
        <v/>
      </c>
      <c r="I116" s="2" t="str">
        <f t="shared" si="121"/>
        <v/>
      </c>
      <c r="J116" s="2" t="str">
        <f t="shared" si="121"/>
        <v/>
      </c>
      <c r="K116" s="2" t="str">
        <f t="shared" si="121"/>
        <v/>
      </c>
      <c r="L116" s="2" t="str">
        <f t="shared" si="19"/>
        <v/>
      </c>
      <c r="M116" s="2" t="str">
        <f t="shared" si="11"/>
        <v/>
      </c>
      <c r="N116" s="152" t="str">
        <f t="shared" si="12"/>
        <v/>
      </c>
      <c r="O116" s="2" t="str">
        <f t="shared" ref="O116:S116" si="122">X56</f>
        <v/>
      </c>
      <c r="P116" s="2" t="str">
        <f t="shared" si="122"/>
        <v/>
      </c>
      <c r="Q116" s="2" t="str">
        <f t="shared" si="122"/>
        <v/>
      </c>
      <c r="R116" s="2" t="str">
        <f t="shared" si="122"/>
        <v/>
      </c>
      <c r="S116" s="2" t="str">
        <f t="shared" si="122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 hidden="1">
      <c r="A117" s="2" t="str">
        <f t="shared" si="9"/>
        <v/>
      </c>
      <c r="B117" s="178" t="str">
        <f t="shared" ref="B117:K117" si="123">L57</f>
        <v>Loss</v>
      </c>
      <c r="C117" s="2" t="str">
        <f t="shared" si="123"/>
        <v/>
      </c>
      <c r="D117" s="152" t="str">
        <f t="shared" si="123"/>
        <v/>
      </c>
      <c r="E117" s="2" t="str">
        <f t="shared" si="123"/>
        <v/>
      </c>
      <c r="F117" s="2" t="str">
        <f t="shared" si="123"/>
        <v/>
      </c>
      <c r="G117" s="2" t="str">
        <f t="shared" si="123"/>
        <v/>
      </c>
      <c r="H117" s="2" t="str">
        <f t="shared" si="123"/>
        <v/>
      </c>
      <c r="I117" s="2" t="str">
        <f t="shared" si="123"/>
        <v/>
      </c>
      <c r="J117" s="2" t="str">
        <f t="shared" si="123"/>
        <v/>
      </c>
      <c r="K117" s="2" t="str">
        <f t="shared" si="123"/>
        <v/>
      </c>
      <c r="L117" s="2" t="str">
        <f t="shared" si="19"/>
        <v/>
      </c>
      <c r="M117" s="2" t="str">
        <f t="shared" si="11"/>
        <v/>
      </c>
      <c r="N117" s="152" t="str">
        <f t="shared" si="12"/>
        <v/>
      </c>
      <c r="O117" s="2" t="str">
        <f t="shared" ref="O117:S117" si="124">X57</f>
        <v/>
      </c>
      <c r="P117" s="2" t="str">
        <f t="shared" si="124"/>
        <v/>
      </c>
      <c r="Q117" s="2" t="str">
        <f t="shared" si="124"/>
        <v/>
      </c>
      <c r="R117" s="2" t="str">
        <f t="shared" si="124"/>
        <v/>
      </c>
      <c r="S117" s="2" t="str">
        <f t="shared" si="124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 hidden="1">
      <c r="A118" s="176" t="str">
        <f t="shared" si="9"/>
        <v>Pulled Cups</v>
      </c>
      <c r="B118" s="178" t="str">
        <f t="shared" ref="B118:K118" si="125">L58</f>
        <v/>
      </c>
      <c r="C118" s="2" t="str">
        <f t="shared" si="125"/>
        <v/>
      </c>
      <c r="D118" s="152" t="str">
        <f t="shared" si="125"/>
        <v/>
      </c>
      <c r="E118" s="2" t="str">
        <f t="shared" si="125"/>
        <v/>
      </c>
      <c r="F118" s="2" t="str">
        <f t="shared" si="125"/>
        <v/>
      </c>
      <c r="G118" s="2" t="str">
        <f t="shared" si="125"/>
        <v/>
      </c>
      <c r="H118" s="2" t="str">
        <f t="shared" si="125"/>
        <v/>
      </c>
      <c r="I118" s="2" t="str">
        <f t="shared" si="125"/>
        <v/>
      </c>
      <c r="J118" s="2" t="str">
        <f t="shared" si="125"/>
        <v/>
      </c>
      <c r="K118" s="2" t="str">
        <f t="shared" si="125"/>
        <v/>
      </c>
      <c r="L118" s="2" t="str">
        <f t="shared" si="19"/>
        <v/>
      </c>
      <c r="M118" s="2" t="str">
        <f t="shared" si="11"/>
        <v/>
      </c>
      <c r="N118" s="152" t="str">
        <f t="shared" si="12"/>
        <v/>
      </c>
      <c r="O118" s="2" t="str">
        <f t="shared" ref="O118:S118" si="126">X58</f>
        <v/>
      </c>
      <c r="P118" s="2" t="str">
        <f t="shared" si="126"/>
        <v/>
      </c>
      <c r="Q118" s="2" t="str">
        <f t="shared" si="126"/>
        <v/>
      </c>
      <c r="R118" s="2" t="str">
        <f t="shared" si="126"/>
        <v/>
      </c>
      <c r="S118" s="2" t="str">
        <f t="shared" si="126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 hidden="1">
      <c r="A119" s="176" t="str">
        <f t="shared" si="9"/>
        <v>Total</v>
      </c>
      <c r="B119" s="178" t="str">
        <f t="shared" ref="B119:K119" si="127">L59</f>
        <v/>
      </c>
      <c r="C119" s="2" t="str">
        <f t="shared" si="127"/>
        <v/>
      </c>
      <c r="D119" s="129">
        <f t="shared" si="127"/>
        <v>97</v>
      </c>
      <c r="E119" s="2" t="str">
        <f t="shared" si="127"/>
        <v/>
      </c>
      <c r="F119" s="2" t="str">
        <f t="shared" si="127"/>
        <v/>
      </c>
      <c r="G119" s="2" t="str">
        <f t="shared" si="127"/>
        <v/>
      </c>
      <c r="H119" s="2" t="str">
        <f t="shared" si="127"/>
        <v/>
      </c>
      <c r="I119" s="128">
        <f t="shared" si="127"/>
        <v>0.3540145985</v>
      </c>
      <c r="J119" s="2" t="str">
        <f t="shared" si="127"/>
        <v/>
      </c>
      <c r="K119" s="2" t="str">
        <f t="shared" si="127"/>
        <v/>
      </c>
      <c r="L119" s="2" t="str">
        <f t="shared" si="19"/>
        <v/>
      </c>
      <c r="M119" s="2" t="str">
        <f t="shared" si="11"/>
        <v/>
      </c>
      <c r="N119" s="129" t="str">
        <f t="shared" si="12"/>
        <v/>
      </c>
      <c r="O119" s="2" t="str">
        <f t="shared" ref="O119:S119" si="128">X59</f>
        <v/>
      </c>
      <c r="P119" s="2" t="str">
        <f t="shared" si="128"/>
        <v/>
      </c>
      <c r="Q119" s="2" t="str">
        <f t="shared" si="128"/>
        <v/>
      </c>
      <c r="R119" s="2" t="str">
        <f t="shared" si="128"/>
        <v/>
      </c>
      <c r="S119" s="2" t="str">
        <f t="shared" si="128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 hidden="1">
      <c r="A120" s="2" t="str">
        <f t="shared" si="9"/>
        <v/>
      </c>
      <c r="B120" s="2" t="str">
        <f t="shared" ref="B120:B175" si="131">M60</f>
        <v/>
      </c>
      <c r="C120" s="2" t="str">
        <f t="shared" ref="C120:K120" si="129">M60</f>
        <v/>
      </c>
      <c r="D120" s="2" t="str">
        <f t="shared" si="129"/>
        <v/>
      </c>
      <c r="E120" s="2" t="str">
        <f t="shared" si="129"/>
        <v/>
      </c>
      <c r="F120" s="2" t="str">
        <f t="shared" si="129"/>
        <v/>
      </c>
      <c r="G120" s="2" t="str">
        <f t="shared" si="129"/>
        <v/>
      </c>
      <c r="H120" s="2" t="str">
        <f t="shared" si="129"/>
        <v/>
      </c>
      <c r="I120" s="2" t="str">
        <f t="shared" si="129"/>
        <v/>
      </c>
      <c r="J120" s="2" t="str">
        <f t="shared" si="129"/>
        <v/>
      </c>
      <c r="K120" s="2" t="str">
        <f t="shared" si="129"/>
        <v/>
      </c>
      <c r="L120" s="2" t="str">
        <f t="shared" si="19"/>
        <v/>
      </c>
      <c r="M120" s="2" t="str">
        <f t="shared" si="11"/>
        <v/>
      </c>
      <c r="N120" s="2" t="str">
        <f t="shared" si="12"/>
        <v/>
      </c>
      <c r="O120" s="2" t="str">
        <f t="shared" ref="O120:S120" si="130">X60</f>
        <v/>
      </c>
      <c r="P120" s="2" t="str">
        <f t="shared" si="130"/>
        <v/>
      </c>
      <c r="Q120" s="2" t="str">
        <f t="shared" si="130"/>
        <v/>
      </c>
      <c r="R120" s="2" t="str">
        <f t="shared" si="130"/>
        <v/>
      </c>
      <c r="S120" s="2" t="str">
        <f t="shared" si="130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31"/>
        <v/>
      </c>
      <c r="C121" s="2" t="str">
        <f t="shared" ref="C121:K121" si="132">M61</f>
        <v/>
      </c>
      <c r="D121" s="2" t="str">
        <f t="shared" si="132"/>
        <v/>
      </c>
      <c r="E121" s="2" t="str">
        <f t="shared" si="132"/>
        <v/>
      </c>
      <c r="F121" s="2" t="str">
        <f t="shared" si="132"/>
        <v/>
      </c>
      <c r="G121" s="2" t="str">
        <f t="shared" si="132"/>
        <v/>
      </c>
      <c r="H121" s="2" t="str">
        <f t="shared" si="132"/>
        <v/>
      </c>
      <c r="I121" s="2" t="str">
        <f t="shared" si="132"/>
        <v/>
      </c>
      <c r="J121" s="2" t="str">
        <f t="shared" si="132"/>
        <v/>
      </c>
      <c r="K121" s="2" t="str">
        <f t="shared" si="132"/>
        <v/>
      </c>
      <c r="L121" s="2" t="str">
        <f t="shared" si="19"/>
        <v/>
      </c>
      <c r="M121" s="2" t="str">
        <f t="shared" si="11"/>
        <v/>
      </c>
      <c r="N121" s="2" t="str">
        <f t="shared" si="12"/>
        <v/>
      </c>
      <c r="O121" s="2" t="str">
        <f t="shared" ref="O121:S121" si="133">X61</f>
        <v/>
      </c>
      <c r="P121" s="2" t="str">
        <f t="shared" si="133"/>
        <v/>
      </c>
      <c r="Q121" s="2" t="str">
        <f t="shared" si="133"/>
        <v/>
      </c>
      <c r="R121" s="2" t="str">
        <f t="shared" si="133"/>
        <v/>
      </c>
      <c r="S121" s="2" t="str">
        <f t="shared" si="133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31"/>
        <v/>
      </c>
      <c r="C122" s="2" t="str">
        <f t="shared" ref="C122:K122" si="134">M62</f>
        <v/>
      </c>
      <c r="D122" s="2" t="str">
        <f t="shared" si="134"/>
        <v/>
      </c>
      <c r="E122" s="2" t="str">
        <f t="shared" si="134"/>
        <v/>
      </c>
      <c r="F122" s="2" t="str">
        <f t="shared" si="134"/>
        <v/>
      </c>
      <c r="G122" s="2" t="str">
        <f t="shared" si="134"/>
        <v/>
      </c>
      <c r="H122" s="2" t="str">
        <f t="shared" si="134"/>
        <v/>
      </c>
      <c r="I122" s="2" t="str">
        <f t="shared" si="134"/>
        <v/>
      </c>
      <c r="J122" s="2" t="str">
        <f t="shared" si="134"/>
        <v/>
      </c>
      <c r="K122" s="2" t="str">
        <f t="shared" si="134"/>
        <v/>
      </c>
      <c r="L122" s="2" t="str">
        <f t="shared" si="19"/>
        <v/>
      </c>
      <c r="M122" s="2" t="str">
        <f t="shared" si="11"/>
        <v/>
      </c>
      <c r="N122" s="2" t="str">
        <f t="shared" si="12"/>
        <v/>
      </c>
      <c r="O122" s="2" t="str">
        <f t="shared" ref="O122:S122" si="135">X62</f>
        <v/>
      </c>
      <c r="P122" s="2" t="str">
        <f t="shared" si="135"/>
        <v/>
      </c>
      <c r="Q122" s="2" t="str">
        <f t="shared" si="135"/>
        <v/>
      </c>
      <c r="R122" s="2" t="str">
        <f t="shared" si="135"/>
        <v/>
      </c>
      <c r="S122" s="2" t="str">
        <f t="shared" si="135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31"/>
        <v/>
      </c>
      <c r="C123" s="2" t="str">
        <f t="shared" ref="C123:K123" si="136">M63</f>
        <v/>
      </c>
      <c r="D123" s="2" t="str">
        <f t="shared" si="136"/>
        <v/>
      </c>
      <c r="E123" s="2" t="str">
        <f t="shared" si="136"/>
        <v/>
      </c>
      <c r="F123" s="2" t="str">
        <f t="shared" si="136"/>
        <v/>
      </c>
      <c r="G123" s="2" t="str">
        <f t="shared" si="136"/>
        <v/>
      </c>
      <c r="H123" s="2" t="str">
        <f t="shared" si="136"/>
        <v/>
      </c>
      <c r="I123" s="2" t="str">
        <f t="shared" si="136"/>
        <v/>
      </c>
      <c r="J123" s="2" t="str">
        <f t="shared" si="136"/>
        <v/>
      </c>
      <c r="K123" s="2" t="str">
        <f t="shared" si="136"/>
        <v/>
      </c>
      <c r="L123" s="2" t="str">
        <f t="shared" si="19"/>
        <v/>
      </c>
      <c r="M123" s="2" t="str">
        <f t="shared" si="11"/>
        <v/>
      </c>
      <c r="N123" s="2" t="str">
        <f t="shared" si="12"/>
        <v/>
      </c>
      <c r="O123" s="2" t="str">
        <f t="shared" ref="O123:S123" si="137">X63</f>
        <v/>
      </c>
      <c r="P123" s="2" t="str">
        <f t="shared" si="137"/>
        <v/>
      </c>
      <c r="Q123" s="2" t="str">
        <f t="shared" si="137"/>
        <v/>
      </c>
      <c r="R123" s="2" t="str">
        <f t="shared" si="137"/>
        <v/>
      </c>
      <c r="S123" s="2" t="str">
        <f t="shared" si="137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31"/>
        <v/>
      </c>
      <c r="C124" s="2" t="str">
        <f t="shared" ref="C124:K124" si="138">M64</f>
        <v/>
      </c>
      <c r="D124" s="2" t="str">
        <f t="shared" si="138"/>
        <v/>
      </c>
      <c r="E124" s="2" t="str">
        <f t="shared" si="138"/>
        <v/>
      </c>
      <c r="F124" s="2" t="str">
        <f t="shared" si="138"/>
        <v/>
      </c>
      <c r="G124" s="2" t="str">
        <f t="shared" si="138"/>
        <v/>
      </c>
      <c r="H124" s="2" t="str">
        <f t="shared" si="138"/>
        <v/>
      </c>
      <c r="I124" s="2" t="str">
        <f t="shared" si="138"/>
        <v/>
      </c>
      <c r="J124" s="2" t="str">
        <f t="shared" si="138"/>
        <v/>
      </c>
      <c r="K124" s="2" t="str">
        <f t="shared" si="138"/>
        <v/>
      </c>
      <c r="L124" s="2" t="str">
        <f t="shared" si="19"/>
        <v/>
      </c>
      <c r="M124" s="2" t="str">
        <f t="shared" si="11"/>
        <v/>
      </c>
      <c r="N124" s="2" t="str">
        <f t="shared" si="12"/>
        <v/>
      </c>
      <c r="O124" s="2" t="str">
        <f t="shared" ref="O124:S124" si="139">X64</f>
        <v/>
      </c>
      <c r="P124" s="2" t="str">
        <f t="shared" si="139"/>
        <v/>
      </c>
      <c r="Q124" s="2" t="str">
        <f t="shared" si="139"/>
        <v/>
      </c>
      <c r="R124" s="2" t="str">
        <f t="shared" si="139"/>
        <v/>
      </c>
      <c r="S124" s="2" t="str">
        <f t="shared" si="139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31"/>
        <v/>
      </c>
      <c r="C125" s="2" t="str">
        <f t="shared" ref="C125:K125" si="140">M65</f>
        <v/>
      </c>
      <c r="D125" s="2" t="str">
        <f t="shared" si="140"/>
        <v/>
      </c>
      <c r="E125" s="2" t="str">
        <f t="shared" si="140"/>
        <v/>
      </c>
      <c r="F125" s="2" t="str">
        <f t="shared" si="140"/>
        <v/>
      </c>
      <c r="G125" s="2" t="str">
        <f t="shared" si="140"/>
        <v/>
      </c>
      <c r="H125" s="2" t="str">
        <f t="shared" si="140"/>
        <v/>
      </c>
      <c r="I125" s="2" t="str">
        <f t="shared" si="140"/>
        <v/>
      </c>
      <c r="J125" s="2" t="str">
        <f t="shared" si="140"/>
        <v/>
      </c>
      <c r="K125" s="2" t="str">
        <f t="shared" si="140"/>
        <v/>
      </c>
      <c r="L125" s="2" t="str">
        <f t="shared" si="19"/>
        <v/>
      </c>
      <c r="M125" s="2" t="str">
        <f t="shared" si="11"/>
        <v/>
      </c>
      <c r="N125" s="2" t="str">
        <f t="shared" si="12"/>
        <v/>
      </c>
      <c r="O125" s="2" t="str">
        <f t="shared" ref="O125:S125" si="141">X65</f>
        <v/>
      </c>
      <c r="P125" s="2" t="str">
        <f t="shared" si="141"/>
        <v/>
      </c>
      <c r="Q125" s="2" t="str">
        <f t="shared" si="141"/>
        <v/>
      </c>
      <c r="R125" s="2" t="str">
        <f t="shared" si="141"/>
        <v/>
      </c>
      <c r="S125" s="2" t="str">
        <f t="shared" si="141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31"/>
        <v/>
      </c>
      <c r="C126" s="2" t="str">
        <f t="shared" ref="C126:K126" si="142">M66</f>
        <v/>
      </c>
      <c r="D126" s="2" t="str">
        <f t="shared" si="142"/>
        <v/>
      </c>
      <c r="E126" s="2" t="str">
        <f t="shared" si="142"/>
        <v/>
      </c>
      <c r="F126" s="2" t="str">
        <f t="shared" si="142"/>
        <v/>
      </c>
      <c r="G126" s="2" t="str">
        <f t="shared" si="142"/>
        <v/>
      </c>
      <c r="H126" s="2" t="str">
        <f t="shared" si="142"/>
        <v/>
      </c>
      <c r="I126" s="2" t="str">
        <f t="shared" si="142"/>
        <v/>
      </c>
      <c r="J126" s="2" t="str">
        <f t="shared" si="142"/>
        <v/>
      </c>
      <c r="K126" s="2" t="str">
        <f t="shared" si="142"/>
        <v/>
      </c>
      <c r="L126" s="2" t="str">
        <f t="shared" si="19"/>
        <v/>
      </c>
      <c r="M126" s="2" t="str">
        <f t="shared" si="11"/>
        <v/>
      </c>
      <c r="N126" s="2" t="str">
        <f t="shared" si="12"/>
        <v/>
      </c>
      <c r="O126" s="2" t="str">
        <f t="shared" ref="O126:S126" si="143">X66</f>
        <v/>
      </c>
      <c r="P126" s="2" t="str">
        <f t="shared" si="143"/>
        <v/>
      </c>
      <c r="Q126" s="2" t="str">
        <f t="shared" si="143"/>
        <v/>
      </c>
      <c r="R126" s="2" t="str">
        <f t="shared" si="143"/>
        <v/>
      </c>
      <c r="S126" s="2" t="str">
        <f t="shared" si="143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31"/>
        <v/>
      </c>
      <c r="C127" s="2" t="str">
        <f t="shared" ref="C127:K127" si="144">M67</f>
        <v/>
      </c>
      <c r="D127" s="2" t="str">
        <f t="shared" si="144"/>
        <v/>
      </c>
      <c r="E127" s="2" t="str">
        <f t="shared" si="144"/>
        <v/>
      </c>
      <c r="F127" s="2" t="str">
        <f t="shared" si="144"/>
        <v/>
      </c>
      <c r="G127" s="2" t="str">
        <f t="shared" si="144"/>
        <v/>
      </c>
      <c r="H127" s="2" t="str">
        <f t="shared" si="144"/>
        <v/>
      </c>
      <c r="I127" s="2" t="str">
        <f t="shared" si="144"/>
        <v/>
      </c>
      <c r="J127" s="2" t="str">
        <f t="shared" si="144"/>
        <v/>
      </c>
      <c r="K127" s="2" t="str">
        <f t="shared" si="144"/>
        <v/>
      </c>
      <c r="L127" s="2" t="str">
        <f t="shared" si="19"/>
        <v/>
      </c>
      <c r="M127" s="2" t="str">
        <f t="shared" si="11"/>
        <v/>
      </c>
      <c r="N127" s="2" t="str">
        <f t="shared" si="12"/>
        <v/>
      </c>
      <c r="O127" s="2" t="str">
        <f t="shared" ref="O127:S127" si="145">X67</f>
        <v/>
      </c>
      <c r="P127" s="2" t="str">
        <f t="shared" si="145"/>
        <v/>
      </c>
      <c r="Q127" s="2" t="str">
        <f t="shared" si="145"/>
        <v/>
      </c>
      <c r="R127" s="2" t="str">
        <f t="shared" si="145"/>
        <v/>
      </c>
      <c r="S127" s="2" t="str">
        <f t="shared" si="145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31"/>
        <v/>
      </c>
      <c r="C128" s="2" t="str">
        <f t="shared" ref="C128:K128" si="146">M68</f>
        <v/>
      </c>
      <c r="D128" s="2" t="str">
        <f t="shared" si="146"/>
        <v/>
      </c>
      <c r="E128" s="2" t="str">
        <f t="shared" si="146"/>
        <v/>
      </c>
      <c r="F128" s="2" t="str">
        <f t="shared" si="146"/>
        <v/>
      </c>
      <c r="G128" s="2" t="str">
        <f t="shared" si="146"/>
        <v/>
      </c>
      <c r="H128" s="2" t="str">
        <f t="shared" si="146"/>
        <v/>
      </c>
      <c r="I128" s="2" t="str">
        <f t="shared" si="146"/>
        <v/>
      </c>
      <c r="J128" s="2" t="str">
        <f t="shared" si="146"/>
        <v/>
      </c>
      <c r="K128" s="2" t="str">
        <f t="shared" si="146"/>
        <v/>
      </c>
      <c r="L128" s="2" t="str">
        <f t="shared" si="19"/>
        <v/>
      </c>
      <c r="M128" s="2" t="str">
        <f t="shared" si="11"/>
        <v/>
      </c>
      <c r="N128" s="2" t="str">
        <f t="shared" si="12"/>
        <v/>
      </c>
      <c r="O128" s="2" t="str">
        <f t="shared" ref="O128:S128" si="147">X68</f>
        <v/>
      </c>
      <c r="P128" s="2" t="str">
        <f t="shared" si="147"/>
        <v/>
      </c>
      <c r="Q128" s="2" t="str">
        <f t="shared" si="147"/>
        <v/>
      </c>
      <c r="R128" s="2" t="str">
        <f t="shared" si="147"/>
        <v/>
      </c>
      <c r="S128" s="2" t="str">
        <f t="shared" si="147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31"/>
        <v/>
      </c>
      <c r="C129" s="2" t="str">
        <f t="shared" ref="C129:K129" si="148">M69</f>
        <v/>
      </c>
      <c r="D129" s="2" t="str">
        <f t="shared" si="148"/>
        <v/>
      </c>
      <c r="E129" s="2" t="str">
        <f t="shared" si="148"/>
        <v/>
      </c>
      <c r="F129" s="2" t="str">
        <f t="shared" si="148"/>
        <v/>
      </c>
      <c r="G129" s="2" t="str">
        <f t="shared" si="148"/>
        <v/>
      </c>
      <c r="H129" s="2" t="str">
        <f t="shared" si="148"/>
        <v/>
      </c>
      <c r="I129" s="2" t="str">
        <f t="shared" si="148"/>
        <v/>
      </c>
      <c r="J129" s="2" t="str">
        <f t="shared" si="148"/>
        <v/>
      </c>
      <c r="K129" s="2" t="str">
        <f t="shared" si="148"/>
        <v/>
      </c>
      <c r="L129" s="2" t="str">
        <f t="shared" si="19"/>
        <v/>
      </c>
      <c r="M129" s="2" t="str">
        <f t="shared" si="11"/>
        <v/>
      </c>
      <c r="N129" s="2" t="str">
        <f t="shared" si="12"/>
        <v/>
      </c>
      <c r="O129" s="2" t="str">
        <f t="shared" ref="O129:S129" si="149">X69</f>
        <v/>
      </c>
      <c r="P129" s="2" t="str">
        <f t="shared" si="149"/>
        <v/>
      </c>
      <c r="Q129" s="2" t="str">
        <f t="shared" si="149"/>
        <v/>
      </c>
      <c r="R129" s="2" t="str">
        <f t="shared" si="149"/>
        <v/>
      </c>
      <c r="S129" s="2" t="str">
        <f t="shared" si="149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31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19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31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19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31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19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31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19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31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19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31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si="19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31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19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31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19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31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19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31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19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31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19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31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19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31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19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31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19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31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19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31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19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31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19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31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19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31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19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31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19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31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19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31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19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31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19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31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19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31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19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31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19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31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19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31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19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31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19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31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19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31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19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31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19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31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19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31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19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31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19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31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19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31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19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31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19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31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9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31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9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31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9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31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9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31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9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31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9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31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9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31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9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AB975">
    <cfRule type="containsText" dxfId="2" priority="1" operator="containsText" text="Win">
      <formula>NOT(ISERROR(SEARCH(("Win"),(A1))))</formula>
    </cfRule>
  </conditionalFormatting>
  <conditionalFormatting sqref="A1:AB975">
    <cfRule type="containsText" dxfId="3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Schedule'!I3</f>
        <v>Gargantuan</v>
      </c>
      <c r="B1" s="2"/>
      <c r="C1" s="2"/>
      <c r="D1" s="2"/>
      <c r="E1" s="2" t="s">
        <v>145</v>
      </c>
      <c r="F1" s="166" t="str">
        <f>if(D19&gt;N19, "Win", if(D19&lt;N19, "Loss", ""))</f>
        <v>Loss</v>
      </c>
      <c r="G1" s="2"/>
      <c r="H1" s="17" t="s">
        <v>146</v>
      </c>
      <c r="I1" s="152">
        <f>D19-N19</f>
        <v>-5</v>
      </c>
      <c r="J1" s="167" t="s">
        <v>184</v>
      </c>
      <c r="K1" s="168" t="str">
        <f>'Full Schedule'!J3</f>
        <v>Migos</v>
      </c>
      <c r="L1" s="2"/>
      <c r="M1" s="2"/>
      <c r="N1" s="2"/>
      <c r="O1" s="17" t="s">
        <v>145</v>
      </c>
      <c r="P1" s="166" t="str">
        <f>if(N19&gt;D19, "Win", if(N19&lt;D19, "Loss", ""))</f>
        <v>Win</v>
      </c>
      <c r="Q1" s="2"/>
      <c r="R1" s="17" t="s">
        <v>146</v>
      </c>
      <c r="S1" s="152">
        <f>N19-D19</f>
        <v>5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Tyler</v>
      </c>
      <c r="B3" s="24" t="str">
        <f>F1</f>
        <v>Loss</v>
      </c>
      <c r="C3" s="24"/>
      <c r="D3" s="152" t="str">
        <f t="shared" ref="D3:D17" si="1">if(I3&gt;0, sum(E3:H3), "")</f>
        <v/>
      </c>
      <c r="E3" s="24"/>
      <c r="F3" s="24"/>
      <c r="G3" s="24"/>
      <c r="H3" s="24"/>
      <c r="I3" s="24"/>
      <c r="J3" s="2"/>
      <c r="K3" s="2" t="str">
        <f t="array" ref="K3">xlookup($K$1, 'General Info'!$F$3:$K$3, 'General Info'!$F4:$K4)</f>
        <v>Arnav</v>
      </c>
      <c r="L3" s="24" t="str">
        <f>P1</f>
        <v>Win</v>
      </c>
      <c r="M3" s="24"/>
      <c r="N3" s="152">
        <f t="shared" ref="N3:N17" si="2">if(S3&gt;0, sum(O3:R3), "")</f>
        <v>26</v>
      </c>
      <c r="O3" s="24">
        <v>6.0</v>
      </c>
      <c r="P3" s="24">
        <v>6.0</v>
      </c>
      <c r="Q3" s="24">
        <v>11.0</v>
      </c>
      <c r="R3" s="24">
        <v>3.0</v>
      </c>
      <c r="S3" s="24">
        <v>20.0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Lucas</v>
      </c>
      <c r="B4" s="24" t="str">
        <f>F1</f>
        <v>Loss</v>
      </c>
      <c r="C4" s="24"/>
      <c r="D4" s="152">
        <f t="shared" si="1"/>
        <v>18</v>
      </c>
      <c r="E4" s="24">
        <v>10.0</v>
      </c>
      <c r="F4" s="24">
        <v>1.0</v>
      </c>
      <c r="G4" s="24">
        <v>6.0</v>
      </c>
      <c r="H4" s="24">
        <v>1.0</v>
      </c>
      <c r="I4" s="24">
        <v>23.0</v>
      </c>
      <c r="J4" s="2"/>
      <c r="K4" s="2" t="str">
        <f t="array" ref="K4">xlookup($K$1, 'General Info'!$F$3:$K$3, 'General Info'!$F5:$K5)</f>
        <v>Brendan</v>
      </c>
      <c r="L4" s="24" t="str">
        <f>P1</f>
        <v>Win</v>
      </c>
      <c r="M4" s="24"/>
      <c r="N4" s="152">
        <f t="shared" si="2"/>
        <v>14</v>
      </c>
      <c r="O4" s="24">
        <v>7.0</v>
      </c>
      <c r="P4" s="24">
        <v>0.0</v>
      </c>
      <c r="Q4" s="24">
        <v>4.0</v>
      </c>
      <c r="R4" s="24">
        <v>3.0</v>
      </c>
      <c r="S4" s="24">
        <v>22.0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Porco</v>
      </c>
      <c r="B5" s="2" t="str">
        <f>F1</f>
        <v>Loss</v>
      </c>
      <c r="C5" s="2"/>
      <c r="D5" s="152">
        <f t="shared" si="1"/>
        <v>8</v>
      </c>
      <c r="E5" s="24">
        <v>4.0</v>
      </c>
      <c r="F5" s="24">
        <v>0.0</v>
      </c>
      <c r="G5" s="24">
        <v>4.0</v>
      </c>
      <c r="H5" s="24">
        <v>0.0</v>
      </c>
      <c r="I5" s="24">
        <v>24.0</v>
      </c>
      <c r="J5" s="2"/>
      <c r="K5" s="2" t="str">
        <f t="array" ref="K5">xlookup($K$1, 'General Info'!$F$3:$K$3, 'General Info'!$F6:$K6)</f>
        <v>Kumbatovic</v>
      </c>
      <c r="L5" s="2" t="str">
        <f>P1</f>
        <v>Win</v>
      </c>
      <c r="M5" s="24"/>
      <c r="N5" s="152">
        <f t="shared" si="2"/>
        <v>20</v>
      </c>
      <c r="O5" s="24">
        <v>12.0</v>
      </c>
      <c r="P5" s="24">
        <v>2.0</v>
      </c>
      <c r="Q5" s="24">
        <v>6.0</v>
      </c>
      <c r="R5" s="24">
        <v>0.0</v>
      </c>
      <c r="S5" s="24">
        <v>21.0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Andy Yu</v>
      </c>
      <c r="B6" s="24" t="str">
        <f>F1</f>
        <v>Loss</v>
      </c>
      <c r="C6" s="24"/>
      <c r="D6" s="152">
        <f t="shared" si="1"/>
        <v>13</v>
      </c>
      <c r="E6" s="24">
        <v>8.0</v>
      </c>
      <c r="F6" s="24">
        <v>2.0</v>
      </c>
      <c r="G6" s="24">
        <v>1.0</v>
      </c>
      <c r="H6" s="24">
        <v>2.0</v>
      </c>
      <c r="I6" s="24">
        <v>25.0</v>
      </c>
      <c r="J6" s="2"/>
      <c r="K6" s="2" t="str">
        <f t="array" ref="K6">xlookup($K$1, 'General Info'!$F$3:$K$3, 'General Info'!$F7:$K7)</f>
        <v>Paul</v>
      </c>
      <c r="L6" s="24" t="str">
        <f>P1</f>
        <v>Win</v>
      </c>
      <c r="M6" s="24"/>
      <c r="N6" s="152">
        <f t="shared" si="2"/>
        <v>7</v>
      </c>
      <c r="O6" s="24">
        <v>1.0</v>
      </c>
      <c r="P6" s="24">
        <v>0.0</v>
      </c>
      <c r="Q6" s="24">
        <v>6.0</v>
      </c>
      <c r="R6" s="24">
        <v>0.0</v>
      </c>
      <c r="S6" s="24">
        <v>25.0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Dli</v>
      </c>
      <c r="B7" s="24" t="str">
        <f>F1</f>
        <v>Loss</v>
      </c>
      <c r="C7" s="24"/>
      <c r="D7" s="152">
        <f t="shared" si="1"/>
        <v>16</v>
      </c>
      <c r="E7" s="24">
        <v>4.0</v>
      </c>
      <c r="F7" s="24">
        <v>1.0</v>
      </c>
      <c r="G7" s="24">
        <v>11.0</v>
      </c>
      <c r="H7" s="24">
        <v>0.0</v>
      </c>
      <c r="I7" s="24">
        <v>24.0</v>
      </c>
      <c r="J7" s="2"/>
      <c r="K7" s="2" t="str">
        <f t="array" ref="K7">xlookup($K$1, 'General Info'!$F$3:$K$3, 'General Info'!$F8:$K8)</f>
        <v>Raymond</v>
      </c>
      <c r="L7" s="24" t="str">
        <f>P1</f>
        <v>Win</v>
      </c>
      <c r="M7" s="24"/>
      <c r="N7" s="152">
        <f t="shared" si="2"/>
        <v>20</v>
      </c>
      <c r="O7" s="24">
        <v>3.0</v>
      </c>
      <c r="P7" s="24">
        <v>0.0</v>
      </c>
      <c r="Q7" s="24">
        <v>13.0</v>
      </c>
      <c r="R7" s="24">
        <v>4.0</v>
      </c>
      <c r="S7" s="24">
        <v>20.0</v>
      </c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Somil</v>
      </c>
      <c r="B8" s="24" t="str">
        <f>F1</f>
        <v>Loss</v>
      </c>
      <c r="C8" s="24"/>
      <c r="D8" s="152">
        <f t="shared" si="1"/>
        <v>23</v>
      </c>
      <c r="E8" s="24">
        <v>6.0</v>
      </c>
      <c r="F8" s="24">
        <v>0.0</v>
      </c>
      <c r="G8" s="24">
        <v>14.0</v>
      </c>
      <c r="H8" s="24">
        <v>3.0</v>
      </c>
      <c r="I8" s="24">
        <v>21.0</v>
      </c>
      <c r="J8" s="2"/>
      <c r="K8" s="2" t="str">
        <f t="array" ref="K8">xlookup($K$1, 'General Info'!$F$3:$K$3, 'General Info'!$F9:$K9)</f>
        <v>TC</v>
      </c>
      <c r="L8" s="24" t="str">
        <f>P1</f>
        <v>Win</v>
      </c>
      <c r="M8" s="24"/>
      <c r="N8" s="152">
        <f t="shared" si="2"/>
        <v>14</v>
      </c>
      <c r="O8" s="24">
        <v>9.0</v>
      </c>
      <c r="P8" s="24">
        <v>0.0</v>
      </c>
      <c r="Q8" s="24">
        <v>4.0</v>
      </c>
      <c r="R8" s="24">
        <v>1.0</v>
      </c>
      <c r="S8" s="24">
        <v>24.0</v>
      </c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VIshal</v>
      </c>
      <c r="B9" s="2" t="str">
        <f>F1</f>
        <v>Loss</v>
      </c>
      <c r="C9" s="2"/>
      <c r="D9" s="2">
        <f t="shared" si="1"/>
        <v>18</v>
      </c>
      <c r="E9" s="24">
        <v>7.0</v>
      </c>
      <c r="F9" s="24">
        <v>1.0</v>
      </c>
      <c r="G9" s="24">
        <v>9.0</v>
      </c>
      <c r="H9" s="24">
        <v>1.0</v>
      </c>
      <c r="I9" s="24">
        <v>22.0</v>
      </c>
      <c r="J9" s="2"/>
      <c r="K9" s="2" t="str">
        <f t="array" ref="K9">xlookup($K$1, 'General Info'!$F$3:$K$3, 'General Info'!$F10:$K10)</f>
        <v>Kyi</v>
      </c>
      <c r="L9" s="2" t="str">
        <f>P1</f>
        <v>Win</v>
      </c>
      <c r="M9" s="2"/>
      <c r="N9" s="2" t="str">
        <f t="shared" si="2"/>
        <v/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Sam</v>
      </c>
      <c r="B10" s="24" t="str">
        <f>F1</f>
        <v>Loss</v>
      </c>
      <c r="C10" s="24"/>
      <c r="D10" s="2" t="str">
        <f t="shared" si="1"/>
        <v/>
      </c>
      <c r="E10" s="24"/>
      <c r="F10" s="24"/>
      <c r="G10" s="24"/>
      <c r="H10" s="24"/>
      <c r="I10" s="24"/>
      <c r="J10" s="2"/>
      <c r="K10" s="2" t="str">
        <f t="array" ref="K10">xlookup($K$1, 'General Info'!$F$3:$K$3, 'General Info'!$F11:$K11)</f>
        <v>Jwu</v>
      </c>
      <c r="L10" s="24" t="str">
        <f>P1</f>
        <v>Win</v>
      </c>
      <c r="M10" s="2"/>
      <c r="N10" s="2" t="str">
        <f t="shared" si="2"/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Charlie</v>
      </c>
      <c r="B11" s="2" t="str">
        <f>F1</f>
        <v>Loss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Parker</v>
      </c>
      <c r="L11" s="2" t="str">
        <f>P1</f>
        <v>Win</v>
      </c>
      <c r="M11" s="2"/>
      <c r="N11" s="2" t="str">
        <f t="shared" si="2"/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>Daniel</v>
      </c>
      <c r="B12" s="2" t="str">
        <f>F1</f>
        <v>Loss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>Henry</v>
      </c>
      <c r="L12" s="2" t="str">
        <f>P1</f>
        <v>Win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/>
      </c>
      <c r="B13" s="2" t="str">
        <f>F1</f>
        <v>Loss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>Ayush</v>
      </c>
      <c r="L13" s="2" t="str">
        <f>P1</f>
        <v>Win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Loss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Win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Loss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Win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Loss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Win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Loss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Win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182"/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6"/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96</v>
      </c>
      <c r="E19" s="2"/>
      <c r="F19" s="2"/>
      <c r="G19" s="2"/>
      <c r="H19" s="2"/>
      <c r="I19" s="174">
        <f>sum(D3:D17)/(sum(D3:D17)+sum(I3:I17))</f>
        <v>0.4085106383</v>
      </c>
      <c r="J19" s="2"/>
      <c r="K19" s="171" t="s">
        <v>152</v>
      </c>
      <c r="L19" s="172"/>
      <c r="M19" s="172"/>
      <c r="N19" s="173">
        <f>sum(N3:N18)</f>
        <v>101</v>
      </c>
      <c r="O19" s="2"/>
      <c r="P19" s="2"/>
      <c r="Q19" s="2"/>
      <c r="R19" s="2"/>
      <c r="S19" s="174">
        <f>sum(N3:N17)/(sum(N3:N17)+sum(S3:S17))</f>
        <v>0.4334763948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Schedule'!I4</f>
        <v>Candice?</v>
      </c>
      <c r="B21" s="2"/>
      <c r="C21" s="2"/>
      <c r="D21" s="2"/>
      <c r="E21" s="2" t="s">
        <v>145</v>
      </c>
      <c r="F21" s="166" t="str">
        <f>if(D39&gt;N39, "Win", if(D39&lt;N39, "Loss", ""))</f>
        <v>Loss</v>
      </c>
      <c r="G21" s="2"/>
      <c r="H21" s="17" t="s">
        <v>146</v>
      </c>
      <c r="I21" s="152">
        <f>D39-N39</f>
        <v>-1</v>
      </c>
      <c r="J21" s="167" t="s">
        <v>184</v>
      </c>
      <c r="K21" s="165" t="str">
        <f>'Full Schedule'!J4</f>
        <v>Team E</v>
      </c>
      <c r="L21" s="2"/>
      <c r="M21" s="2"/>
      <c r="N21" s="2"/>
      <c r="O21" s="17" t="s">
        <v>145</v>
      </c>
      <c r="P21" s="166" t="str">
        <f>if(N39&gt;D39, "Win", if(N39&lt;D39, "Loss", ""))</f>
        <v>Win</v>
      </c>
      <c r="Q21" s="2"/>
      <c r="R21" s="17" t="s">
        <v>146</v>
      </c>
      <c r="S21" s="152">
        <f>N39-D39</f>
        <v>1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John</v>
      </c>
      <c r="B23" s="24" t="str">
        <f>F21</f>
        <v>Loss</v>
      </c>
      <c r="C23" s="24">
        <v>6.0</v>
      </c>
      <c r="D23" s="152">
        <f t="shared" ref="D23:D37" si="3">if(I23&gt;0, sum(E23:H23), "")</f>
        <v>18</v>
      </c>
      <c r="E23" s="24">
        <v>4.0</v>
      </c>
      <c r="F23" s="24">
        <v>1.0</v>
      </c>
      <c r="G23" s="24">
        <v>7.0</v>
      </c>
      <c r="H23" s="24">
        <v>6.0</v>
      </c>
      <c r="I23" s="24">
        <v>27.0</v>
      </c>
      <c r="J23" s="2"/>
      <c r="K23" s="2" t="str">
        <f t="array" ref="K23">xlookup($K$21, 'General Info'!$F$3:$K$3, 'General Info'!$F4:$K4)</f>
        <v>Guel</v>
      </c>
      <c r="L23" s="24" t="str">
        <f>P21</f>
        <v>Win</v>
      </c>
      <c r="M23" s="24">
        <v>6.0</v>
      </c>
      <c r="N23" s="152">
        <f t="shared" ref="N23:N37" si="4">if(S23&gt;0, sum(O23:R23), "")</f>
        <v>23</v>
      </c>
      <c r="O23" s="24">
        <v>7.0</v>
      </c>
      <c r="P23" s="24">
        <v>4.0</v>
      </c>
      <c r="Q23" s="24">
        <v>8.0</v>
      </c>
      <c r="R23" s="24">
        <v>4.0</v>
      </c>
      <c r="S23" s="24">
        <v>26.0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Cole</v>
      </c>
      <c r="B24" s="24" t="str">
        <f>F21</f>
        <v>Loss</v>
      </c>
      <c r="C24" s="24">
        <v>5.0</v>
      </c>
      <c r="D24" s="152">
        <f t="shared" si="3"/>
        <v>16</v>
      </c>
      <c r="E24" s="24">
        <v>6.0</v>
      </c>
      <c r="F24" s="24">
        <v>0.0</v>
      </c>
      <c r="G24" s="24">
        <v>10.0</v>
      </c>
      <c r="H24" s="24">
        <v>0.0</v>
      </c>
      <c r="I24" s="24">
        <v>28.0</v>
      </c>
      <c r="J24" s="2"/>
      <c r="K24" s="2" t="str">
        <f t="array" ref="K24">xlookup($K$21, 'General Info'!$F$3:$K$3, 'General Info'!$F5:$K5)</f>
        <v>Pasha</v>
      </c>
      <c r="L24" s="24" t="str">
        <f>P21</f>
        <v>Win</v>
      </c>
      <c r="M24" s="24">
        <v>2.0</v>
      </c>
      <c r="N24" s="152">
        <f t="shared" si="4"/>
        <v>13</v>
      </c>
      <c r="O24" s="24">
        <v>8.0</v>
      </c>
      <c r="P24" s="24">
        <v>0.0</v>
      </c>
      <c r="Q24" s="24">
        <v>5.0</v>
      </c>
      <c r="R24" s="24">
        <v>0.0</v>
      </c>
      <c r="S24" s="24">
        <v>28.0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Dannegger</v>
      </c>
      <c r="B25" s="2" t="str">
        <f>F21</f>
        <v>Loss</v>
      </c>
      <c r="C25" s="24">
        <v>4.0</v>
      </c>
      <c r="D25" s="2">
        <f t="shared" si="3"/>
        <v>22</v>
      </c>
      <c r="E25" s="24">
        <v>10.0</v>
      </c>
      <c r="F25" s="24">
        <v>4.0</v>
      </c>
      <c r="G25" s="24">
        <v>4.0</v>
      </c>
      <c r="H25" s="24">
        <v>4.0</v>
      </c>
      <c r="I25" s="24">
        <v>24.0</v>
      </c>
      <c r="J25" s="2"/>
      <c r="K25" s="2" t="str">
        <f t="array" ref="K25">xlookup($K$21, 'General Info'!$F$3:$K$3, 'General Info'!$F6:$K6)</f>
        <v>Yost</v>
      </c>
      <c r="L25" s="2" t="str">
        <f>P21</f>
        <v>Win</v>
      </c>
      <c r="M25" s="24">
        <v>4.0</v>
      </c>
      <c r="N25" s="2">
        <f t="shared" si="4"/>
        <v>16</v>
      </c>
      <c r="O25" s="24">
        <v>12.0</v>
      </c>
      <c r="P25" s="24">
        <v>1.0</v>
      </c>
      <c r="Q25" s="24">
        <v>3.0</v>
      </c>
      <c r="R25" s="24">
        <v>0.0</v>
      </c>
      <c r="S25" s="24">
        <v>29.0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KZ</v>
      </c>
      <c r="B26" s="24" t="str">
        <f>F21</f>
        <v>Loss</v>
      </c>
      <c r="C26" s="24">
        <v>3.0</v>
      </c>
      <c r="D26" s="2">
        <f t="shared" si="3"/>
        <v>11</v>
      </c>
      <c r="E26" s="24">
        <v>7.0</v>
      </c>
      <c r="F26" s="24">
        <v>1.0</v>
      </c>
      <c r="G26" s="24">
        <v>3.0</v>
      </c>
      <c r="H26" s="24">
        <v>0.0</v>
      </c>
      <c r="I26" s="24">
        <v>30.0</v>
      </c>
      <c r="J26" s="2"/>
      <c r="K26" s="2" t="str">
        <f t="array" ref="K26">xlookup($K$21, 'General Info'!$F$3:$K$3, 'General Info'!$F7:$K7)</f>
        <v>Sean</v>
      </c>
      <c r="L26" s="24" t="str">
        <f>P21</f>
        <v>Win</v>
      </c>
      <c r="M26" s="24">
        <v>5.0</v>
      </c>
      <c r="N26" s="2">
        <f t="shared" si="4"/>
        <v>16</v>
      </c>
      <c r="O26" s="24">
        <v>6.0</v>
      </c>
      <c r="P26" s="24">
        <v>0.0</v>
      </c>
      <c r="Q26" s="24">
        <v>7.0</v>
      </c>
      <c r="R26" s="24">
        <v>3.0</v>
      </c>
      <c r="S26" s="24">
        <v>29.0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Adi</v>
      </c>
      <c r="B27" s="24" t="str">
        <f>F21</f>
        <v>Loss</v>
      </c>
      <c r="C27" s="2"/>
      <c r="D27" s="2" t="str">
        <f t="shared" si="3"/>
        <v/>
      </c>
      <c r="E27" s="24"/>
      <c r="F27" s="24"/>
      <c r="G27" s="24"/>
      <c r="H27" s="24"/>
      <c r="I27" s="24"/>
      <c r="J27" s="2"/>
      <c r="K27" s="2" t="str">
        <f t="array" ref="K27">xlookup($K$21, 'General Info'!$F$3:$K$3, 'General Info'!$F8:$K8)</f>
        <v>Samos</v>
      </c>
      <c r="L27" s="24" t="str">
        <f>P21</f>
        <v>Win</v>
      </c>
      <c r="M27" s="24">
        <v>1.0</v>
      </c>
      <c r="N27" s="2">
        <f t="shared" si="4"/>
        <v>15</v>
      </c>
      <c r="O27" s="24">
        <v>3.0</v>
      </c>
      <c r="P27" s="24">
        <v>1.0</v>
      </c>
      <c r="Q27" s="24">
        <v>9.0</v>
      </c>
      <c r="R27" s="24">
        <v>2.0</v>
      </c>
      <c r="S27" s="24">
        <v>27.0</v>
      </c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Gavin</v>
      </c>
      <c r="B28" s="24" t="str">
        <f>F21</f>
        <v>Loss</v>
      </c>
      <c r="C28" s="24">
        <v>1.0</v>
      </c>
      <c r="D28" s="152">
        <f t="shared" si="3"/>
        <v>15</v>
      </c>
      <c r="E28" s="24">
        <v>9.0</v>
      </c>
      <c r="F28" s="24">
        <v>1.0</v>
      </c>
      <c r="G28" s="24">
        <v>5.0</v>
      </c>
      <c r="H28" s="24">
        <v>0.0</v>
      </c>
      <c r="I28" s="24">
        <v>26.0</v>
      </c>
      <c r="J28" s="2"/>
      <c r="K28" s="2" t="str">
        <f t="array" ref="K28">xlookup($K$21, 'General Info'!$F$3:$K$3, 'General Info'!$F9:$K9)</f>
        <v>Soho</v>
      </c>
      <c r="L28" s="24" t="str">
        <f>P21</f>
        <v>Win</v>
      </c>
      <c r="M28" s="24">
        <v>3.0</v>
      </c>
      <c r="N28" s="152">
        <f t="shared" si="4"/>
        <v>15</v>
      </c>
      <c r="O28" s="24">
        <v>2.0</v>
      </c>
      <c r="P28" s="24">
        <v>0.0</v>
      </c>
      <c r="Q28" s="24">
        <v>13.0</v>
      </c>
      <c r="R28" s="24">
        <v>0.0</v>
      </c>
      <c r="S28" s="24">
        <v>29.0</v>
      </c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David</v>
      </c>
      <c r="B29" s="2" t="str">
        <f>F21</f>
        <v>Loss</v>
      </c>
      <c r="C29" s="2"/>
      <c r="D29" s="2" t="str">
        <f t="shared" si="3"/>
        <v/>
      </c>
      <c r="E29" s="2"/>
      <c r="F29" s="2"/>
      <c r="G29" s="2"/>
      <c r="H29" s="2"/>
      <c r="I29" s="2"/>
      <c r="J29" s="2"/>
      <c r="K29" s="2" t="str">
        <f t="array" ref="K29">xlookup($K$21, 'General Info'!$F$3:$K$3, 'General Info'!$F10:$K10)</f>
        <v>Haldar</v>
      </c>
      <c r="L29" s="2" t="str">
        <f>P21</f>
        <v>Win</v>
      </c>
      <c r="M29" s="2"/>
      <c r="N29" s="2" t="str">
        <f t="shared" si="4"/>
        <v/>
      </c>
      <c r="O29" s="24"/>
      <c r="P29" s="24"/>
      <c r="Q29" s="24"/>
      <c r="R29" s="24"/>
      <c r="S29" s="24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Kento</v>
      </c>
      <c r="B30" s="24" t="str">
        <f>F21</f>
        <v>Loss</v>
      </c>
      <c r="C30" s="24">
        <v>2.0</v>
      </c>
      <c r="D30" s="152">
        <f t="shared" si="3"/>
        <v>18</v>
      </c>
      <c r="E30" s="24">
        <v>2.0</v>
      </c>
      <c r="F30" s="24">
        <v>0.0</v>
      </c>
      <c r="G30" s="24">
        <v>16.0</v>
      </c>
      <c r="H30" s="24">
        <v>0.0</v>
      </c>
      <c r="I30" s="24">
        <v>26.0</v>
      </c>
      <c r="J30" s="2"/>
      <c r="K30" s="2" t="str">
        <f t="array" ref="K30">xlookup($K$21, 'General Info'!$F$3:$K$3, 'General Info'!$F11:$K11)</f>
        <v>Dji</v>
      </c>
      <c r="L30" s="24" t="str">
        <f>P21</f>
        <v>Win</v>
      </c>
      <c r="M30" s="2"/>
      <c r="N30" s="152" t="str">
        <f t="shared" si="4"/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Jacob</v>
      </c>
      <c r="B31" s="2" t="str">
        <f>F21</f>
        <v>Loss</v>
      </c>
      <c r="C31" s="2"/>
      <c r="D31" s="152" t="str">
        <f t="shared" si="3"/>
        <v/>
      </c>
      <c r="E31" s="2"/>
      <c r="F31" s="2"/>
      <c r="G31" s="2"/>
      <c r="H31" s="2"/>
      <c r="I31" s="2"/>
      <c r="J31" s="2"/>
      <c r="K31" s="2" t="str">
        <f t="array" ref="K31">xlookup($K$21, 'General Info'!$F$3:$K$3, 'General Info'!$F12:$K12)</f>
        <v>Lubke</v>
      </c>
      <c r="L31" s="2" t="str">
        <f>P21</f>
        <v>Win</v>
      </c>
      <c r="M31" s="2"/>
      <c r="N31" s="15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/>
      </c>
      <c r="B32" s="2" t="str">
        <f>F21</f>
        <v>Loss</v>
      </c>
      <c r="C32" s="2"/>
      <c r="D32" s="152" t="str">
        <f t="shared" si="3"/>
        <v/>
      </c>
      <c r="E32" s="2"/>
      <c r="F32" s="2"/>
      <c r="G32" s="2"/>
      <c r="H32" s="2"/>
      <c r="I32" s="2"/>
      <c r="J32" s="2"/>
      <c r="K32" s="2" t="str">
        <f t="array" ref="K32">xlookup($K$21, 'General Info'!$F$3:$K$3, 'General Info'!$F13:$K13)</f>
        <v>David (pledge)</v>
      </c>
      <c r="L32" s="2" t="str">
        <f>P21</f>
        <v>Win</v>
      </c>
      <c r="M32" s="2"/>
      <c r="N32" s="15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tr">
        <f t="array" ref="A33">xlookup($A$21, 'General Info'!$F$3:$K$3, 'General Info'!$F14:$K14)</f>
        <v/>
      </c>
      <c r="B33" s="2" t="str">
        <f>F21</f>
        <v>Loss</v>
      </c>
      <c r="C33" s="2"/>
      <c r="D33" s="2" t="str">
        <f t="shared" si="3"/>
        <v/>
      </c>
      <c r="E33" s="2"/>
      <c r="F33" s="2"/>
      <c r="G33" s="2"/>
      <c r="H33" s="2"/>
      <c r="I33" s="2"/>
      <c r="J33" s="2"/>
      <c r="K33" s="2" t="str">
        <f t="array" ref="K33">xlookup($K$21, 'General Info'!$F$3:$K$3, 'General Info'!$F14:$K14)</f>
        <v>Will</v>
      </c>
      <c r="L33" s="2" t="str">
        <f>P21</f>
        <v>Win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Loss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Win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Loss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Win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Loss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Win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Loss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Win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27">
        <v>-1.0</v>
      </c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27">
        <v>2.0</v>
      </c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99</v>
      </c>
      <c r="E39" s="2"/>
      <c r="F39" s="2"/>
      <c r="G39" s="2"/>
      <c r="H39" s="2"/>
      <c r="I39" s="174">
        <f>sum(D23:D37)/(sum(D23:D37)+sum(I23:I37))</f>
        <v>0.3831417625</v>
      </c>
      <c r="J39" s="2"/>
      <c r="K39" s="171" t="s">
        <v>152</v>
      </c>
      <c r="L39" s="172"/>
      <c r="M39" s="172"/>
      <c r="N39" s="173">
        <f>sum(N23:N38)</f>
        <v>100</v>
      </c>
      <c r="O39" s="2"/>
      <c r="P39" s="2"/>
      <c r="Q39" s="2"/>
      <c r="R39" s="2"/>
      <c r="S39" s="174">
        <f>sum(N23:N37)/(sum(N23:N37)+sum(S23:S37))</f>
        <v>0.3684210526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Schedule'!I5</f>
        <v>Team C</v>
      </c>
      <c r="B41" s="2"/>
      <c r="C41" s="2"/>
      <c r="D41" s="2"/>
      <c r="E41" s="2" t="s">
        <v>145</v>
      </c>
      <c r="F41" s="166" t="str">
        <f>if(D59&gt;N59, "Win", if(D59&lt;N59, "Loss", ""))</f>
        <v>Win</v>
      </c>
      <c r="G41" s="2"/>
      <c r="H41" s="17" t="s">
        <v>146</v>
      </c>
      <c r="I41" s="152">
        <f>D59-N59</f>
        <v>4</v>
      </c>
      <c r="J41" s="167" t="s">
        <v>184</v>
      </c>
      <c r="K41" s="165" t="str">
        <f>'Full Schedule'!J5</f>
        <v>Team F</v>
      </c>
      <c r="L41" s="2"/>
      <c r="M41" s="2"/>
      <c r="N41" s="2"/>
      <c r="O41" s="17" t="s">
        <v>145</v>
      </c>
      <c r="P41" s="166" t="str">
        <f>if(N59&gt;D59, "Win", if(N59&lt;D59, "Loss", ""))</f>
        <v>Loss</v>
      </c>
      <c r="Q41" s="2"/>
      <c r="R41" s="17" t="s">
        <v>146</v>
      </c>
      <c r="S41" s="152">
        <f>N59-D59</f>
        <v>-4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Du</v>
      </c>
      <c r="B43" s="24" t="str">
        <f>F41</f>
        <v>Win</v>
      </c>
      <c r="C43" s="24"/>
      <c r="D43" s="152">
        <f t="shared" ref="D43:D57" si="5">if(I43&gt;0, sum(E43:H43), "")</f>
        <v>16</v>
      </c>
      <c r="E43" s="24">
        <v>6.0</v>
      </c>
      <c r="F43" s="24">
        <v>1.0</v>
      </c>
      <c r="G43" s="24">
        <v>7.0</v>
      </c>
      <c r="H43" s="24">
        <v>2.0</v>
      </c>
      <c r="I43" s="24">
        <v>33.0</v>
      </c>
      <c r="J43" s="2"/>
      <c r="K43" s="2" t="str">
        <f t="array" ref="K43">xlookup($K$41, 'General Info'!$F$3:$K$3, 'General Info'!$F4:$K4)</f>
        <v>Jay</v>
      </c>
      <c r="L43" s="24" t="str">
        <f>P41</f>
        <v>Loss</v>
      </c>
      <c r="M43" s="24"/>
      <c r="N43" s="152">
        <f t="shared" ref="N43:N57" si="6">if(S43&gt;0, sum(O43:R43), "")</f>
        <v>22</v>
      </c>
      <c r="O43" s="24">
        <v>11.0</v>
      </c>
      <c r="P43" s="24">
        <v>2.0</v>
      </c>
      <c r="Q43" s="24">
        <v>8.0</v>
      </c>
      <c r="R43" s="24">
        <v>1.0</v>
      </c>
      <c r="S43" s="24">
        <v>29.0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Neo</v>
      </c>
      <c r="B44" s="24" t="str">
        <f>F41</f>
        <v>Win</v>
      </c>
      <c r="C44" s="24"/>
      <c r="D44" s="152">
        <f t="shared" si="5"/>
        <v>13</v>
      </c>
      <c r="E44" s="24">
        <v>6.0</v>
      </c>
      <c r="F44" s="24">
        <v>0.0</v>
      </c>
      <c r="G44" s="24">
        <v>5.0</v>
      </c>
      <c r="H44" s="24">
        <v>2.0</v>
      </c>
      <c r="I44" s="24">
        <v>33.0</v>
      </c>
      <c r="J44" s="2"/>
      <c r="K44" s="2" t="str">
        <f t="array" ref="K44">xlookup($K$41, 'General Info'!$F$3:$K$3, 'General Info'!$F5:$K5)</f>
        <v>Schmid</v>
      </c>
      <c r="L44" s="24" t="str">
        <f>P41</f>
        <v>Loss</v>
      </c>
      <c r="M44" s="24"/>
      <c r="N44" s="152" t="str">
        <f t="shared" si="6"/>
        <v/>
      </c>
      <c r="O44" s="24"/>
      <c r="P44" s="24"/>
      <c r="Q44" s="24"/>
      <c r="R44" s="24"/>
      <c r="S44" s="24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Fritz</v>
      </c>
      <c r="B45" s="2" t="str">
        <f>F41</f>
        <v>Win</v>
      </c>
      <c r="C45" s="24"/>
      <c r="D45" s="152">
        <f t="shared" si="5"/>
        <v>23</v>
      </c>
      <c r="E45" s="24">
        <v>12.0</v>
      </c>
      <c r="F45" s="24">
        <v>2.0</v>
      </c>
      <c r="G45" s="24">
        <v>4.0</v>
      </c>
      <c r="H45" s="24">
        <v>5.0</v>
      </c>
      <c r="I45" s="24">
        <v>27.0</v>
      </c>
      <c r="J45" s="2"/>
      <c r="K45" s="2" t="str">
        <f t="array" ref="K45">xlookup($K$41, 'General Info'!$F$3:$K$3, 'General Info'!$F6:$K6)</f>
        <v>DC</v>
      </c>
      <c r="L45" s="2" t="str">
        <f>P41</f>
        <v>Loss</v>
      </c>
      <c r="M45" s="2"/>
      <c r="N45" s="152">
        <f t="shared" si="6"/>
        <v>15</v>
      </c>
      <c r="O45" s="24">
        <v>6.0</v>
      </c>
      <c r="P45" s="24">
        <v>2.0</v>
      </c>
      <c r="Q45" s="24">
        <v>6.0</v>
      </c>
      <c r="R45" s="24">
        <v>1.0</v>
      </c>
      <c r="S45" s="24">
        <v>30.0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Eric</v>
      </c>
      <c r="B46" s="24" t="str">
        <f>F41</f>
        <v>Win</v>
      </c>
      <c r="C46" s="24"/>
      <c r="D46" s="152">
        <f t="shared" si="5"/>
        <v>12</v>
      </c>
      <c r="E46" s="24">
        <v>8.0</v>
      </c>
      <c r="F46" s="24">
        <v>2.0</v>
      </c>
      <c r="G46" s="24">
        <v>2.0</v>
      </c>
      <c r="H46" s="24">
        <v>0.0</v>
      </c>
      <c r="I46" s="24">
        <v>31.0</v>
      </c>
      <c r="J46" s="2"/>
      <c r="K46" s="2" t="str">
        <f t="array" ref="K46">xlookup($K$41, 'General Info'!$F$3:$K$3, 'General Info'!$F7:$K7)</f>
        <v>Steven</v>
      </c>
      <c r="L46" s="24" t="str">
        <f>P41</f>
        <v>Loss</v>
      </c>
      <c r="M46" s="24"/>
      <c r="N46" s="152">
        <f t="shared" si="6"/>
        <v>20</v>
      </c>
      <c r="O46" s="24">
        <v>2.0</v>
      </c>
      <c r="P46" s="24">
        <v>0.0</v>
      </c>
      <c r="Q46" s="24">
        <v>17.0</v>
      </c>
      <c r="R46" s="24">
        <v>1.0</v>
      </c>
      <c r="S46" s="24">
        <v>33.0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Ilt</v>
      </c>
      <c r="B47" s="24" t="str">
        <f>F41</f>
        <v>Win</v>
      </c>
      <c r="C47" s="24"/>
      <c r="D47" s="152">
        <f t="shared" si="5"/>
        <v>16</v>
      </c>
      <c r="E47" s="24">
        <v>2.0</v>
      </c>
      <c r="F47" s="24">
        <v>0.0</v>
      </c>
      <c r="G47" s="24">
        <v>13.0</v>
      </c>
      <c r="H47" s="24">
        <v>1.0</v>
      </c>
      <c r="I47" s="24">
        <v>31.0</v>
      </c>
      <c r="J47" s="2"/>
      <c r="K47" s="2" t="str">
        <f t="array" ref="K47">xlookup($K$41, 'General Info'!$F$3:$K$3, 'General Info'!$F8:$K8)</f>
        <v>Dave</v>
      </c>
      <c r="L47" s="24" t="str">
        <f>P41</f>
        <v>Loss</v>
      </c>
      <c r="M47" s="2"/>
      <c r="N47" s="152">
        <f t="shared" si="6"/>
        <v>19</v>
      </c>
      <c r="O47" s="24">
        <v>15.0</v>
      </c>
      <c r="P47" s="24">
        <v>1.0</v>
      </c>
      <c r="Q47" s="24">
        <v>3.0</v>
      </c>
      <c r="R47" s="24">
        <v>0.0</v>
      </c>
      <c r="S47" s="24">
        <v>32.0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Matvey</v>
      </c>
      <c r="B48" s="24" t="str">
        <f>F41</f>
        <v>Win</v>
      </c>
      <c r="C48" s="24"/>
      <c r="D48" s="2">
        <f t="shared" si="5"/>
        <v>20</v>
      </c>
      <c r="E48" s="24">
        <v>5.0</v>
      </c>
      <c r="F48" s="24">
        <v>0.0</v>
      </c>
      <c r="G48" s="24">
        <v>12.0</v>
      </c>
      <c r="H48" s="24">
        <v>3.0</v>
      </c>
      <c r="I48" s="24">
        <v>28.0</v>
      </c>
      <c r="J48" s="2"/>
      <c r="K48" s="2" t="str">
        <f t="array" ref="K48">xlookup($K$41, 'General Info'!$F$3:$K$3, 'General Info'!$F9:$K9)</f>
        <v>Lulu</v>
      </c>
      <c r="L48" s="24" t="str">
        <f>P41</f>
        <v>Loss</v>
      </c>
      <c r="M48" s="24"/>
      <c r="N48" s="2" t="str">
        <f t="shared" si="6"/>
        <v/>
      </c>
      <c r="O48" s="24"/>
      <c r="P48" s="24"/>
      <c r="Q48" s="24"/>
      <c r="R48" s="24"/>
      <c r="S48" s="24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James</v>
      </c>
      <c r="B49" s="2" t="str">
        <f>F41</f>
        <v>Win</v>
      </c>
      <c r="C49" s="2"/>
      <c r="D49" s="2" t="str">
        <f t="shared" si="5"/>
        <v/>
      </c>
      <c r="E49" s="2"/>
      <c r="F49" s="2"/>
      <c r="G49" s="2"/>
      <c r="H49" s="2"/>
      <c r="I49" s="2"/>
      <c r="J49" s="2"/>
      <c r="K49" s="2" t="str">
        <f t="array" ref="K49">xlookup($K$41, 'General Info'!$F$3:$K$3, 'General Info'!$F10:$K10)</f>
        <v>Will</v>
      </c>
      <c r="L49" s="2" t="str">
        <f>P41</f>
        <v>Loss</v>
      </c>
      <c r="M49" s="24"/>
      <c r="N49" s="2">
        <f t="shared" si="6"/>
        <v>13</v>
      </c>
      <c r="O49" s="24">
        <v>7.0</v>
      </c>
      <c r="P49" s="24">
        <v>0.0</v>
      </c>
      <c r="Q49" s="24">
        <v>6.0</v>
      </c>
      <c r="R49" s="24">
        <v>0.0</v>
      </c>
      <c r="S49" s="24">
        <v>32.0</v>
      </c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Sebastian</v>
      </c>
      <c r="B50" s="24" t="str">
        <f>F41</f>
        <v>Win</v>
      </c>
      <c r="C50" s="2"/>
      <c r="D50" s="152" t="str">
        <f t="shared" si="5"/>
        <v/>
      </c>
      <c r="E50" s="2"/>
      <c r="F50" s="2"/>
      <c r="G50" s="2"/>
      <c r="H50" s="2"/>
      <c r="I50" s="2"/>
      <c r="J50" s="2"/>
      <c r="K50" s="2" t="str">
        <f t="array" ref="K50">xlookup($K$41, 'General Info'!$F$3:$K$3, 'General Info'!$F11:$K11)</f>
        <v>Hershey</v>
      </c>
      <c r="L50" s="24" t="str">
        <f>P41</f>
        <v>Loss</v>
      </c>
      <c r="M50" s="24"/>
      <c r="N50" s="152" t="str">
        <f t="shared" si="6"/>
        <v/>
      </c>
      <c r="O50" s="24"/>
      <c r="P50" s="24"/>
      <c r="Q50" s="24"/>
      <c r="R50" s="24"/>
      <c r="S50" s="24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Erik</v>
      </c>
      <c r="B51" s="2" t="str">
        <f>F41</f>
        <v>Win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Byun</v>
      </c>
      <c r="L51" s="2" t="str">
        <f>P41</f>
        <v>Loss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Jack</v>
      </c>
      <c r="B52" s="2" t="str">
        <f>F41</f>
        <v>Win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Ted</v>
      </c>
      <c r="L52" s="2" t="str">
        <f>P41</f>
        <v>Loss</v>
      </c>
      <c r="M52" s="2"/>
      <c r="N52" s="2">
        <f t="shared" si="6"/>
        <v>7</v>
      </c>
      <c r="O52" s="24">
        <v>1.0</v>
      </c>
      <c r="P52" s="24">
        <v>0.0</v>
      </c>
      <c r="Q52" s="24">
        <v>6.0</v>
      </c>
      <c r="R52" s="24">
        <v>0.0</v>
      </c>
      <c r="S52" s="24">
        <v>33.0</v>
      </c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/>
      </c>
      <c r="B53" s="2" t="str">
        <f>F41</f>
        <v>Win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>Gio</v>
      </c>
      <c r="L53" s="2" t="str">
        <f>P41</f>
        <v>Loss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Win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Loss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Win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Loss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Win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Loss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Win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Loss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182"/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6"/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100</v>
      </c>
      <c r="E59" s="2"/>
      <c r="F59" s="2"/>
      <c r="G59" s="2"/>
      <c r="H59" s="2"/>
      <c r="I59" s="174">
        <f>sum(D43:D57)/(sum(D43:D57)+sum(I43:I57))</f>
        <v>0.3533568905</v>
      </c>
      <c r="J59" s="2"/>
      <c r="K59" s="171" t="s">
        <v>152</v>
      </c>
      <c r="L59" s="172"/>
      <c r="M59" s="172"/>
      <c r="N59" s="173">
        <f>sum(N43:N58)</f>
        <v>96</v>
      </c>
      <c r="O59" s="2"/>
      <c r="P59" s="2"/>
      <c r="Q59" s="2"/>
      <c r="R59" s="2"/>
      <c r="S59" s="174">
        <f>sum(N43:N57)/(sum(N43:N57)+sum(S43:S57))</f>
        <v>0.3368421053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idden="1">
      <c r="A61" s="176" t="str">
        <f t="shared" ref="A61:A129" si="9">K1</f>
        <v>Migos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Win</v>
      </c>
      <c r="G61" s="2" t="str">
        <f t="shared" si="7"/>
        <v/>
      </c>
      <c r="H61" s="176" t="str">
        <f t="shared" si="7"/>
        <v>Margin</v>
      </c>
      <c r="I61" s="129">
        <f t="shared" si="7"/>
        <v>5</v>
      </c>
      <c r="J61" s="2" t="str">
        <f t="shared" si="7"/>
        <v/>
      </c>
      <c r="K61" s="2" t="str">
        <f t="shared" si="7"/>
        <v/>
      </c>
      <c r="L61" s="2"/>
      <c r="M61" s="2" t="str">
        <f t="shared" ref="M61:M129" si="11">V1</f>
        <v/>
      </c>
      <c r="N61" s="2" t="str">
        <f t="shared" ref="N61:N129" si="12">X1</f>
        <v/>
      </c>
      <c r="O61" s="2" t="str">
        <f t="shared" ref="O61:T61" si="8">X1</f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 hidden="1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176"/>
      <c r="M62" s="2" t="str">
        <f t="shared" si="11"/>
        <v/>
      </c>
      <c r="N62" s="176" t="str">
        <f t="shared" si="12"/>
        <v/>
      </c>
      <c r="O62" s="2" t="str">
        <f t="shared" ref="O62:S62" si="13">X2</f>
        <v/>
      </c>
      <c r="P62" s="2" t="str">
        <f t="shared" si="13"/>
        <v/>
      </c>
      <c r="Q62" s="2" t="str">
        <f t="shared" si="13"/>
        <v/>
      </c>
      <c r="R62" s="2" t="str">
        <f t="shared" si="13"/>
        <v/>
      </c>
      <c r="S62" s="2" t="str">
        <f t="shared" si="13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hidden="1">
      <c r="A63" s="176" t="str">
        <f t="shared" si="9"/>
        <v>Arnav</v>
      </c>
      <c r="B63" s="178" t="str">
        <f t="shared" ref="B63:K63" si="14">L3</f>
        <v>Win</v>
      </c>
      <c r="C63" s="2" t="str">
        <f t="shared" si="14"/>
        <v/>
      </c>
      <c r="D63" s="152">
        <f t="shared" si="14"/>
        <v>26</v>
      </c>
      <c r="E63" s="2">
        <f t="shared" si="14"/>
        <v>6</v>
      </c>
      <c r="F63" s="2">
        <f t="shared" si="14"/>
        <v>6</v>
      </c>
      <c r="G63" s="2">
        <f t="shared" si="14"/>
        <v>11</v>
      </c>
      <c r="H63" s="2">
        <f t="shared" si="14"/>
        <v>3</v>
      </c>
      <c r="I63" s="2">
        <f t="shared" si="14"/>
        <v>20</v>
      </c>
      <c r="J63" s="2" t="str">
        <f t="shared" si="14"/>
        <v/>
      </c>
      <c r="K63" s="2" t="str">
        <f t="shared" si="14"/>
        <v/>
      </c>
      <c r="L63" s="2"/>
      <c r="M63" s="2" t="str">
        <f t="shared" si="11"/>
        <v/>
      </c>
      <c r="N63" s="152" t="str">
        <f t="shared" si="12"/>
        <v/>
      </c>
      <c r="O63" s="2" t="str">
        <f t="shared" ref="O63:S63" si="15">X3</f>
        <v/>
      </c>
      <c r="P63" s="2" t="str">
        <f t="shared" si="15"/>
        <v/>
      </c>
      <c r="Q63" s="2" t="str">
        <f t="shared" si="15"/>
        <v/>
      </c>
      <c r="R63" s="2" t="str">
        <f t="shared" si="15"/>
        <v/>
      </c>
      <c r="S63" s="2" t="str">
        <f t="shared" si="15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hidden="1">
      <c r="A64" s="2" t="str">
        <f t="shared" si="9"/>
        <v>Brendan</v>
      </c>
      <c r="B64" s="178" t="str">
        <f t="shared" ref="B64:K64" si="16">L4</f>
        <v>Win</v>
      </c>
      <c r="C64" s="2" t="str">
        <f t="shared" si="16"/>
        <v/>
      </c>
      <c r="D64" s="152">
        <f t="shared" si="16"/>
        <v>14</v>
      </c>
      <c r="E64" s="2">
        <f t="shared" si="16"/>
        <v>7</v>
      </c>
      <c r="F64" s="2">
        <f t="shared" si="16"/>
        <v>0</v>
      </c>
      <c r="G64" s="2">
        <f t="shared" si="16"/>
        <v>4</v>
      </c>
      <c r="H64" s="2">
        <f t="shared" si="16"/>
        <v>3</v>
      </c>
      <c r="I64" s="2">
        <f t="shared" si="16"/>
        <v>22</v>
      </c>
      <c r="J64" s="2" t="str">
        <f t="shared" si="16"/>
        <v/>
      </c>
      <c r="K64" s="2" t="str">
        <f t="shared" si="16"/>
        <v/>
      </c>
      <c r="L64" s="2" t="str">
        <f t="shared" ref="L64:L175" si="19">W4</f>
        <v/>
      </c>
      <c r="M64" s="2" t="str">
        <f t="shared" si="11"/>
        <v/>
      </c>
      <c r="N64" s="152" t="str">
        <f t="shared" si="12"/>
        <v/>
      </c>
      <c r="O64" s="2" t="str">
        <f t="shared" ref="O64:S64" si="17">X4</f>
        <v/>
      </c>
      <c r="P64" s="2" t="str">
        <f t="shared" si="17"/>
        <v/>
      </c>
      <c r="Q64" s="2" t="str">
        <f t="shared" si="17"/>
        <v/>
      </c>
      <c r="R64" s="2" t="str">
        <f t="shared" si="17"/>
        <v/>
      </c>
      <c r="S64" s="2" t="str">
        <f t="shared" si="17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hidden="1">
      <c r="A65" s="176" t="str">
        <f t="shared" si="9"/>
        <v>Kumbatovic</v>
      </c>
      <c r="B65" s="178" t="str">
        <f t="shared" ref="B65:K65" si="18">L5</f>
        <v>Win</v>
      </c>
      <c r="C65" s="2" t="str">
        <f t="shared" si="18"/>
        <v/>
      </c>
      <c r="D65" s="152">
        <f t="shared" si="18"/>
        <v>20</v>
      </c>
      <c r="E65" s="2">
        <f t="shared" si="18"/>
        <v>12</v>
      </c>
      <c r="F65" s="2">
        <f t="shared" si="18"/>
        <v>2</v>
      </c>
      <c r="G65" s="2">
        <f t="shared" si="18"/>
        <v>6</v>
      </c>
      <c r="H65" s="2">
        <f t="shared" si="18"/>
        <v>0</v>
      </c>
      <c r="I65" s="2">
        <f t="shared" si="18"/>
        <v>21</v>
      </c>
      <c r="J65" s="2" t="str">
        <f t="shared" si="18"/>
        <v/>
      </c>
      <c r="K65" s="2" t="str">
        <f t="shared" si="18"/>
        <v/>
      </c>
      <c r="L65" s="2" t="str">
        <f t="shared" si="19"/>
        <v/>
      </c>
      <c r="M65" s="2" t="str">
        <f t="shared" si="11"/>
        <v/>
      </c>
      <c r="N65" s="152" t="str">
        <f t="shared" si="12"/>
        <v/>
      </c>
      <c r="O65" s="2" t="str">
        <f t="shared" ref="O65:S65" si="20">X5</f>
        <v/>
      </c>
      <c r="P65" s="2" t="str">
        <f t="shared" si="20"/>
        <v/>
      </c>
      <c r="Q65" s="2" t="str">
        <f t="shared" si="20"/>
        <v/>
      </c>
      <c r="R65" s="2" t="str">
        <f t="shared" si="20"/>
        <v/>
      </c>
      <c r="S65" s="2" t="str">
        <f t="shared" si="20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hidden="1">
      <c r="A66" s="2" t="str">
        <f t="shared" si="9"/>
        <v>Paul</v>
      </c>
      <c r="B66" s="178" t="str">
        <f t="shared" ref="B66:K66" si="21">L6</f>
        <v>Win</v>
      </c>
      <c r="C66" s="2" t="str">
        <f t="shared" si="21"/>
        <v/>
      </c>
      <c r="D66" s="152">
        <f t="shared" si="21"/>
        <v>7</v>
      </c>
      <c r="E66" s="2">
        <f t="shared" si="21"/>
        <v>1</v>
      </c>
      <c r="F66" s="2">
        <f t="shared" si="21"/>
        <v>0</v>
      </c>
      <c r="G66" s="2">
        <f t="shared" si="21"/>
        <v>6</v>
      </c>
      <c r="H66" s="2">
        <f t="shared" si="21"/>
        <v>0</v>
      </c>
      <c r="I66" s="2">
        <f t="shared" si="21"/>
        <v>25</v>
      </c>
      <c r="J66" s="2" t="str">
        <f t="shared" si="21"/>
        <v/>
      </c>
      <c r="K66" s="2" t="str">
        <f t="shared" si="21"/>
        <v/>
      </c>
      <c r="L66" s="2" t="str">
        <f t="shared" si="19"/>
        <v/>
      </c>
      <c r="M66" s="2" t="str">
        <f t="shared" si="11"/>
        <v/>
      </c>
      <c r="N66" s="152" t="str">
        <f t="shared" si="12"/>
        <v/>
      </c>
      <c r="O66" s="2" t="str">
        <f t="shared" ref="O66:S66" si="22">X6</f>
        <v/>
      </c>
      <c r="P66" s="2" t="str">
        <f t="shared" si="22"/>
        <v/>
      </c>
      <c r="Q66" s="2" t="str">
        <f t="shared" si="22"/>
        <v/>
      </c>
      <c r="R66" s="2" t="str">
        <f t="shared" si="22"/>
        <v/>
      </c>
      <c r="S66" s="2" t="str">
        <f t="shared" si="22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hidden="1">
      <c r="A67" s="2" t="str">
        <f t="shared" si="9"/>
        <v>Raymond</v>
      </c>
      <c r="B67" s="178" t="str">
        <f t="shared" ref="B67:K67" si="23">L7</f>
        <v>Win</v>
      </c>
      <c r="C67" s="2" t="str">
        <f t="shared" si="23"/>
        <v/>
      </c>
      <c r="D67" s="152">
        <f t="shared" si="23"/>
        <v>20</v>
      </c>
      <c r="E67" s="2">
        <f t="shared" si="23"/>
        <v>3</v>
      </c>
      <c r="F67" s="2">
        <f t="shared" si="23"/>
        <v>0</v>
      </c>
      <c r="G67" s="2">
        <f t="shared" si="23"/>
        <v>13</v>
      </c>
      <c r="H67" s="2">
        <f t="shared" si="23"/>
        <v>4</v>
      </c>
      <c r="I67" s="2">
        <f t="shared" si="23"/>
        <v>20</v>
      </c>
      <c r="J67" s="2" t="str">
        <f t="shared" si="23"/>
        <v/>
      </c>
      <c r="K67" s="2" t="str">
        <f t="shared" si="23"/>
        <v/>
      </c>
      <c r="L67" s="2" t="str">
        <f t="shared" si="19"/>
        <v/>
      </c>
      <c r="M67" s="2" t="str">
        <f t="shared" si="11"/>
        <v/>
      </c>
      <c r="N67" s="152" t="str">
        <f t="shared" si="12"/>
        <v/>
      </c>
      <c r="O67" s="2" t="str">
        <f t="shared" ref="O67:S67" si="24">X7</f>
        <v/>
      </c>
      <c r="P67" s="2" t="str">
        <f t="shared" si="24"/>
        <v/>
      </c>
      <c r="Q67" s="2" t="str">
        <f t="shared" si="24"/>
        <v/>
      </c>
      <c r="R67" s="2" t="str">
        <f t="shared" si="24"/>
        <v/>
      </c>
      <c r="S67" s="2" t="str">
        <f t="shared" si="2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hidden="1">
      <c r="A68" s="2" t="str">
        <f t="shared" si="9"/>
        <v>TC</v>
      </c>
      <c r="B68" s="178" t="str">
        <f t="shared" ref="B68:K68" si="25">L8</f>
        <v>Win</v>
      </c>
      <c r="C68" s="2" t="str">
        <f t="shared" si="25"/>
        <v/>
      </c>
      <c r="D68" s="152">
        <f t="shared" si="25"/>
        <v>14</v>
      </c>
      <c r="E68" s="2">
        <f t="shared" si="25"/>
        <v>9</v>
      </c>
      <c r="F68" s="2">
        <f t="shared" si="25"/>
        <v>0</v>
      </c>
      <c r="G68" s="2">
        <f t="shared" si="25"/>
        <v>4</v>
      </c>
      <c r="H68" s="2">
        <f t="shared" si="25"/>
        <v>1</v>
      </c>
      <c r="I68" s="2">
        <f t="shared" si="25"/>
        <v>24</v>
      </c>
      <c r="J68" s="2" t="str">
        <f t="shared" si="25"/>
        <v/>
      </c>
      <c r="K68" s="2" t="str">
        <f t="shared" si="25"/>
        <v/>
      </c>
      <c r="L68" s="2" t="str">
        <f t="shared" si="19"/>
        <v/>
      </c>
      <c r="M68" s="2" t="str">
        <f t="shared" si="11"/>
        <v/>
      </c>
      <c r="N68" s="152" t="str">
        <f t="shared" si="12"/>
        <v/>
      </c>
      <c r="O68" s="2" t="str">
        <f t="shared" ref="O68:S68" si="26">X8</f>
        <v/>
      </c>
      <c r="P68" s="2" t="str">
        <f t="shared" si="26"/>
        <v/>
      </c>
      <c r="Q68" s="2" t="str">
        <f t="shared" si="26"/>
        <v/>
      </c>
      <c r="R68" s="2" t="str">
        <f t="shared" si="26"/>
        <v/>
      </c>
      <c r="S68" s="2" t="str">
        <f t="shared" si="26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hidden="1">
      <c r="A69" s="2" t="str">
        <f t="shared" si="9"/>
        <v>Kyi</v>
      </c>
      <c r="B69" s="178" t="str">
        <f t="shared" ref="B69:K69" si="27">L9</f>
        <v>Win</v>
      </c>
      <c r="C69" s="2" t="str">
        <f t="shared" si="27"/>
        <v/>
      </c>
      <c r="D69" s="152" t="str">
        <f t="shared" si="27"/>
        <v/>
      </c>
      <c r="E69" s="2" t="str">
        <f t="shared" si="27"/>
        <v/>
      </c>
      <c r="F69" s="2" t="str">
        <f t="shared" si="27"/>
        <v/>
      </c>
      <c r="G69" s="2" t="str">
        <f t="shared" si="27"/>
        <v/>
      </c>
      <c r="H69" s="2" t="str">
        <f t="shared" si="27"/>
        <v/>
      </c>
      <c r="I69" s="2" t="str">
        <f t="shared" si="27"/>
        <v/>
      </c>
      <c r="J69" s="2" t="str">
        <f t="shared" si="27"/>
        <v/>
      </c>
      <c r="K69" s="2" t="str">
        <f t="shared" si="27"/>
        <v/>
      </c>
      <c r="L69" s="2" t="str">
        <f t="shared" si="19"/>
        <v/>
      </c>
      <c r="M69" s="2" t="str">
        <f t="shared" si="11"/>
        <v/>
      </c>
      <c r="N69" s="152" t="str">
        <f t="shared" si="12"/>
        <v/>
      </c>
      <c r="O69" s="2" t="str">
        <f t="shared" ref="O69:S69" si="28">X9</f>
        <v/>
      </c>
      <c r="P69" s="2" t="str">
        <f t="shared" si="28"/>
        <v/>
      </c>
      <c r="Q69" s="2" t="str">
        <f t="shared" si="28"/>
        <v/>
      </c>
      <c r="R69" s="2" t="str">
        <f t="shared" si="28"/>
        <v/>
      </c>
      <c r="S69" s="2" t="str">
        <f t="shared" si="28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hidden="1">
      <c r="A70" s="2" t="str">
        <f t="shared" si="9"/>
        <v>Jwu</v>
      </c>
      <c r="B70" s="178" t="str">
        <f t="shared" ref="B70:K70" si="29">L10</f>
        <v>Win</v>
      </c>
      <c r="C70" s="2" t="str">
        <f t="shared" si="29"/>
        <v/>
      </c>
      <c r="D70" s="2" t="str">
        <f t="shared" si="29"/>
        <v/>
      </c>
      <c r="E70" s="2" t="str">
        <f t="shared" si="29"/>
        <v/>
      </c>
      <c r="F70" s="2" t="str">
        <f t="shared" si="29"/>
        <v/>
      </c>
      <c r="G70" s="2" t="str">
        <f t="shared" si="29"/>
        <v/>
      </c>
      <c r="H70" s="2" t="str">
        <f t="shared" si="29"/>
        <v/>
      </c>
      <c r="I70" s="2" t="str">
        <f t="shared" si="29"/>
        <v/>
      </c>
      <c r="J70" s="2" t="str">
        <f t="shared" si="29"/>
        <v/>
      </c>
      <c r="K70" s="2" t="str">
        <f t="shared" si="29"/>
        <v/>
      </c>
      <c r="L70" s="2" t="str">
        <f t="shared" si="19"/>
        <v/>
      </c>
      <c r="M70" s="2" t="str">
        <f t="shared" si="11"/>
        <v/>
      </c>
      <c r="N70" s="2" t="str">
        <f t="shared" si="12"/>
        <v/>
      </c>
      <c r="O70" s="2" t="str">
        <f t="shared" ref="O70:S70" si="30">X10</f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2" t="str">
        <f t="shared" si="30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hidden="1">
      <c r="A71" s="2" t="str">
        <f t="shared" si="9"/>
        <v>Parker</v>
      </c>
      <c r="B71" s="178" t="str">
        <f t="shared" ref="B71:K71" si="31">L11</f>
        <v>Win</v>
      </c>
      <c r="C71" s="2" t="str">
        <f t="shared" si="31"/>
        <v/>
      </c>
      <c r="D71" s="2" t="str">
        <f t="shared" si="31"/>
        <v/>
      </c>
      <c r="E71" s="2" t="str">
        <f t="shared" si="31"/>
        <v/>
      </c>
      <c r="F71" s="2" t="str">
        <f t="shared" si="31"/>
        <v/>
      </c>
      <c r="G71" s="2" t="str">
        <f t="shared" si="31"/>
        <v/>
      </c>
      <c r="H71" s="2" t="str">
        <f t="shared" si="31"/>
        <v/>
      </c>
      <c r="I71" s="2" t="str">
        <f t="shared" si="31"/>
        <v/>
      </c>
      <c r="J71" s="2" t="str">
        <f t="shared" si="31"/>
        <v/>
      </c>
      <c r="K71" s="2" t="str">
        <f t="shared" si="31"/>
        <v/>
      </c>
      <c r="L71" s="2" t="str">
        <f t="shared" si="19"/>
        <v/>
      </c>
      <c r="M71" s="2" t="str">
        <f t="shared" si="11"/>
        <v/>
      </c>
      <c r="N71" s="2" t="str">
        <f t="shared" si="12"/>
        <v/>
      </c>
      <c r="O71" s="2" t="str">
        <f t="shared" ref="O71:S71" si="32">X11</f>
        <v/>
      </c>
      <c r="P71" s="2" t="str">
        <f t="shared" si="32"/>
        <v/>
      </c>
      <c r="Q71" s="2" t="str">
        <f t="shared" si="32"/>
        <v/>
      </c>
      <c r="R71" s="2" t="str">
        <f t="shared" si="32"/>
        <v/>
      </c>
      <c r="S71" s="2" t="str">
        <f t="shared" si="32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hidden="1">
      <c r="A72" s="176" t="str">
        <f t="shared" si="9"/>
        <v>Henry</v>
      </c>
      <c r="B72" s="178" t="str">
        <f t="shared" ref="B72:K72" si="33">L12</f>
        <v>Win</v>
      </c>
      <c r="C72" s="2" t="str">
        <f t="shared" si="33"/>
        <v/>
      </c>
      <c r="D72" s="2" t="str">
        <f t="shared" si="33"/>
        <v/>
      </c>
      <c r="E72" s="2" t="str">
        <f t="shared" si="33"/>
        <v/>
      </c>
      <c r="F72" s="2" t="str">
        <f t="shared" si="33"/>
        <v/>
      </c>
      <c r="G72" s="2" t="str">
        <f t="shared" si="33"/>
        <v/>
      </c>
      <c r="H72" s="2" t="str">
        <f t="shared" si="33"/>
        <v/>
      </c>
      <c r="I72" s="2" t="str">
        <f t="shared" si="33"/>
        <v/>
      </c>
      <c r="J72" s="2" t="str">
        <f t="shared" si="33"/>
        <v/>
      </c>
      <c r="K72" s="2" t="str">
        <f t="shared" si="33"/>
        <v/>
      </c>
      <c r="L72" s="2" t="str">
        <f t="shared" si="19"/>
        <v/>
      </c>
      <c r="M72" s="2" t="str">
        <f t="shared" si="11"/>
        <v/>
      </c>
      <c r="N72" s="2" t="str">
        <f t="shared" si="12"/>
        <v/>
      </c>
      <c r="O72" s="2" t="str">
        <f t="shared" ref="O72:S72" si="34">X12</f>
        <v/>
      </c>
      <c r="P72" s="2" t="str">
        <f t="shared" si="34"/>
        <v/>
      </c>
      <c r="Q72" s="2" t="str">
        <f t="shared" si="34"/>
        <v/>
      </c>
      <c r="R72" s="2" t="str">
        <f t="shared" si="34"/>
        <v/>
      </c>
      <c r="S72" s="2" t="str">
        <f t="shared" si="3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hidden="1">
      <c r="A73" s="2" t="str">
        <f t="shared" si="9"/>
        <v>Ayush</v>
      </c>
      <c r="B73" s="178" t="str">
        <f t="shared" ref="B73:K73" si="35">L13</f>
        <v>Win</v>
      </c>
      <c r="C73" s="2" t="str">
        <f t="shared" si="35"/>
        <v/>
      </c>
      <c r="D73" s="2" t="str">
        <f t="shared" si="35"/>
        <v/>
      </c>
      <c r="E73" s="2" t="str">
        <f t="shared" si="35"/>
        <v/>
      </c>
      <c r="F73" s="2" t="str">
        <f t="shared" si="35"/>
        <v/>
      </c>
      <c r="G73" s="2" t="str">
        <f t="shared" si="35"/>
        <v/>
      </c>
      <c r="H73" s="2" t="str">
        <f t="shared" si="35"/>
        <v/>
      </c>
      <c r="I73" s="2" t="str">
        <f t="shared" si="35"/>
        <v/>
      </c>
      <c r="J73" s="2" t="str">
        <f t="shared" si="35"/>
        <v/>
      </c>
      <c r="K73" s="2" t="str">
        <f t="shared" si="35"/>
        <v/>
      </c>
      <c r="L73" s="2" t="str">
        <f t="shared" si="19"/>
        <v/>
      </c>
      <c r="M73" s="2" t="str">
        <f t="shared" si="11"/>
        <v/>
      </c>
      <c r="N73" s="2" t="str">
        <f t="shared" si="12"/>
        <v/>
      </c>
      <c r="O73" s="2" t="str">
        <f t="shared" ref="O73:S73" si="36">X13</f>
        <v/>
      </c>
      <c r="P73" s="2" t="str">
        <f t="shared" si="36"/>
        <v/>
      </c>
      <c r="Q73" s="2" t="str">
        <f t="shared" si="36"/>
        <v/>
      </c>
      <c r="R73" s="2" t="str">
        <f t="shared" si="36"/>
        <v/>
      </c>
      <c r="S73" s="2" t="str">
        <f t="shared" si="36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hidden="1">
      <c r="A74" s="2" t="str">
        <f t="shared" si="9"/>
        <v/>
      </c>
      <c r="B74" s="178" t="str">
        <f t="shared" ref="B74:K74" si="37">L14</f>
        <v>Win</v>
      </c>
      <c r="C74" s="2" t="str">
        <f t="shared" si="37"/>
        <v/>
      </c>
      <c r="D74" s="2" t="str">
        <f t="shared" si="37"/>
        <v/>
      </c>
      <c r="E74" s="2" t="str">
        <f t="shared" si="37"/>
        <v/>
      </c>
      <c r="F74" s="2" t="str">
        <f t="shared" si="37"/>
        <v/>
      </c>
      <c r="G74" s="2" t="str">
        <f t="shared" si="37"/>
        <v/>
      </c>
      <c r="H74" s="2" t="str">
        <f t="shared" si="37"/>
        <v/>
      </c>
      <c r="I74" s="2" t="str">
        <f t="shared" si="37"/>
        <v/>
      </c>
      <c r="J74" s="2" t="str">
        <f t="shared" si="37"/>
        <v/>
      </c>
      <c r="K74" s="2" t="str">
        <f t="shared" si="37"/>
        <v/>
      </c>
      <c r="L74" s="2" t="str">
        <f t="shared" si="19"/>
        <v/>
      </c>
      <c r="M74" s="2" t="str">
        <f t="shared" si="11"/>
        <v/>
      </c>
      <c r="N74" s="2" t="str">
        <f t="shared" si="12"/>
        <v/>
      </c>
      <c r="O74" s="2" t="str">
        <f t="shared" ref="O74:S74" si="38">X14</f>
        <v/>
      </c>
      <c r="P74" s="2" t="str">
        <f t="shared" si="38"/>
        <v/>
      </c>
      <c r="Q74" s="2" t="str">
        <f t="shared" si="38"/>
        <v/>
      </c>
      <c r="R74" s="2" t="str">
        <f t="shared" si="38"/>
        <v/>
      </c>
      <c r="S74" s="2" t="str">
        <f t="shared" si="38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hidden="1">
      <c r="A75" s="2" t="str">
        <f t="shared" si="9"/>
        <v/>
      </c>
      <c r="B75" s="178" t="str">
        <f t="shared" ref="B75:K75" si="39">L15</f>
        <v>Win</v>
      </c>
      <c r="C75" s="2" t="str">
        <f t="shared" si="39"/>
        <v/>
      </c>
      <c r="D75" s="2" t="str">
        <f t="shared" si="39"/>
        <v/>
      </c>
      <c r="E75" s="2" t="str">
        <f t="shared" si="39"/>
        <v/>
      </c>
      <c r="F75" s="2" t="str">
        <f t="shared" si="39"/>
        <v/>
      </c>
      <c r="G75" s="2" t="str">
        <f t="shared" si="39"/>
        <v/>
      </c>
      <c r="H75" s="2" t="str">
        <f t="shared" si="39"/>
        <v/>
      </c>
      <c r="I75" s="2" t="str">
        <f t="shared" si="39"/>
        <v/>
      </c>
      <c r="J75" s="2" t="str">
        <f t="shared" si="39"/>
        <v/>
      </c>
      <c r="K75" s="2" t="str">
        <f t="shared" si="39"/>
        <v/>
      </c>
      <c r="L75" s="2" t="str">
        <f t="shared" si="19"/>
        <v/>
      </c>
      <c r="M75" s="2" t="str">
        <f t="shared" si="11"/>
        <v/>
      </c>
      <c r="N75" s="2" t="str">
        <f t="shared" si="12"/>
        <v/>
      </c>
      <c r="O75" s="2" t="str">
        <f t="shared" ref="O75:S75" si="40">X15</f>
        <v/>
      </c>
      <c r="P75" s="2" t="str">
        <f t="shared" si="40"/>
        <v/>
      </c>
      <c r="Q75" s="2" t="str">
        <f t="shared" si="40"/>
        <v/>
      </c>
      <c r="R75" s="2" t="str">
        <f t="shared" si="40"/>
        <v/>
      </c>
      <c r="S75" s="2" t="str">
        <f t="shared" si="40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hidden="1">
      <c r="A76" s="2" t="str">
        <f t="shared" si="9"/>
        <v/>
      </c>
      <c r="B76" s="178" t="str">
        <f t="shared" ref="B76:K76" si="41">L16</f>
        <v>Win</v>
      </c>
      <c r="C76" s="2" t="str">
        <f t="shared" si="41"/>
        <v/>
      </c>
      <c r="D76" s="2" t="str">
        <f t="shared" si="41"/>
        <v/>
      </c>
      <c r="E76" s="2" t="str">
        <f t="shared" si="41"/>
        <v/>
      </c>
      <c r="F76" s="2" t="str">
        <f t="shared" si="41"/>
        <v/>
      </c>
      <c r="G76" s="2" t="str">
        <f t="shared" si="41"/>
        <v/>
      </c>
      <c r="H76" s="2" t="str">
        <f t="shared" si="41"/>
        <v/>
      </c>
      <c r="I76" s="2" t="str">
        <f t="shared" si="41"/>
        <v/>
      </c>
      <c r="J76" s="2" t="str">
        <f t="shared" si="41"/>
        <v/>
      </c>
      <c r="K76" s="2" t="str">
        <f t="shared" si="41"/>
        <v/>
      </c>
      <c r="L76" s="2" t="str">
        <f t="shared" si="19"/>
        <v/>
      </c>
      <c r="M76" s="2" t="str">
        <f t="shared" si="11"/>
        <v/>
      </c>
      <c r="N76" s="2" t="str">
        <f t="shared" si="12"/>
        <v/>
      </c>
      <c r="O76" s="2" t="str">
        <f t="shared" ref="O76:S76" si="42">X16</f>
        <v/>
      </c>
      <c r="P76" s="2" t="str">
        <f t="shared" si="42"/>
        <v/>
      </c>
      <c r="Q76" s="2" t="str">
        <f t="shared" si="42"/>
        <v/>
      </c>
      <c r="R76" s="2" t="str">
        <f t="shared" si="42"/>
        <v/>
      </c>
      <c r="S76" s="2" t="str">
        <f t="shared" si="42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hidden="1">
      <c r="A77" s="2" t="str">
        <f t="shared" si="9"/>
        <v/>
      </c>
      <c r="B77" s="178" t="str">
        <f t="shared" ref="B77:K77" si="43">L17</f>
        <v>Win</v>
      </c>
      <c r="C77" s="2" t="str">
        <f t="shared" si="43"/>
        <v/>
      </c>
      <c r="D77" s="2" t="str">
        <f t="shared" si="43"/>
        <v/>
      </c>
      <c r="E77" s="2" t="str">
        <f t="shared" si="43"/>
        <v/>
      </c>
      <c r="F77" s="2" t="str">
        <f t="shared" si="43"/>
        <v/>
      </c>
      <c r="G77" s="2" t="str">
        <f t="shared" si="43"/>
        <v/>
      </c>
      <c r="H77" s="2" t="str">
        <f t="shared" si="43"/>
        <v/>
      </c>
      <c r="I77" s="2" t="str">
        <f t="shared" si="43"/>
        <v/>
      </c>
      <c r="J77" s="2" t="str">
        <f t="shared" si="43"/>
        <v/>
      </c>
      <c r="K77" s="2" t="str">
        <f t="shared" si="43"/>
        <v/>
      </c>
      <c r="L77" s="2" t="str">
        <f t="shared" si="19"/>
        <v/>
      </c>
      <c r="M77" s="2" t="str">
        <f t="shared" si="11"/>
        <v/>
      </c>
      <c r="N77" s="2" t="str">
        <f t="shared" si="12"/>
        <v/>
      </c>
      <c r="O77" s="2" t="str">
        <f t="shared" ref="O77:S77" si="44">X17</f>
        <v/>
      </c>
      <c r="P77" s="2" t="str">
        <f t="shared" si="44"/>
        <v/>
      </c>
      <c r="Q77" s="2" t="str">
        <f t="shared" si="44"/>
        <v/>
      </c>
      <c r="R77" s="2" t="str">
        <f t="shared" si="44"/>
        <v/>
      </c>
      <c r="S77" s="2" t="str">
        <f t="shared" si="4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hidden="1">
      <c r="A78" s="176" t="str">
        <f t="shared" si="9"/>
        <v>Pulled Cups</v>
      </c>
      <c r="B78" s="178" t="str">
        <f t="shared" ref="B78:K78" si="45">L18</f>
        <v/>
      </c>
      <c r="C78" s="2" t="str">
        <f t="shared" si="45"/>
        <v/>
      </c>
      <c r="D78" s="2" t="str">
        <f t="shared" si="45"/>
        <v/>
      </c>
      <c r="E78" s="2" t="str">
        <f t="shared" si="45"/>
        <v/>
      </c>
      <c r="F78" s="2" t="str">
        <f t="shared" si="45"/>
        <v/>
      </c>
      <c r="G78" s="2" t="str">
        <f t="shared" si="45"/>
        <v/>
      </c>
      <c r="H78" s="2" t="str">
        <f t="shared" si="45"/>
        <v/>
      </c>
      <c r="I78" s="2" t="str">
        <f t="shared" si="45"/>
        <v/>
      </c>
      <c r="J78" s="2" t="str">
        <f t="shared" si="45"/>
        <v/>
      </c>
      <c r="K78" s="2" t="str">
        <f t="shared" si="45"/>
        <v/>
      </c>
      <c r="L78" s="2" t="str">
        <f t="shared" si="19"/>
        <v/>
      </c>
      <c r="M78" s="2" t="str">
        <f t="shared" si="11"/>
        <v/>
      </c>
      <c r="N78" s="2" t="str">
        <f t="shared" si="12"/>
        <v/>
      </c>
      <c r="O78" s="2" t="str">
        <f t="shared" ref="O78:S78" si="46">X18</f>
        <v/>
      </c>
      <c r="P78" s="2" t="str">
        <f t="shared" si="46"/>
        <v/>
      </c>
      <c r="Q78" s="2" t="str">
        <f t="shared" si="46"/>
        <v/>
      </c>
      <c r="R78" s="2" t="str">
        <f t="shared" si="46"/>
        <v/>
      </c>
      <c r="S78" s="2" t="str">
        <f t="shared" si="46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hidden="1">
      <c r="A79" s="176" t="str">
        <f t="shared" si="9"/>
        <v>Total</v>
      </c>
      <c r="B79" s="178" t="str">
        <f t="shared" ref="B79:K79" si="47">L19</f>
        <v/>
      </c>
      <c r="C79" s="2" t="str">
        <f t="shared" si="47"/>
        <v/>
      </c>
      <c r="D79" s="129">
        <f t="shared" si="47"/>
        <v>101</v>
      </c>
      <c r="E79" s="2" t="str">
        <f t="shared" si="47"/>
        <v/>
      </c>
      <c r="F79" s="2" t="str">
        <f t="shared" si="47"/>
        <v/>
      </c>
      <c r="G79" s="2" t="str">
        <f t="shared" si="47"/>
        <v/>
      </c>
      <c r="H79" s="2" t="str">
        <f t="shared" si="47"/>
        <v/>
      </c>
      <c r="I79" s="128">
        <f t="shared" si="47"/>
        <v>0.4334763948</v>
      </c>
      <c r="J79" s="2" t="str">
        <f t="shared" si="47"/>
        <v/>
      </c>
      <c r="K79" s="2" t="str">
        <f t="shared" si="47"/>
        <v/>
      </c>
      <c r="L79" s="2" t="str">
        <f t="shared" si="19"/>
        <v/>
      </c>
      <c r="M79" s="2" t="str">
        <f t="shared" si="11"/>
        <v/>
      </c>
      <c r="N79" s="129" t="str">
        <f t="shared" si="12"/>
        <v/>
      </c>
      <c r="O79" s="2" t="str">
        <f t="shared" ref="O79:S79" si="48">X19</f>
        <v/>
      </c>
      <c r="P79" s="2" t="str">
        <f t="shared" si="48"/>
        <v/>
      </c>
      <c r="Q79" s="2" t="str">
        <f t="shared" si="48"/>
        <v/>
      </c>
      <c r="R79" s="2" t="str">
        <f t="shared" si="48"/>
        <v/>
      </c>
      <c r="S79" s="2" t="str">
        <f t="shared" si="48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hidden="1">
      <c r="A80" s="2" t="str">
        <f t="shared" si="9"/>
        <v/>
      </c>
      <c r="B80" s="178" t="str">
        <f t="shared" ref="B80:K80" si="49">L20</f>
        <v/>
      </c>
      <c r="C80" s="2" t="str">
        <f t="shared" si="49"/>
        <v/>
      </c>
      <c r="D80" s="2" t="str">
        <f t="shared" si="49"/>
        <v/>
      </c>
      <c r="E80" s="2" t="str">
        <f t="shared" si="49"/>
        <v/>
      </c>
      <c r="F80" s="2" t="str">
        <f t="shared" si="49"/>
        <v/>
      </c>
      <c r="G80" s="2" t="str">
        <f t="shared" si="49"/>
        <v/>
      </c>
      <c r="H80" s="2" t="str">
        <f t="shared" si="49"/>
        <v/>
      </c>
      <c r="I80" s="2" t="str">
        <f t="shared" si="49"/>
        <v/>
      </c>
      <c r="J80" s="2" t="str">
        <f t="shared" si="49"/>
        <v/>
      </c>
      <c r="K80" s="2" t="str">
        <f t="shared" si="49"/>
        <v/>
      </c>
      <c r="L80" s="2" t="str">
        <f t="shared" si="19"/>
        <v/>
      </c>
      <c r="M80" s="2" t="str">
        <f t="shared" si="11"/>
        <v/>
      </c>
      <c r="N80" s="2" t="str">
        <f t="shared" si="12"/>
        <v/>
      </c>
      <c r="O80" s="2" t="str">
        <f t="shared" ref="O80:S80" si="50">X20</f>
        <v/>
      </c>
      <c r="P80" s="2" t="str">
        <f t="shared" si="50"/>
        <v/>
      </c>
      <c r="Q80" s="2" t="str">
        <f t="shared" si="50"/>
        <v/>
      </c>
      <c r="R80" s="2" t="str">
        <f t="shared" si="50"/>
        <v/>
      </c>
      <c r="S80" s="2" t="str">
        <f t="shared" si="50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hidden="1">
      <c r="A81" s="176" t="str">
        <f t="shared" si="9"/>
        <v>Team E</v>
      </c>
      <c r="B81" s="178" t="str">
        <f t="shared" ref="B81:K81" si="51">L21</f>
        <v/>
      </c>
      <c r="C81" s="2" t="str">
        <f t="shared" si="51"/>
        <v/>
      </c>
      <c r="D81" s="2" t="str">
        <f t="shared" si="51"/>
        <v/>
      </c>
      <c r="E81" s="176" t="str">
        <f t="shared" si="51"/>
        <v>Result</v>
      </c>
      <c r="F81" s="166" t="str">
        <f t="shared" si="51"/>
        <v>Win</v>
      </c>
      <c r="G81" s="2" t="str">
        <f t="shared" si="51"/>
        <v/>
      </c>
      <c r="H81" s="176" t="str">
        <f t="shared" si="51"/>
        <v>Margin</v>
      </c>
      <c r="I81" s="129">
        <f t="shared" si="51"/>
        <v>1</v>
      </c>
      <c r="J81" s="2" t="str">
        <f t="shared" si="51"/>
        <v/>
      </c>
      <c r="K81" s="2" t="str">
        <f t="shared" si="51"/>
        <v/>
      </c>
      <c r="L81" s="2" t="str">
        <f t="shared" si="19"/>
        <v/>
      </c>
      <c r="M81" s="2" t="str">
        <f t="shared" si="11"/>
        <v/>
      </c>
      <c r="N81" s="2" t="str">
        <f t="shared" si="12"/>
        <v/>
      </c>
      <c r="O81" s="2" t="str">
        <f t="shared" ref="O81:S81" si="52">X21</f>
        <v/>
      </c>
      <c r="P81" s="2" t="str">
        <f t="shared" si="52"/>
        <v/>
      </c>
      <c r="Q81" s="2" t="str">
        <f t="shared" si="52"/>
        <v/>
      </c>
      <c r="R81" s="2" t="str">
        <f t="shared" si="52"/>
        <v/>
      </c>
      <c r="S81" s="2" t="str">
        <f t="shared" si="52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hidden="1">
      <c r="A82" s="176" t="str">
        <f t="shared" si="9"/>
        <v>Name</v>
      </c>
      <c r="B82" s="178" t="str">
        <f t="shared" ref="B82:K82" si="53">L22</f>
        <v>W/L?</v>
      </c>
      <c r="C82" s="176" t="str">
        <f t="shared" si="53"/>
        <v>Shot Order</v>
      </c>
      <c r="D82" s="176" t="str">
        <f t="shared" si="53"/>
        <v>Total Cups</v>
      </c>
      <c r="E82" s="176" t="str">
        <f t="shared" si="53"/>
        <v>Tops</v>
      </c>
      <c r="F82" s="176" t="str">
        <f t="shared" si="53"/>
        <v>Top Isos</v>
      </c>
      <c r="G82" s="176" t="str">
        <f t="shared" si="53"/>
        <v>Bottoms</v>
      </c>
      <c r="H82" s="176" t="str">
        <f t="shared" si="53"/>
        <v>Bottom Isos</v>
      </c>
      <c r="I82" s="176" t="str">
        <f t="shared" si="53"/>
        <v>Misses</v>
      </c>
      <c r="J82" s="2" t="str">
        <f t="shared" si="53"/>
        <v/>
      </c>
      <c r="K82" s="2" t="str">
        <f t="shared" si="53"/>
        <v/>
      </c>
      <c r="L82" s="2" t="str">
        <f t="shared" si="19"/>
        <v/>
      </c>
      <c r="M82" s="2" t="str">
        <f t="shared" si="11"/>
        <v/>
      </c>
      <c r="N82" s="176" t="str">
        <f t="shared" si="12"/>
        <v/>
      </c>
      <c r="O82" s="2" t="str">
        <f t="shared" ref="O82:S82" si="54">X22</f>
        <v/>
      </c>
      <c r="P82" s="2" t="str">
        <f t="shared" si="54"/>
        <v/>
      </c>
      <c r="Q82" s="2" t="str">
        <f t="shared" si="54"/>
        <v/>
      </c>
      <c r="R82" s="2" t="str">
        <f t="shared" si="54"/>
        <v/>
      </c>
      <c r="S82" s="2" t="str">
        <f t="shared" si="5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hidden="1">
      <c r="A83" s="176" t="str">
        <f t="shared" si="9"/>
        <v>Guel</v>
      </c>
      <c r="B83" s="178" t="str">
        <f t="shared" ref="B83:K83" si="55">L23</f>
        <v>Win</v>
      </c>
      <c r="C83" s="2">
        <f t="shared" si="55"/>
        <v>6</v>
      </c>
      <c r="D83" s="152">
        <f t="shared" si="55"/>
        <v>23</v>
      </c>
      <c r="E83" s="2">
        <f t="shared" si="55"/>
        <v>7</v>
      </c>
      <c r="F83" s="2">
        <f t="shared" si="55"/>
        <v>4</v>
      </c>
      <c r="G83" s="2">
        <f t="shared" si="55"/>
        <v>8</v>
      </c>
      <c r="H83" s="2">
        <f t="shared" si="55"/>
        <v>4</v>
      </c>
      <c r="I83" s="2">
        <f t="shared" si="55"/>
        <v>26</v>
      </c>
      <c r="J83" s="2" t="str">
        <f t="shared" si="55"/>
        <v/>
      </c>
      <c r="K83" s="2" t="str">
        <f t="shared" si="55"/>
        <v/>
      </c>
      <c r="L83" s="2" t="str">
        <f t="shared" si="19"/>
        <v/>
      </c>
      <c r="M83" s="2" t="str">
        <f t="shared" si="11"/>
        <v/>
      </c>
      <c r="N83" s="152" t="str">
        <f t="shared" si="12"/>
        <v/>
      </c>
      <c r="O83" s="2" t="str">
        <f t="shared" ref="O83:S83" si="56">X23</f>
        <v/>
      </c>
      <c r="P83" s="2" t="str">
        <f t="shared" si="56"/>
        <v/>
      </c>
      <c r="Q83" s="2" t="str">
        <f t="shared" si="56"/>
        <v/>
      </c>
      <c r="R83" s="2" t="str">
        <f t="shared" si="56"/>
        <v/>
      </c>
      <c r="S83" s="2" t="str">
        <f t="shared" si="56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hidden="1">
      <c r="A84" s="2" t="str">
        <f t="shared" si="9"/>
        <v>Pasha</v>
      </c>
      <c r="B84" s="178" t="str">
        <f t="shared" ref="B84:K84" si="57">L24</f>
        <v>Win</v>
      </c>
      <c r="C84" s="2">
        <f t="shared" si="57"/>
        <v>2</v>
      </c>
      <c r="D84" s="152">
        <f t="shared" si="57"/>
        <v>13</v>
      </c>
      <c r="E84" s="2">
        <f t="shared" si="57"/>
        <v>8</v>
      </c>
      <c r="F84" s="2">
        <f t="shared" si="57"/>
        <v>0</v>
      </c>
      <c r="G84" s="2">
        <f t="shared" si="57"/>
        <v>5</v>
      </c>
      <c r="H84" s="2">
        <f t="shared" si="57"/>
        <v>0</v>
      </c>
      <c r="I84" s="2">
        <f t="shared" si="57"/>
        <v>28</v>
      </c>
      <c r="J84" s="2" t="str">
        <f t="shared" si="57"/>
        <v/>
      </c>
      <c r="K84" s="2" t="str">
        <f t="shared" si="57"/>
        <v/>
      </c>
      <c r="L84" s="2" t="str">
        <f t="shared" si="19"/>
        <v/>
      </c>
      <c r="M84" s="2" t="str">
        <f t="shared" si="11"/>
        <v/>
      </c>
      <c r="N84" s="152" t="str">
        <f t="shared" si="12"/>
        <v/>
      </c>
      <c r="O84" s="2" t="str">
        <f t="shared" ref="O84:S84" si="58">X24</f>
        <v/>
      </c>
      <c r="P84" s="2" t="str">
        <f t="shared" si="58"/>
        <v/>
      </c>
      <c r="Q84" s="2" t="str">
        <f t="shared" si="58"/>
        <v/>
      </c>
      <c r="R84" s="2" t="str">
        <f t="shared" si="58"/>
        <v/>
      </c>
      <c r="S84" s="2" t="str">
        <f t="shared" si="58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hidden="1">
      <c r="A85" s="176" t="str">
        <f t="shared" si="9"/>
        <v>Yost</v>
      </c>
      <c r="B85" s="178" t="str">
        <f t="shared" ref="B85:K85" si="59">L25</f>
        <v>Win</v>
      </c>
      <c r="C85" s="2">
        <f t="shared" si="59"/>
        <v>4</v>
      </c>
      <c r="D85" s="152">
        <f t="shared" si="59"/>
        <v>16</v>
      </c>
      <c r="E85" s="2">
        <f t="shared" si="59"/>
        <v>12</v>
      </c>
      <c r="F85" s="2">
        <f t="shared" si="59"/>
        <v>1</v>
      </c>
      <c r="G85" s="2">
        <f t="shared" si="59"/>
        <v>3</v>
      </c>
      <c r="H85" s="2">
        <f t="shared" si="59"/>
        <v>0</v>
      </c>
      <c r="I85" s="2">
        <f t="shared" si="59"/>
        <v>29</v>
      </c>
      <c r="J85" s="2" t="str">
        <f t="shared" si="59"/>
        <v/>
      </c>
      <c r="K85" s="2" t="str">
        <f t="shared" si="59"/>
        <v/>
      </c>
      <c r="L85" s="2" t="str">
        <f t="shared" si="19"/>
        <v/>
      </c>
      <c r="M85" s="2" t="str">
        <f t="shared" si="11"/>
        <v/>
      </c>
      <c r="N85" s="152" t="str">
        <f t="shared" si="12"/>
        <v/>
      </c>
      <c r="O85" s="2" t="str">
        <f t="shared" ref="O85:S85" si="60">X25</f>
        <v/>
      </c>
      <c r="P85" s="2" t="str">
        <f t="shared" si="60"/>
        <v/>
      </c>
      <c r="Q85" s="2" t="str">
        <f t="shared" si="60"/>
        <v/>
      </c>
      <c r="R85" s="2" t="str">
        <f t="shared" si="60"/>
        <v/>
      </c>
      <c r="S85" s="2" t="str">
        <f t="shared" si="60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hidden="1">
      <c r="A86" s="176" t="str">
        <f t="shared" si="9"/>
        <v>Sean</v>
      </c>
      <c r="B86" s="178" t="str">
        <f t="shared" ref="B86:K86" si="61">L26</f>
        <v>Win</v>
      </c>
      <c r="C86" s="2">
        <f t="shared" si="61"/>
        <v>5</v>
      </c>
      <c r="D86" s="152">
        <f t="shared" si="61"/>
        <v>16</v>
      </c>
      <c r="E86" s="2">
        <f t="shared" si="61"/>
        <v>6</v>
      </c>
      <c r="F86" s="2">
        <f t="shared" si="61"/>
        <v>0</v>
      </c>
      <c r="G86" s="2">
        <f t="shared" si="61"/>
        <v>7</v>
      </c>
      <c r="H86" s="2">
        <f t="shared" si="61"/>
        <v>3</v>
      </c>
      <c r="I86" s="2">
        <f t="shared" si="61"/>
        <v>29</v>
      </c>
      <c r="J86" s="2" t="str">
        <f t="shared" si="61"/>
        <v/>
      </c>
      <c r="K86" s="2" t="str">
        <f t="shared" si="61"/>
        <v/>
      </c>
      <c r="L86" s="2" t="str">
        <f t="shared" si="19"/>
        <v/>
      </c>
      <c r="M86" s="2" t="str">
        <f t="shared" si="11"/>
        <v/>
      </c>
      <c r="N86" s="152" t="str">
        <f t="shared" si="12"/>
        <v/>
      </c>
      <c r="O86" s="2" t="str">
        <f t="shared" ref="O86:S86" si="62">X26</f>
        <v/>
      </c>
      <c r="P86" s="2" t="str">
        <f t="shared" si="62"/>
        <v/>
      </c>
      <c r="Q86" s="2" t="str">
        <f t="shared" si="62"/>
        <v/>
      </c>
      <c r="R86" s="2" t="str">
        <f t="shared" si="62"/>
        <v/>
      </c>
      <c r="S86" s="2" t="str">
        <f t="shared" si="62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hidden="1">
      <c r="A87" s="2" t="str">
        <f t="shared" si="9"/>
        <v>Samos</v>
      </c>
      <c r="B87" s="178" t="str">
        <f t="shared" ref="B87:K87" si="63">L27</f>
        <v>Win</v>
      </c>
      <c r="C87" s="2">
        <f t="shared" si="63"/>
        <v>1</v>
      </c>
      <c r="D87" s="152">
        <f t="shared" si="63"/>
        <v>15</v>
      </c>
      <c r="E87" s="2">
        <f t="shared" si="63"/>
        <v>3</v>
      </c>
      <c r="F87" s="2">
        <f t="shared" si="63"/>
        <v>1</v>
      </c>
      <c r="G87" s="2">
        <f t="shared" si="63"/>
        <v>9</v>
      </c>
      <c r="H87" s="2">
        <f t="shared" si="63"/>
        <v>2</v>
      </c>
      <c r="I87" s="2">
        <f t="shared" si="63"/>
        <v>27</v>
      </c>
      <c r="J87" s="2" t="str">
        <f t="shared" si="63"/>
        <v/>
      </c>
      <c r="K87" s="2" t="str">
        <f t="shared" si="63"/>
        <v/>
      </c>
      <c r="L87" s="2" t="str">
        <f t="shared" si="19"/>
        <v/>
      </c>
      <c r="M87" s="2" t="str">
        <f t="shared" si="11"/>
        <v/>
      </c>
      <c r="N87" s="152" t="str">
        <f t="shared" si="12"/>
        <v/>
      </c>
      <c r="O87" s="2" t="str">
        <f t="shared" ref="O87:S87" si="64">X27</f>
        <v/>
      </c>
      <c r="P87" s="2" t="str">
        <f t="shared" si="64"/>
        <v/>
      </c>
      <c r="Q87" s="2" t="str">
        <f t="shared" si="64"/>
        <v/>
      </c>
      <c r="R87" s="2" t="str">
        <f t="shared" si="64"/>
        <v/>
      </c>
      <c r="S87" s="2" t="str">
        <f t="shared" si="6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hidden="1">
      <c r="A88" s="2" t="str">
        <f t="shared" si="9"/>
        <v>Soho</v>
      </c>
      <c r="B88" s="178" t="str">
        <f t="shared" ref="B88:K88" si="65">L28</f>
        <v>Win</v>
      </c>
      <c r="C88" s="2">
        <f t="shared" si="65"/>
        <v>3</v>
      </c>
      <c r="D88" s="152">
        <f t="shared" si="65"/>
        <v>15</v>
      </c>
      <c r="E88" s="2">
        <f t="shared" si="65"/>
        <v>2</v>
      </c>
      <c r="F88" s="2">
        <f t="shared" si="65"/>
        <v>0</v>
      </c>
      <c r="G88" s="2">
        <f t="shared" si="65"/>
        <v>13</v>
      </c>
      <c r="H88" s="2">
        <f t="shared" si="65"/>
        <v>0</v>
      </c>
      <c r="I88" s="2">
        <f t="shared" si="65"/>
        <v>29</v>
      </c>
      <c r="J88" s="2" t="str">
        <f t="shared" si="65"/>
        <v/>
      </c>
      <c r="K88" s="2" t="str">
        <f t="shared" si="65"/>
        <v/>
      </c>
      <c r="L88" s="2" t="str">
        <f t="shared" si="19"/>
        <v/>
      </c>
      <c r="M88" s="2" t="str">
        <f t="shared" si="11"/>
        <v/>
      </c>
      <c r="N88" s="152" t="str">
        <f t="shared" si="12"/>
        <v/>
      </c>
      <c r="O88" s="2" t="str">
        <f t="shared" ref="O88:S88" si="66">X28</f>
        <v/>
      </c>
      <c r="P88" s="2" t="str">
        <f t="shared" si="66"/>
        <v/>
      </c>
      <c r="Q88" s="2" t="str">
        <f t="shared" si="66"/>
        <v/>
      </c>
      <c r="R88" s="2" t="str">
        <f t="shared" si="66"/>
        <v/>
      </c>
      <c r="S88" s="2" t="str">
        <f t="shared" si="66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hidden="1">
      <c r="A89" s="2" t="str">
        <f t="shared" si="9"/>
        <v>Haldar</v>
      </c>
      <c r="B89" s="178" t="str">
        <f t="shared" ref="B89:K89" si="67">L29</f>
        <v>Win</v>
      </c>
      <c r="C89" s="2" t="str">
        <f t="shared" si="67"/>
        <v/>
      </c>
      <c r="D89" s="152" t="str">
        <f t="shared" si="67"/>
        <v/>
      </c>
      <c r="E89" s="2" t="str">
        <f t="shared" si="67"/>
        <v/>
      </c>
      <c r="F89" s="2" t="str">
        <f t="shared" si="67"/>
        <v/>
      </c>
      <c r="G89" s="2" t="str">
        <f t="shared" si="67"/>
        <v/>
      </c>
      <c r="H89" s="2" t="str">
        <f t="shared" si="67"/>
        <v/>
      </c>
      <c r="I89" s="2" t="str">
        <f t="shared" si="67"/>
        <v/>
      </c>
      <c r="J89" s="2" t="str">
        <f t="shared" si="67"/>
        <v/>
      </c>
      <c r="K89" s="2" t="str">
        <f t="shared" si="67"/>
        <v/>
      </c>
      <c r="L89" s="2" t="str">
        <f t="shared" si="19"/>
        <v/>
      </c>
      <c r="M89" s="2" t="str">
        <f t="shared" si="11"/>
        <v/>
      </c>
      <c r="N89" s="152" t="str">
        <f t="shared" si="12"/>
        <v/>
      </c>
      <c r="O89" s="2" t="str">
        <f t="shared" ref="O89:S89" si="68">X29</f>
        <v/>
      </c>
      <c r="P89" s="2" t="str">
        <f t="shared" si="68"/>
        <v/>
      </c>
      <c r="Q89" s="2" t="str">
        <f t="shared" si="68"/>
        <v/>
      </c>
      <c r="R89" s="2" t="str">
        <f t="shared" si="68"/>
        <v/>
      </c>
      <c r="S89" s="2" t="str">
        <f t="shared" si="68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hidden="1">
      <c r="A90" s="2" t="str">
        <f t="shared" si="9"/>
        <v>Dji</v>
      </c>
      <c r="B90" s="178" t="str">
        <f t="shared" ref="B90:K90" si="69">L30</f>
        <v>Win</v>
      </c>
      <c r="C90" s="2" t="str">
        <f t="shared" si="69"/>
        <v/>
      </c>
      <c r="D90" s="152" t="str">
        <f t="shared" si="69"/>
        <v/>
      </c>
      <c r="E90" s="2" t="str">
        <f t="shared" si="69"/>
        <v/>
      </c>
      <c r="F90" s="2" t="str">
        <f t="shared" si="69"/>
        <v/>
      </c>
      <c r="G90" s="2" t="str">
        <f t="shared" si="69"/>
        <v/>
      </c>
      <c r="H90" s="2" t="str">
        <f t="shared" si="69"/>
        <v/>
      </c>
      <c r="I90" s="2" t="str">
        <f t="shared" si="69"/>
        <v/>
      </c>
      <c r="J90" s="2" t="str">
        <f t="shared" si="69"/>
        <v/>
      </c>
      <c r="K90" s="2" t="str">
        <f t="shared" si="69"/>
        <v/>
      </c>
      <c r="L90" s="2" t="str">
        <f t="shared" si="19"/>
        <v/>
      </c>
      <c r="M90" s="2" t="str">
        <f t="shared" si="11"/>
        <v/>
      </c>
      <c r="N90" s="152" t="str">
        <f t="shared" si="12"/>
        <v/>
      </c>
      <c r="O90" s="2" t="str">
        <f t="shared" ref="O90:S90" si="70">X30</f>
        <v/>
      </c>
      <c r="P90" s="2" t="str">
        <f t="shared" si="70"/>
        <v/>
      </c>
      <c r="Q90" s="2" t="str">
        <f t="shared" si="70"/>
        <v/>
      </c>
      <c r="R90" s="2" t="str">
        <f t="shared" si="70"/>
        <v/>
      </c>
      <c r="S90" s="2" t="str">
        <f t="shared" si="70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hidden="1">
      <c r="A91" s="2" t="str">
        <f t="shared" si="9"/>
        <v>Lubke</v>
      </c>
      <c r="B91" s="178" t="str">
        <f t="shared" ref="B91:K91" si="71">L31</f>
        <v>Win</v>
      </c>
      <c r="C91" s="2" t="str">
        <f t="shared" si="71"/>
        <v/>
      </c>
      <c r="D91" s="152" t="str">
        <f t="shared" si="71"/>
        <v/>
      </c>
      <c r="E91" s="2" t="str">
        <f t="shared" si="71"/>
        <v/>
      </c>
      <c r="F91" s="2" t="str">
        <f t="shared" si="71"/>
        <v/>
      </c>
      <c r="G91" s="2" t="str">
        <f t="shared" si="71"/>
        <v/>
      </c>
      <c r="H91" s="2" t="str">
        <f t="shared" si="71"/>
        <v/>
      </c>
      <c r="I91" s="2" t="str">
        <f t="shared" si="71"/>
        <v/>
      </c>
      <c r="J91" s="2" t="str">
        <f t="shared" si="71"/>
        <v/>
      </c>
      <c r="K91" s="2" t="str">
        <f t="shared" si="71"/>
        <v/>
      </c>
      <c r="L91" s="2" t="str">
        <f t="shared" si="19"/>
        <v/>
      </c>
      <c r="M91" s="2" t="str">
        <f t="shared" si="11"/>
        <v/>
      </c>
      <c r="N91" s="152" t="str">
        <f t="shared" si="12"/>
        <v/>
      </c>
      <c r="O91" s="2" t="str">
        <f t="shared" ref="O91:S91" si="72">X31</f>
        <v/>
      </c>
      <c r="P91" s="2" t="str">
        <f t="shared" si="72"/>
        <v/>
      </c>
      <c r="Q91" s="2" t="str">
        <f t="shared" si="72"/>
        <v/>
      </c>
      <c r="R91" s="2" t="str">
        <f t="shared" si="72"/>
        <v/>
      </c>
      <c r="S91" s="2" t="str">
        <f t="shared" si="72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hidden="1">
      <c r="A92" s="176" t="str">
        <f t="shared" si="9"/>
        <v>David (pledge)</v>
      </c>
      <c r="B92" s="178" t="str">
        <f t="shared" ref="B92:K92" si="73">L32</f>
        <v>Win</v>
      </c>
      <c r="C92" s="2" t="str">
        <f t="shared" si="73"/>
        <v/>
      </c>
      <c r="D92" s="152" t="str">
        <f t="shared" si="73"/>
        <v/>
      </c>
      <c r="E92" s="2" t="str">
        <f t="shared" si="73"/>
        <v/>
      </c>
      <c r="F92" s="2" t="str">
        <f t="shared" si="73"/>
        <v/>
      </c>
      <c r="G92" s="2" t="str">
        <f t="shared" si="73"/>
        <v/>
      </c>
      <c r="H92" s="2" t="str">
        <f t="shared" si="73"/>
        <v/>
      </c>
      <c r="I92" s="2" t="str">
        <f t="shared" si="73"/>
        <v/>
      </c>
      <c r="J92" s="2" t="str">
        <f t="shared" si="73"/>
        <v/>
      </c>
      <c r="K92" s="2" t="str">
        <f t="shared" si="73"/>
        <v/>
      </c>
      <c r="L92" s="2" t="str">
        <f t="shared" si="19"/>
        <v/>
      </c>
      <c r="M92" s="2" t="str">
        <f t="shared" si="11"/>
        <v/>
      </c>
      <c r="N92" s="152" t="str">
        <f t="shared" si="12"/>
        <v/>
      </c>
      <c r="O92" s="2" t="str">
        <f t="shared" ref="O92:S92" si="74">X32</f>
        <v/>
      </c>
      <c r="P92" s="2" t="str">
        <f t="shared" si="74"/>
        <v/>
      </c>
      <c r="Q92" s="2" t="str">
        <f t="shared" si="74"/>
        <v/>
      </c>
      <c r="R92" s="2" t="str">
        <f t="shared" si="74"/>
        <v/>
      </c>
      <c r="S92" s="2" t="str">
        <f t="shared" si="74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 hidden="1">
      <c r="A93" s="2" t="str">
        <f t="shared" si="9"/>
        <v>Will</v>
      </c>
      <c r="B93" s="178" t="str">
        <f t="shared" ref="B93:K93" si="75">L33</f>
        <v>Win</v>
      </c>
      <c r="C93" s="2" t="str">
        <f t="shared" si="75"/>
        <v/>
      </c>
      <c r="D93" s="152" t="str">
        <f t="shared" si="75"/>
        <v/>
      </c>
      <c r="E93" s="2" t="str">
        <f t="shared" si="75"/>
        <v/>
      </c>
      <c r="F93" s="2" t="str">
        <f t="shared" si="75"/>
        <v/>
      </c>
      <c r="G93" s="2" t="str">
        <f t="shared" si="75"/>
        <v/>
      </c>
      <c r="H93" s="2" t="str">
        <f t="shared" si="75"/>
        <v/>
      </c>
      <c r="I93" s="2" t="str">
        <f t="shared" si="75"/>
        <v/>
      </c>
      <c r="J93" s="2" t="str">
        <f t="shared" si="75"/>
        <v/>
      </c>
      <c r="K93" s="2" t="str">
        <f t="shared" si="75"/>
        <v/>
      </c>
      <c r="L93" s="2" t="str">
        <f t="shared" si="19"/>
        <v/>
      </c>
      <c r="M93" s="2" t="str">
        <f t="shared" si="11"/>
        <v/>
      </c>
      <c r="N93" s="152" t="str">
        <f t="shared" si="12"/>
        <v/>
      </c>
      <c r="O93" s="2" t="str">
        <f t="shared" ref="O93:S93" si="76">X33</f>
        <v/>
      </c>
      <c r="P93" s="2" t="str">
        <f t="shared" si="76"/>
        <v/>
      </c>
      <c r="Q93" s="2" t="str">
        <f t="shared" si="76"/>
        <v/>
      </c>
      <c r="R93" s="2" t="str">
        <f t="shared" si="76"/>
        <v/>
      </c>
      <c r="S93" s="2" t="str">
        <f t="shared" si="76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 hidden="1">
      <c r="A94" s="2" t="str">
        <f t="shared" si="9"/>
        <v/>
      </c>
      <c r="B94" s="178" t="str">
        <f t="shared" ref="B94:K94" si="77">L34</f>
        <v>Win</v>
      </c>
      <c r="C94" s="2" t="str">
        <f t="shared" si="77"/>
        <v/>
      </c>
      <c r="D94" s="152" t="str">
        <f t="shared" si="77"/>
        <v/>
      </c>
      <c r="E94" s="2" t="str">
        <f t="shared" si="77"/>
        <v/>
      </c>
      <c r="F94" s="2" t="str">
        <f t="shared" si="77"/>
        <v/>
      </c>
      <c r="G94" s="2" t="str">
        <f t="shared" si="77"/>
        <v/>
      </c>
      <c r="H94" s="2" t="str">
        <f t="shared" si="77"/>
        <v/>
      </c>
      <c r="I94" s="2" t="str">
        <f t="shared" si="77"/>
        <v/>
      </c>
      <c r="J94" s="2" t="str">
        <f t="shared" si="77"/>
        <v/>
      </c>
      <c r="K94" s="2" t="str">
        <f t="shared" si="77"/>
        <v/>
      </c>
      <c r="L94" s="2" t="str">
        <f t="shared" si="19"/>
        <v/>
      </c>
      <c r="M94" s="2" t="str">
        <f t="shared" si="11"/>
        <v/>
      </c>
      <c r="N94" s="152" t="str">
        <f t="shared" si="12"/>
        <v/>
      </c>
      <c r="O94" s="2" t="str">
        <f t="shared" ref="O94:S94" si="78">X34</f>
        <v/>
      </c>
      <c r="P94" s="2" t="str">
        <f t="shared" si="78"/>
        <v/>
      </c>
      <c r="Q94" s="2" t="str">
        <f t="shared" si="78"/>
        <v/>
      </c>
      <c r="R94" s="2" t="str">
        <f t="shared" si="78"/>
        <v/>
      </c>
      <c r="S94" s="2" t="str">
        <f t="shared" si="78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 hidden="1">
      <c r="A95" s="2" t="str">
        <f t="shared" si="9"/>
        <v/>
      </c>
      <c r="B95" s="178" t="str">
        <f t="shared" ref="B95:K95" si="79">L35</f>
        <v>Win</v>
      </c>
      <c r="C95" s="2" t="str">
        <f t="shared" si="79"/>
        <v/>
      </c>
      <c r="D95" s="152" t="str">
        <f t="shared" si="79"/>
        <v/>
      </c>
      <c r="E95" s="2" t="str">
        <f t="shared" si="79"/>
        <v/>
      </c>
      <c r="F95" s="2" t="str">
        <f t="shared" si="79"/>
        <v/>
      </c>
      <c r="G95" s="2" t="str">
        <f t="shared" si="79"/>
        <v/>
      </c>
      <c r="H95" s="2" t="str">
        <f t="shared" si="79"/>
        <v/>
      </c>
      <c r="I95" s="2" t="str">
        <f t="shared" si="79"/>
        <v/>
      </c>
      <c r="J95" s="2" t="str">
        <f t="shared" si="79"/>
        <v/>
      </c>
      <c r="K95" s="2" t="str">
        <f t="shared" si="79"/>
        <v/>
      </c>
      <c r="L95" s="2" t="str">
        <f t="shared" si="19"/>
        <v/>
      </c>
      <c r="M95" s="2" t="str">
        <f t="shared" si="11"/>
        <v/>
      </c>
      <c r="N95" s="152" t="str">
        <f t="shared" si="12"/>
        <v/>
      </c>
      <c r="O95" s="2" t="str">
        <f t="shared" ref="O95:S95" si="80">X35</f>
        <v/>
      </c>
      <c r="P95" s="2" t="str">
        <f t="shared" si="80"/>
        <v/>
      </c>
      <c r="Q95" s="2" t="str">
        <f t="shared" si="80"/>
        <v/>
      </c>
      <c r="R95" s="2" t="str">
        <f t="shared" si="80"/>
        <v/>
      </c>
      <c r="S95" s="2" t="str">
        <f t="shared" si="80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 hidden="1">
      <c r="A96" s="2" t="str">
        <f t="shared" si="9"/>
        <v/>
      </c>
      <c r="B96" s="178" t="str">
        <f t="shared" ref="B96:K96" si="81">L36</f>
        <v>Win</v>
      </c>
      <c r="C96" s="2" t="str">
        <f t="shared" si="81"/>
        <v/>
      </c>
      <c r="D96" s="152" t="str">
        <f t="shared" si="81"/>
        <v/>
      </c>
      <c r="E96" s="2" t="str">
        <f t="shared" si="81"/>
        <v/>
      </c>
      <c r="F96" s="2" t="str">
        <f t="shared" si="81"/>
        <v/>
      </c>
      <c r="G96" s="2" t="str">
        <f t="shared" si="81"/>
        <v/>
      </c>
      <c r="H96" s="2" t="str">
        <f t="shared" si="81"/>
        <v/>
      </c>
      <c r="I96" s="2" t="str">
        <f t="shared" si="81"/>
        <v/>
      </c>
      <c r="J96" s="2" t="str">
        <f t="shared" si="81"/>
        <v/>
      </c>
      <c r="K96" s="2" t="str">
        <f t="shared" si="81"/>
        <v/>
      </c>
      <c r="L96" s="2" t="str">
        <f t="shared" si="19"/>
        <v/>
      </c>
      <c r="M96" s="2" t="str">
        <f t="shared" si="11"/>
        <v/>
      </c>
      <c r="N96" s="152" t="str">
        <f t="shared" si="12"/>
        <v/>
      </c>
      <c r="O96" s="2" t="str">
        <f t="shared" ref="O96:S96" si="82">X36</f>
        <v/>
      </c>
      <c r="P96" s="2" t="str">
        <f t="shared" si="82"/>
        <v/>
      </c>
      <c r="Q96" s="2" t="str">
        <f t="shared" si="82"/>
        <v/>
      </c>
      <c r="R96" s="2" t="str">
        <f t="shared" si="82"/>
        <v/>
      </c>
      <c r="S96" s="2" t="str">
        <f t="shared" si="82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 hidden="1">
      <c r="A97" s="2" t="str">
        <f t="shared" si="9"/>
        <v/>
      </c>
      <c r="B97" s="178" t="str">
        <f t="shared" ref="B97:K97" si="83">L37</f>
        <v>Win</v>
      </c>
      <c r="C97" s="2" t="str">
        <f t="shared" si="83"/>
        <v/>
      </c>
      <c r="D97" s="152" t="str">
        <f t="shared" si="83"/>
        <v/>
      </c>
      <c r="E97" s="2" t="str">
        <f t="shared" si="83"/>
        <v/>
      </c>
      <c r="F97" s="2" t="str">
        <f t="shared" si="83"/>
        <v/>
      </c>
      <c r="G97" s="2" t="str">
        <f t="shared" si="83"/>
        <v/>
      </c>
      <c r="H97" s="2" t="str">
        <f t="shared" si="83"/>
        <v/>
      </c>
      <c r="I97" s="2" t="str">
        <f t="shared" si="83"/>
        <v/>
      </c>
      <c r="J97" s="2" t="str">
        <f t="shared" si="83"/>
        <v/>
      </c>
      <c r="K97" s="2" t="str">
        <f t="shared" si="83"/>
        <v/>
      </c>
      <c r="L97" s="2" t="str">
        <f t="shared" si="19"/>
        <v/>
      </c>
      <c r="M97" s="2" t="str">
        <f t="shared" si="11"/>
        <v/>
      </c>
      <c r="N97" s="152" t="str">
        <f t="shared" si="12"/>
        <v/>
      </c>
      <c r="O97" s="2" t="str">
        <f t="shared" ref="O97:S97" si="84">X37</f>
        <v/>
      </c>
      <c r="P97" s="2" t="str">
        <f t="shared" si="84"/>
        <v/>
      </c>
      <c r="Q97" s="2" t="str">
        <f t="shared" si="84"/>
        <v/>
      </c>
      <c r="R97" s="2" t="str">
        <f t="shared" si="84"/>
        <v/>
      </c>
      <c r="S97" s="2" t="str">
        <f t="shared" si="84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 hidden="1">
      <c r="A98" s="176" t="str">
        <f t="shared" si="9"/>
        <v>Pulled Cups</v>
      </c>
      <c r="B98" s="178" t="str">
        <f t="shared" ref="B98:K98" si="85">L38</f>
        <v/>
      </c>
      <c r="C98" s="2" t="str">
        <f t="shared" si="85"/>
        <v/>
      </c>
      <c r="D98" s="152">
        <f t="shared" si="85"/>
        <v>2</v>
      </c>
      <c r="E98" s="2" t="str">
        <f t="shared" si="85"/>
        <v/>
      </c>
      <c r="F98" s="2" t="str">
        <f t="shared" si="85"/>
        <v/>
      </c>
      <c r="G98" s="2" t="str">
        <f t="shared" si="85"/>
        <v/>
      </c>
      <c r="H98" s="2" t="str">
        <f t="shared" si="85"/>
        <v/>
      </c>
      <c r="I98" s="2" t="str">
        <f t="shared" si="85"/>
        <v/>
      </c>
      <c r="J98" s="2" t="str">
        <f t="shared" si="85"/>
        <v/>
      </c>
      <c r="K98" s="2" t="str">
        <f t="shared" si="85"/>
        <v/>
      </c>
      <c r="L98" s="2" t="str">
        <f t="shared" si="19"/>
        <v/>
      </c>
      <c r="M98" s="2" t="str">
        <f t="shared" si="11"/>
        <v/>
      </c>
      <c r="N98" s="152" t="str">
        <f t="shared" si="12"/>
        <v/>
      </c>
      <c r="O98" s="2" t="str">
        <f t="shared" ref="O98:S98" si="86">X38</f>
        <v/>
      </c>
      <c r="P98" s="2" t="str">
        <f t="shared" si="86"/>
        <v/>
      </c>
      <c r="Q98" s="2" t="str">
        <f t="shared" si="86"/>
        <v/>
      </c>
      <c r="R98" s="2" t="str">
        <f t="shared" si="86"/>
        <v/>
      </c>
      <c r="S98" s="2" t="str">
        <f t="shared" si="86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 hidden="1">
      <c r="A99" s="176" t="str">
        <f t="shared" si="9"/>
        <v>Total</v>
      </c>
      <c r="B99" s="178" t="str">
        <f t="shared" ref="B99:K99" si="87">L39</f>
        <v/>
      </c>
      <c r="C99" s="2" t="str">
        <f t="shared" si="87"/>
        <v/>
      </c>
      <c r="D99" s="129">
        <f t="shared" si="87"/>
        <v>100</v>
      </c>
      <c r="E99" s="2" t="str">
        <f t="shared" si="87"/>
        <v/>
      </c>
      <c r="F99" s="2" t="str">
        <f t="shared" si="87"/>
        <v/>
      </c>
      <c r="G99" s="2" t="str">
        <f t="shared" si="87"/>
        <v/>
      </c>
      <c r="H99" s="2" t="str">
        <f t="shared" si="87"/>
        <v/>
      </c>
      <c r="I99" s="128">
        <f t="shared" si="87"/>
        <v>0.3684210526</v>
      </c>
      <c r="J99" s="2" t="str">
        <f t="shared" si="87"/>
        <v/>
      </c>
      <c r="K99" s="2" t="str">
        <f t="shared" si="87"/>
        <v/>
      </c>
      <c r="L99" s="2" t="str">
        <f t="shared" si="19"/>
        <v/>
      </c>
      <c r="M99" s="2" t="str">
        <f t="shared" si="11"/>
        <v/>
      </c>
      <c r="N99" s="129" t="str">
        <f t="shared" si="12"/>
        <v/>
      </c>
      <c r="O99" s="2" t="str">
        <f t="shared" ref="O99:S99" si="88">X39</f>
        <v/>
      </c>
      <c r="P99" s="2" t="str">
        <f t="shared" si="88"/>
        <v/>
      </c>
      <c r="Q99" s="2" t="str">
        <f t="shared" si="88"/>
        <v/>
      </c>
      <c r="R99" s="2" t="str">
        <f t="shared" si="88"/>
        <v/>
      </c>
      <c r="S99" s="2" t="str">
        <f t="shared" si="88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 hidden="1">
      <c r="A100" s="2" t="str">
        <f t="shared" si="9"/>
        <v/>
      </c>
      <c r="B100" s="178" t="str">
        <f t="shared" ref="B100:K100" si="89">L40</f>
        <v/>
      </c>
      <c r="C100" s="2" t="str">
        <f t="shared" si="89"/>
        <v/>
      </c>
      <c r="D100" s="2" t="str">
        <f t="shared" si="89"/>
        <v/>
      </c>
      <c r="E100" s="2" t="str">
        <f t="shared" si="89"/>
        <v/>
      </c>
      <c r="F100" s="2" t="str">
        <f t="shared" si="89"/>
        <v/>
      </c>
      <c r="G100" s="2" t="str">
        <f t="shared" si="89"/>
        <v/>
      </c>
      <c r="H100" s="2" t="str">
        <f t="shared" si="89"/>
        <v/>
      </c>
      <c r="I100" s="2" t="str">
        <f t="shared" si="89"/>
        <v/>
      </c>
      <c r="J100" s="2" t="str">
        <f t="shared" si="89"/>
        <v/>
      </c>
      <c r="K100" s="2" t="str">
        <f t="shared" si="89"/>
        <v/>
      </c>
      <c r="L100" s="2" t="str">
        <f t="shared" si="19"/>
        <v/>
      </c>
      <c r="M100" s="2" t="str">
        <f t="shared" si="11"/>
        <v/>
      </c>
      <c r="N100" s="2" t="str">
        <f t="shared" si="12"/>
        <v/>
      </c>
      <c r="O100" s="2" t="str">
        <f t="shared" ref="O100:S100" si="90">X40</f>
        <v/>
      </c>
      <c r="P100" s="2" t="str">
        <f t="shared" si="90"/>
        <v/>
      </c>
      <c r="Q100" s="2" t="str">
        <f t="shared" si="90"/>
        <v/>
      </c>
      <c r="R100" s="2" t="str">
        <f t="shared" si="90"/>
        <v/>
      </c>
      <c r="S100" s="2" t="str">
        <f t="shared" si="90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 hidden="1">
      <c r="A101" s="176" t="str">
        <f t="shared" si="9"/>
        <v>Team F</v>
      </c>
      <c r="B101" s="178" t="str">
        <f t="shared" ref="B101:K101" si="91">L41</f>
        <v/>
      </c>
      <c r="C101" s="2" t="str">
        <f t="shared" si="91"/>
        <v/>
      </c>
      <c r="D101" s="2" t="str">
        <f t="shared" si="91"/>
        <v/>
      </c>
      <c r="E101" s="176" t="str">
        <f t="shared" si="91"/>
        <v>Result</v>
      </c>
      <c r="F101" s="166" t="str">
        <f t="shared" si="91"/>
        <v>Loss</v>
      </c>
      <c r="G101" s="2" t="str">
        <f t="shared" si="91"/>
        <v/>
      </c>
      <c r="H101" s="176" t="str">
        <f t="shared" si="91"/>
        <v>Margin</v>
      </c>
      <c r="I101" s="129">
        <f t="shared" si="91"/>
        <v>-4</v>
      </c>
      <c r="J101" s="2" t="str">
        <f t="shared" si="91"/>
        <v/>
      </c>
      <c r="K101" s="2" t="str">
        <f t="shared" si="91"/>
        <v/>
      </c>
      <c r="L101" s="2" t="str">
        <f t="shared" si="19"/>
        <v/>
      </c>
      <c r="M101" s="2" t="str">
        <f t="shared" si="11"/>
        <v/>
      </c>
      <c r="N101" s="2" t="str">
        <f t="shared" si="12"/>
        <v/>
      </c>
      <c r="O101" s="2" t="str">
        <f t="shared" ref="O101:S101" si="92">X41</f>
        <v/>
      </c>
      <c r="P101" s="2" t="str">
        <f t="shared" si="92"/>
        <v/>
      </c>
      <c r="Q101" s="2" t="str">
        <f t="shared" si="92"/>
        <v/>
      </c>
      <c r="R101" s="2" t="str">
        <f t="shared" si="92"/>
        <v/>
      </c>
      <c r="S101" s="2" t="str">
        <f t="shared" si="92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 hidden="1">
      <c r="A102" s="176" t="str">
        <f t="shared" si="9"/>
        <v>Name</v>
      </c>
      <c r="B102" s="178" t="str">
        <f t="shared" ref="B102:K102" si="93">L42</f>
        <v>W/L?</v>
      </c>
      <c r="C102" s="176" t="str">
        <f t="shared" si="93"/>
        <v>Shot Order</v>
      </c>
      <c r="D102" s="176" t="str">
        <f t="shared" si="93"/>
        <v>Total Cups</v>
      </c>
      <c r="E102" s="176" t="str">
        <f t="shared" si="93"/>
        <v>Tops</v>
      </c>
      <c r="F102" s="176" t="str">
        <f t="shared" si="93"/>
        <v>Top Isos</v>
      </c>
      <c r="G102" s="176" t="str">
        <f t="shared" si="93"/>
        <v>Bottoms</v>
      </c>
      <c r="H102" s="176" t="str">
        <f t="shared" si="93"/>
        <v>Bottom Isos</v>
      </c>
      <c r="I102" s="176" t="str">
        <f t="shared" si="93"/>
        <v>Misses</v>
      </c>
      <c r="J102" s="2" t="str">
        <f t="shared" si="93"/>
        <v/>
      </c>
      <c r="K102" s="2" t="str">
        <f t="shared" si="93"/>
        <v/>
      </c>
      <c r="L102" s="2" t="str">
        <f t="shared" si="19"/>
        <v/>
      </c>
      <c r="M102" s="2" t="str">
        <f t="shared" si="11"/>
        <v/>
      </c>
      <c r="N102" s="176" t="str">
        <f t="shared" si="12"/>
        <v/>
      </c>
      <c r="O102" s="2" t="str">
        <f t="shared" ref="O102:S102" si="94">X42</f>
        <v/>
      </c>
      <c r="P102" s="2" t="str">
        <f t="shared" si="94"/>
        <v/>
      </c>
      <c r="Q102" s="2" t="str">
        <f t="shared" si="94"/>
        <v/>
      </c>
      <c r="R102" s="2" t="str">
        <f t="shared" si="94"/>
        <v/>
      </c>
      <c r="S102" s="2" t="str">
        <f t="shared" si="94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 hidden="1">
      <c r="A103" s="176" t="str">
        <f t="shared" si="9"/>
        <v>Jay</v>
      </c>
      <c r="B103" s="178" t="str">
        <f t="shared" ref="B103:K103" si="95">L43</f>
        <v>Loss</v>
      </c>
      <c r="C103" s="2" t="str">
        <f t="shared" si="95"/>
        <v/>
      </c>
      <c r="D103" s="152">
        <f t="shared" si="95"/>
        <v>22</v>
      </c>
      <c r="E103" s="2">
        <f t="shared" si="95"/>
        <v>11</v>
      </c>
      <c r="F103" s="2">
        <f t="shared" si="95"/>
        <v>2</v>
      </c>
      <c r="G103" s="2">
        <f t="shared" si="95"/>
        <v>8</v>
      </c>
      <c r="H103" s="2">
        <f t="shared" si="95"/>
        <v>1</v>
      </c>
      <c r="I103" s="2">
        <f t="shared" si="95"/>
        <v>29</v>
      </c>
      <c r="J103" s="2" t="str">
        <f t="shared" si="95"/>
        <v/>
      </c>
      <c r="K103" s="2" t="str">
        <f t="shared" si="95"/>
        <v/>
      </c>
      <c r="L103" s="2" t="str">
        <f t="shared" si="19"/>
        <v/>
      </c>
      <c r="M103" s="2" t="str">
        <f t="shared" si="11"/>
        <v/>
      </c>
      <c r="N103" s="152" t="str">
        <f t="shared" si="12"/>
        <v/>
      </c>
      <c r="O103" s="2" t="str">
        <f t="shared" ref="O103:S103" si="96">X43</f>
        <v/>
      </c>
      <c r="P103" s="2" t="str">
        <f t="shared" si="96"/>
        <v/>
      </c>
      <c r="Q103" s="2" t="str">
        <f t="shared" si="96"/>
        <v/>
      </c>
      <c r="R103" s="2" t="str">
        <f t="shared" si="96"/>
        <v/>
      </c>
      <c r="S103" s="2" t="str">
        <f t="shared" si="96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 hidden="1">
      <c r="A104" s="2" t="str">
        <f t="shared" si="9"/>
        <v>Schmid</v>
      </c>
      <c r="B104" s="178" t="str">
        <f t="shared" ref="B104:K104" si="97">L44</f>
        <v>Loss</v>
      </c>
      <c r="C104" s="2" t="str">
        <f t="shared" si="97"/>
        <v/>
      </c>
      <c r="D104" s="152" t="str">
        <f t="shared" si="97"/>
        <v/>
      </c>
      <c r="E104" s="2" t="str">
        <f t="shared" si="97"/>
        <v/>
      </c>
      <c r="F104" s="2" t="str">
        <f t="shared" si="97"/>
        <v/>
      </c>
      <c r="G104" s="2" t="str">
        <f t="shared" si="97"/>
        <v/>
      </c>
      <c r="H104" s="2" t="str">
        <f t="shared" si="97"/>
        <v/>
      </c>
      <c r="I104" s="2" t="str">
        <f t="shared" si="97"/>
        <v/>
      </c>
      <c r="J104" s="2" t="str">
        <f t="shared" si="97"/>
        <v/>
      </c>
      <c r="K104" s="2" t="str">
        <f t="shared" si="97"/>
        <v/>
      </c>
      <c r="L104" s="2" t="str">
        <f t="shared" si="19"/>
        <v/>
      </c>
      <c r="M104" s="2" t="str">
        <f t="shared" si="11"/>
        <v/>
      </c>
      <c r="N104" s="152" t="str">
        <f t="shared" si="12"/>
        <v/>
      </c>
      <c r="O104" s="2" t="str">
        <f t="shared" ref="O104:S104" si="98">X44</f>
        <v/>
      </c>
      <c r="P104" s="2" t="str">
        <f t="shared" si="98"/>
        <v/>
      </c>
      <c r="Q104" s="2" t="str">
        <f t="shared" si="98"/>
        <v/>
      </c>
      <c r="R104" s="2" t="str">
        <f t="shared" si="98"/>
        <v/>
      </c>
      <c r="S104" s="2" t="str">
        <f t="shared" si="98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 hidden="1">
      <c r="A105" s="176" t="str">
        <f t="shared" si="9"/>
        <v>DC</v>
      </c>
      <c r="B105" s="178" t="str">
        <f t="shared" ref="B105:K105" si="99">L45</f>
        <v>Loss</v>
      </c>
      <c r="C105" s="2" t="str">
        <f t="shared" si="99"/>
        <v/>
      </c>
      <c r="D105" s="152">
        <f t="shared" si="99"/>
        <v>15</v>
      </c>
      <c r="E105" s="2">
        <f t="shared" si="99"/>
        <v>6</v>
      </c>
      <c r="F105" s="2">
        <f t="shared" si="99"/>
        <v>2</v>
      </c>
      <c r="G105" s="2">
        <f t="shared" si="99"/>
        <v>6</v>
      </c>
      <c r="H105" s="2">
        <f t="shared" si="99"/>
        <v>1</v>
      </c>
      <c r="I105" s="2">
        <f t="shared" si="99"/>
        <v>30</v>
      </c>
      <c r="J105" s="2" t="str">
        <f t="shared" si="99"/>
        <v/>
      </c>
      <c r="K105" s="2" t="str">
        <f t="shared" si="99"/>
        <v/>
      </c>
      <c r="L105" s="2" t="str">
        <f t="shared" si="19"/>
        <v/>
      </c>
      <c r="M105" s="2" t="str">
        <f t="shared" si="11"/>
        <v/>
      </c>
      <c r="N105" s="152" t="str">
        <f t="shared" si="12"/>
        <v/>
      </c>
      <c r="O105" s="2" t="str">
        <f t="shared" ref="O105:S105" si="100">X45</f>
        <v/>
      </c>
      <c r="P105" s="2" t="str">
        <f t="shared" si="100"/>
        <v/>
      </c>
      <c r="Q105" s="2" t="str">
        <f t="shared" si="100"/>
        <v/>
      </c>
      <c r="R105" s="2" t="str">
        <f t="shared" si="100"/>
        <v/>
      </c>
      <c r="S105" s="2" t="str">
        <f t="shared" si="100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 hidden="1">
      <c r="A106" s="176" t="str">
        <f t="shared" si="9"/>
        <v>Steven</v>
      </c>
      <c r="B106" s="178" t="str">
        <f t="shared" ref="B106:K106" si="101">L46</f>
        <v>Loss</v>
      </c>
      <c r="C106" s="2" t="str">
        <f t="shared" si="101"/>
        <v/>
      </c>
      <c r="D106" s="152">
        <f t="shared" si="101"/>
        <v>20</v>
      </c>
      <c r="E106" s="2">
        <f t="shared" si="101"/>
        <v>2</v>
      </c>
      <c r="F106" s="2">
        <f t="shared" si="101"/>
        <v>0</v>
      </c>
      <c r="G106" s="2">
        <f t="shared" si="101"/>
        <v>17</v>
      </c>
      <c r="H106" s="2">
        <f t="shared" si="101"/>
        <v>1</v>
      </c>
      <c r="I106" s="2">
        <f t="shared" si="101"/>
        <v>33</v>
      </c>
      <c r="J106" s="2" t="str">
        <f t="shared" si="101"/>
        <v/>
      </c>
      <c r="K106" s="2" t="str">
        <f t="shared" si="101"/>
        <v/>
      </c>
      <c r="L106" s="2" t="str">
        <f t="shared" si="19"/>
        <v/>
      </c>
      <c r="M106" s="2" t="str">
        <f t="shared" si="11"/>
        <v/>
      </c>
      <c r="N106" s="152" t="str">
        <f t="shared" si="12"/>
        <v/>
      </c>
      <c r="O106" s="2" t="str">
        <f t="shared" ref="O106:S106" si="102">X46</f>
        <v/>
      </c>
      <c r="P106" s="2" t="str">
        <f t="shared" si="102"/>
        <v/>
      </c>
      <c r="Q106" s="2" t="str">
        <f t="shared" si="102"/>
        <v/>
      </c>
      <c r="R106" s="2" t="str">
        <f t="shared" si="102"/>
        <v/>
      </c>
      <c r="S106" s="2" t="str">
        <f t="shared" si="102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 hidden="1">
      <c r="A107" s="2" t="str">
        <f t="shared" si="9"/>
        <v>Dave</v>
      </c>
      <c r="B107" s="178" t="str">
        <f t="shared" ref="B107:K107" si="103">L47</f>
        <v>Loss</v>
      </c>
      <c r="C107" s="2" t="str">
        <f t="shared" si="103"/>
        <v/>
      </c>
      <c r="D107" s="152">
        <f t="shared" si="103"/>
        <v>19</v>
      </c>
      <c r="E107" s="2">
        <f t="shared" si="103"/>
        <v>15</v>
      </c>
      <c r="F107" s="2">
        <f t="shared" si="103"/>
        <v>1</v>
      </c>
      <c r="G107" s="2">
        <f t="shared" si="103"/>
        <v>3</v>
      </c>
      <c r="H107" s="2">
        <f t="shared" si="103"/>
        <v>0</v>
      </c>
      <c r="I107" s="2">
        <f t="shared" si="103"/>
        <v>32</v>
      </c>
      <c r="J107" s="2" t="str">
        <f t="shared" si="103"/>
        <v/>
      </c>
      <c r="K107" s="2" t="str">
        <f t="shared" si="103"/>
        <v/>
      </c>
      <c r="L107" s="2" t="str">
        <f t="shared" si="19"/>
        <v/>
      </c>
      <c r="M107" s="2" t="str">
        <f t="shared" si="11"/>
        <v/>
      </c>
      <c r="N107" s="152" t="str">
        <f t="shared" si="12"/>
        <v/>
      </c>
      <c r="O107" s="2" t="str">
        <f t="shared" ref="O107:S107" si="104">X47</f>
        <v/>
      </c>
      <c r="P107" s="2" t="str">
        <f t="shared" si="104"/>
        <v/>
      </c>
      <c r="Q107" s="2" t="str">
        <f t="shared" si="104"/>
        <v/>
      </c>
      <c r="R107" s="2" t="str">
        <f t="shared" si="104"/>
        <v/>
      </c>
      <c r="S107" s="2" t="str">
        <f t="shared" si="104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 hidden="1">
      <c r="A108" s="2" t="str">
        <f t="shared" si="9"/>
        <v>Lulu</v>
      </c>
      <c r="B108" s="178" t="str">
        <f t="shared" ref="B108:K108" si="105">L48</f>
        <v>Loss</v>
      </c>
      <c r="C108" s="2" t="str">
        <f t="shared" si="105"/>
        <v/>
      </c>
      <c r="D108" s="152" t="str">
        <f t="shared" si="105"/>
        <v/>
      </c>
      <c r="E108" s="2" t="str">
        <f t="shared" si="105"/>
        <v/>
      </c>
      <c r="F108" s="2" t="str">
        <f t="shared" si="105"/>
        <v/>
      </c>
      <c r="G108" s="2" t="str">
        <f t="shared" si="105"/>
        <v/>
      </c>
      <c r="H108" s="2" t="str">
        <f t="shared" si="105"/>
        <v/>
      </c>
      <c r="I108" s="2" t="str">
        <f t="shared" si="105"/>
        <v/>
      </c>
      <c r="J108" s="2" t="str">
        <f t="shared" si="105"/>
        <v/>
      </c>
      <c r="K108" s="2" t="str">
        <f t="shared" si="105"/>
        <v/>
      </c>
      <c r="L108" s="2" t="str">
        <f t="shared" si="19"/>
        <v/>
      </c>
      <c r="M108" s="2" t="str">
        <f t="shared" si="11"/>
        <v/>
      </c>
      <c r="N108" s="152" t="str">
        <f t="shared" si="12"/>
        <v/>
      </c>
      <c r="O108" s="2" t="str">
        <f t="shared" ref="O108:S108" si="106">X48</f>
        <v/>
      </c>
      <c r="P108" s="2" t="str">
        <f t="shared" si="106"/>
        <v/>
      </c>
      <c r="Q108" s="2" t="str">
        <f t="shared" si="106"/>
        <v/>
      </c>
      <c r="R108" s="2" t="str">
        <f t="shared" si="106"/>
        <v/>
      </c>
      <c r="S108" s="2" t="str">
        <f t="shared" si="106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 hidden="1">
      <c r="A109" s="2" t="str">
        <f t="shared" si="9"/>
        <v>Will</v>
      </c>
      <c r="B109" s="178" t="str">
        <f t="shared" ref="B109:K109" si="107">L49</f>
        <v>Loss</v>
      </c>
      <c r="C109" s="2" t="str">
        <f t="shared" si="107"/>
        <v/>
      </c>
      <c r="D109" s="152">
        <f t="shared" si="107"/>
        <v>13</v>
      </c>
      <c r="E109" s="2">
        <f t="shared" si="107"/>
        <v>7</v>
      </c>
      <c r="F109" s="2">
        <f t="shared" si="107"/>
        <v>0</v>
      </c>
      <c r="G109" s="2">
        <f t="shared" si="107"/>
        <v>6</v>
      </c>
      <c r="H109" s="2">
        <f t="shared" si="107"/>
        <v>0</v>
      </c>
      <c r="I109" s="2">
        <f t="shared" si="107"/>
        <v>32</v>
      </c>
      <c r="J109" s="2" t="str">
        <f t="shared" si="107"/>
        <v/>
      </c>
      <c r="K109" s="2" t="str">
        <f t="shared" si="107"/>
        <v/>
      </c>
      <c r="L109" s="2" t="str">
        <f t="shared" si="19"/>
        <v/>
      </c>
      <c r="M109" s="2" t="str">
        <f t="shared" si="11"/>
        <v/>
      </c>
      <c r="N109" s="152" t="str">
        <f t="shared" si="12"/>
        <v/>
      </c>
      <c r="O109" s="2" t="str">
        <f t="shared" ref="O109:S109" si="108">X49</f>
        <v/>
      </c>
      <c r="P109" s="2" t="str">
        <f t="shared" si="108"/>
        <v/>
      </c>
      <c r="Q109" s="2" t="str">
        <f t="shared" si="108"/>
        <v/>
      </c>
      <c r="R109" s="2" t="str">
        <f t="shared" si="108"/>
        <v/>
      </c>
      <c r="S109" s="2" t="str">
        <f t="shared" si="108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 hidden="1">
      <c r="A110" s="2" t="str">
        <f t="shared" si="9"/>
        <v>Hershey</v>
      </c>
      <c r="B110" s="178" t="str">
        <f t="shared" ref="B110:K110" si="109">L50</f>
        <v>Loss</v>
      </c>
      <c r="C110" s="2" t="str">
        <f t="shared" si="109"/>
        <v/>
      </c>
      <c r="D110" s="152" t="str">
        <f t="shared" si="109"/>
        <v/>
      </c>
      <c r="E110" s="2" t="str">
        <f t="shared" si="109"/>
        <v/>
      </c>
      <c r="F110" s="2" t="str">
        <f t="shared" si="109"/>
        <v/>
      </c>
      <c r="G110" s="2" t="str">
        <f t="shared" si="109"/>
        <v/>
      </c>
      <c r="H110" s="2" t="str">
        <f t="shared" si="109"/>
        <v/>
      </c>
      <c r="I110" s="2" t="str">
        <f t="shared" si="109"/>
        <v/>
      </c>
      <c r="J110" s="2" t="str">
        <f t="shared" si="109"/>
        <v/>
      </c>
      <c r="K110" s="2" t="str">
        <f t="shared" si="109"/>
        <v/>
      </c>
      <c r="L110" s="2" t="str">
        <f t="shared" si="19"/>
        <v/>
      </c>
      <c r="M110" s="2" t="str">
        <f t="shared" si="11"/>
        <v/>
      </c>
      <c r="N110" s="152" t="str">
        <f t="shared" si="12"/>
        <v/>
      </c>
      <c r="O110" s="2" t="str">
        <f t="shared" ref="O110:S110" si="110">X50</f>
        <v/>
      </c>
      <c r="P110" s="2" t="str">
        <f t="shared" si="110"/>
        <v/>
      </c>
      <c r="Q110" s="2" t="str">
        <f t="shared" si="110"/>
        <v/>
      </c>
      <c r="R110" s="2" t="str">
        <f t="shared" si="110"/>
        <v/>
      </c>
      <c r="S110" s="2" t="str">
        <f t="shared" si="110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 hidden="1">
      <c r="A111" s="2" t="str">
        <f t="shared" si="9"/>
        <v>Byun</v>
      </c>
      <c r="B111" s="178" t="str">
        <f t="shared" ref="B111:K111" si="111">L51</f>
        <v>Loss</v>
      </c>
      <c r="C111" s="2" t="str">
        <f t="shared" si="111"/>
        <v/>
      </c>
      <c r="D111" s="152" t="str">
        <f t="shared" si="111"/>
        <v/>
      </c>
      <c r="E111" s="2" t="str">
        <f t="shared" si="111"/>
        <v/>
      </c>
      <c r="F111" s="2" t="str">
        <f t="shared" si="111"/>
        <v/>
      </c>
      <c r="G111" s="2" t="str">
        <f t="shared" si="111"/>
        <v/>
      </c>
      <c r="H111" s="2" t="str">
        <f t="shared" si="111"/>
        <v/>
      </c>
      <c r="I111" s="2" t="str">
        <f t="shared" si="111"/>
        <v/>
      </c>
      <c r="J111" s="2" t="str">
        <f t="shared" si="111"/>
        <v/>
      </c>
      <c r="K111" s="2" t="str">
        <f t="shared" si="111"/>
        <v/>
      </c>
      <c r="L111" s="2" t="str">
        <f t="shared" si="19"/>
        <v/>
      </c>
      <c r="M111" s="2" t="str">
        <f t="shared" si="11"/>
        <v/>
      </c>
      <c r="N111" s="152" t="str">
        <f t="shared" si="12"/>
        <v/>
      </c>
      <c r="O111" s="2" t="str">
        <f t="shared" ref="O111:S111" si="112">X51</f>
        <v/>
      </c>
      <c r="P111" s="2" t="str">
        <f t="shared" si="112"/>
        <v/>
      </c>
      <c r="Q111" s="2" t="str">
        <f t="shared" si="112"/>
        <v/>
      </c>
      <c r="R111" s="2" t="str">
        <f t="shared" si="112"/>
        <v/>
      </c>
      <c r="S111" s="2" t="str">
        <f t="shared" si="112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 hidden="1">
      <c r="A112" s="176" t="str">
        <f t="shared" si="9"/>
        <v>Ted</v>
      </c>
      <c r="B112" s="178" t="str">
        <f t="shared" ref="B112:K112" si="113">L52</f>
        <v>Loss</v>
      </c>
      <c r="C112" s="2" t="str">
        <f t="shared" si="113"/>
        <v/>
      </c>
      <c r="D112" s="152">
        <f t="shared" si="113"/>
        <v>7</v>
      </c>
      <c r="E112" s="2">
        <f t="shared" si="113"/>
        <v>1</v>
      </c>
      <c r="F112" s="2">
        <f t="shared" si="113"/>
        <v>0</v>
      </c>
      <c r="G112" s="2">
        <f t="shared" si="113"/>
        <v>6</v>
      </c>
      <c r="H112" s="2">
        <f t="shared" si="113"/>
        <v>0</v>
      </c>
      <c r="I112" s="2">
        <f t="shared" si="113"/>
        <v>33</v>
      </c>
      <c r="J112" s="2" t="str">
        <f t="shared" si="113"/>
        <v/>
      </c>
      <c r="K112" s="2" t="str">
        <f t="shared" si="113"/>
        <v/>
      </c>
      <c r="L112" s="2" t="str">
        <f t="shared" si="19"/>
        <v/>
      </c>
      <c r="M112" s="2" t="str">
        <f t="shared" si="11"/>
        <v/>
      </c>
      <c r="N112" s="152" t="str">
        <f t="shared" si="12"/>
        <v/>
      </c>
      <c r="O112" s="2" t="str">
        <f t="shared" ref="O112:S112" si="114">X52</f>
        <v/>
      </c>
      <c r="P112" s="2" t="str">
        <f t="shared" si="114"/>
        <v/>
      </c>
      <c r="Q112" s="2" t="str">
        <f t="shared" si="114"/>
        <v/>
      </c>
      <c r="R112" s="2" t="str">
        <f t="shared" si="114"/>
        <v/>
      </c>
      <c r="S112" s="2" t="str">
        <f t="shared" si="114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 hidden="1">
      <c r="A113" s="2" t="str">
        <f t="shared" si="9"/>
        <v>Gio</v>
      </c>
      <c r="B113" s="178" t="str">
        <f t="shared" ref="B113:K113" si="115">L53</f>
        <v>Loss</v>
      </c>
      <c r="C113" s="2" t="str">
        <f t="shared" si="115"/>
        <v/>
      </c>
      <c r="D113" s="152" t="str">
        <f t="shared" si="115"/>
        <v/>
      </c>
      <c r="E113" s="2" t="str">
        <f t="shared" si="115"/>
        <v/>
      </c>
      <c r="F113" s="2" t="str">
        <f t="shared" si="115"/>
        <v/>
      </c>
      <c r="G113" s="2" t="str">
        <f t="shared" si="115"/>
        <v/>
      </c>
      <c r="H113" s="2" t="str">
        <f t="shared" si="115"/>
        <v/>
      </c>
      <c r="I113" s="2" t="str">
        <f t="shared" si="115"/>
        <v/>
      </c>
      <c r="J113" s="2" t="str">
        <f t="shared" si="115"/>
        <v/>
      </c>
      <c r="K113" s="2" t="str">
        <f t="shared" si="115"/>
        <v/>
      </c>
      <c r="L113" s="2" t="str">
        <f t="shared" si="19"/>
        <v/>
      </c>
      <c r="M113" s="2" t="str">
        <f t="shared" si="11"/>
        <v/>
      </c>
      <c r="N113" s="152" t="str">
        <f t="shared" si="12"/>
        <v/>
      </c>
      <c r="O113" s="2" t="str">
        <f t="shared" ref="O113:S113" si="116">X53</f>
        <v/>
      </c>
      <c r="P113" s="2" t="str">
        <f t="shared" si="116"/>
        <v/>
      </c>
      <c r="Q113" s="2" t="str">
        <f t="shared" si="116"/>
        <v/>
      </c>
      <c r="R113" s="2" t="str">
        <f t="shared" si="116"/>
        <v/>
      </c>
      <c r="S113" s="2" t="str">
        <f t="shared" si="116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 hidden="1">
      <c r="A114" s="2" t="str">
        <f t="shared" si="9"/>
        <v/>
      </c>
      <c r="B114" s="178" t="str">
        <f t="shared" ref="B114:K114" si="117">L54</f>
        <v>Loss</v>
      </c>
      <c r="C114" s="2" t="str">
        <f t="shared" si="117"/>
        <v/>
      </c>
      <c r="D114" s="152" t="str">
        <f t="shared" si="117"/>
        <v/>
      </c>
      <c r="E114" s="2" t="str">
        <f t="shared" si="117"/>
        <v/>
      </c>
      <c r="F114" s="2" t="str">
        <f t="shared" si="117"/>
        <v/>
      </c>
      <c r="G114" s="2" t="str">
        <f t="shared" si="117"/>
        <v/>
      </c>
      <c r="H114" s="2" t="str">
        <f t="shared" si="117"/>
        <v/>
      </c>
      <c r="I114" s="2" t="str">
        <f t="shared" si="117"/>
        <v/>
      </c>
      <c r="J114" s="2" t="str">
        <f t="shared" si="117"/>
        <v/>
      </c>
      <c r="K114" s="2" t="str">
        <f t="shared" si="117"/>
        <v/>
      </c>
      <c r="L114" s="2" t="str">
        <f t="shared" si="19"/>
        <v/>
      </c>
      <c r="M114" s="2" t="str">
        <f t="shared" si="11"/>
        <v/>
      </c>
      <c r="N114" s="152" t="str">
        <f t="shared" si="12"/>
        <v/>
      </c>
      <c r="O114" s="2" t="str">
        <f t="shared" ref="O114:S114" si="118">X54</f>
        <v/>
      </c>
      <c r="P114" s="2" t="str">
        <f t="shared" si="118"/>
        <v/>
      </c>
      <c r="Q114" s="2" t="str">
        <f t="shared" si="118"/>
        <v/>
      </c>
      <c r="R114" s="2" t="str">
        <f t="shared" si="118"/>
        <v/>
      </c>
      <c r="S114" s="2" t="str">
        <f t="shared" si="118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 hidden="1">
      <c r="A115" s="2" t="str">
        <f t="shared" si="9"/>
        <v/>
      </c>
      <c r="B115" s="178" t="str">
        <f t="shared" ref="B115:K115" si="119">L55</f>
        <v>Loss</v>
      </c>
      <c r="C115" s="2" t="str">
        <f t="shared" si="119"/>
        <v/>
      </c>
      <c r="D115" s="152" t="str">
        <f t="shared" si="119"/>
        <v/>
      </c>
      <c r="E115" s="2" t="str">
        <f t="shared" si="119"/>
        <v/>
      </c>
      <c r="F115" s="2" t="str">
        <f t="shared" si="119"/>
        <v/>
      </c>
      <c r="G115" s="2" t="str">
        <f t="shared" si="119"/>
        <v/>
      </c>
      <c r="H115" s="2" t="str">
        <f t="shared" si="119"/>
        <v/>
      </c>
      <c r="I115" s="2" t="str">
        <f t="shared" si="119"/>
        <v/>
      </c>
      <c r="J115" s="2" t="str">
        <f t="shared" si="119"/>
        <v/>
      </c>
      <c r="K115" s="2" t="str">
        <f t="shared" si="119"/>
        <v/>
      </c>
      <c r="L115" s="2" t="str">
        <f t="shared" si="19"/>
        <v/>
      </c>
      <c r="M115" s="2" t="str">
        <f t="shared" si="11"/>
        <v/>
      </c>
      <c r="N115" s="152" t="str">
        <f t="shared" si="12"/>
        <v/>
      </c>
      <c r="O115" s="2" t="str">
        <f t="shared" ref="O115:S115" si="120">X55</f>
        <v/>
      </c>
      <c r="P115" s="2" t="str">
        <f t="shared" si="120"/>
        <v/>
      </c>
      <c r="Q115" s="2" t="str">
        <f t="shared" si="120"/>
        <v/>
      </c>
      <c r="R115" s="2" t="str">
        <f t="shared" si="120"/>
        <v/>
      </c>
      <c r="S115" s="2" t="str">
        <f t="shared" si="120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 hidden="1">
      <c r="A116" s="2" t="str">
        <f t="shared" si="9"/>
        <v/>
      </c>
      <c r="B116" s="178" t="str">
        <f t="shared" ref="B116:K116" si="121">L56</f>
        <v>Loss</v>
      </c>
      <c r="C116" s="2" t="str">
        <f t="shared" si="121"/>
        <v/>
      </c>
      <c r="D116" s="152" t="str">
        <f t="shared" si="121"/>
        <v/>
      </c>
      <c r="E116" s="2" t="str">
        <f t="shared" si="121"/>
        <v/>
      </c>
      <c r="F116" s="2" t="str">
        <f t="shared" si="121"/>
        <v/>
      </c>
      <c r="G116" s="2" t="str">
        <f t="shared" si="121"/>
        <v/>
      </c>
      <c r="H116" s="2" t="str">
        <f t="shared" si="121"/>
        <v/>
      </c>
      <c r="I116" s="2" t="str">
        <f t="shared" si="121"/>
        <v/>
      </c>
      <c r="J116" s="2" t="str">
        <f t="shared" si="121"/>
        <v/>
      </c>
      <c r="K116" s="2" t="str">
        <f t="shared" si="121"/>
        <v/>
      </c>
      <c r="L116" s="2" t="str">
        <f t="shared" si="19"/>
        <v/>
      </c>
      <c r="M116" s="2" t="str">
        <f t="shared" si="11"/>
        <v/>
      </c>
      <c r="N116" s="152" t="str">
        <f t="shared" si="12"/>
        <v/>
      </c>
      <c r="O116" s="2" t="str">
        <f t="shared" ref="O116:S116" si="122">X56</f>
        <v/>
      </c>
      <c r="P116" s="2" t="str">
        <f t="shared" si="122"/>
        <v/>
      </c>
      <c r="Q116" s="2" t="str">
        <f t="shared" si="122"/>
        <v/>
      </c>
      <c r="R116" s="2" t="str">
        <f t="shared" si="122"/>
        <v/>
      </c>
      <c r="S116" s="2" t="str">
        <f t="shared" si="122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 hidden="1">
      <c r="A117" s="2" t="str">
        <f t="shared" si="9"/>
        <v/>
      </c>
      <c r="B117" s="178" t="str">
        <f t="shared" ref="B117:K117" si="123">L57</f>
        <v>Loss</v>
      </c>
      <c r="C117" s="2" t="str">
        <f t="shared" si="123"/>
        <v/>
      </c>
      <c r="D117" s="152" t="str">
        <f t="shared" si="123"/>
        <v/>
      </c>
      <c r="E117" s="2" t="str">
        <f t="shared" si="123"/>
        <v/>
      </c>
      <c r="F117" s="2" t="str">
        <f t="shared" si="123"/>
        <v/>
      </c>
      <c r="G117" s="2" t="str">
        <f t="shared" si="123"/>
        <v/>
      </c>
      <c r="H117" s="2" t="str">
        <f t="shared" si="123"/>
        <v/>
      </c>
      <c r="I117" s="2" t="str">
        <f t="shared" si="123"/>
        <v/>
      </c>
      <c r="J117" s="2" t="str">
        <f t="shared" si="123"/>
        <v/>
      </c>
      <c r="K117" s="2" t="str">
        <f t="shared" si="123"/>
        <v/>
      </c>
      <c r="L117" s="2" t="str">
        <f t="shared" si="19"/>
        <v/>
      </c>
      <c r="M117" s="2" t="str">
        <f t="shared" si="11"/>
        <v/>
      </c>
      <c r="N117" s="152" t="str">
        <f t="shared" si="12"/>
        <v/>
      </c>
      <c r="O117" s="2" t="str">
        <f t="shared" ref="O117:S117" si="124">X57</f>
        <v/>
      </c>
      <c r="P117" s="2" t="str">
        <f t="shared" si="124"/>
        <v/>
      </c>
      <c r="Q117" s="2" t="str">
        <f t="shared" si="124"/>
        <v/>
      </c>
      <c r="R117" s="2" t="str">
        <f t="shared" si="124"/>
        <v/>
      </c>
      <c r="S117" s="2" t="str">
        <f t="shared" si="124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 hidden="1">
      <c r="A118" s="176" t="str">
        <f t="shared" si="9"/>
        <v>Pulled Cups</v>
      </c>
      <c r="B118" s="178" t="str">
        <f t="shared" ref="B118:K118" si="125">L58</f>
        <v/>
      </c>
      <c r="C118" s="2" t="str">
        <f t="shared" si="125"/>
        <v/>
      </c>
      <c r="D118" s="152" t="str">
        <f t="shared" si="125"/>
        <v/>
      </c>
      <c r="E118" s="2" t="str">
        <f t="shared" si="125"/>
        <v/>
      </c>
      <c r="F118" s="2" t="str">
        <f t="shared" si="125"/>
        <v/>
      </c>
      <c r="G118" s="2" t="str">
        <f t="shared" si="125"/>
        <v/>
      </c>
      <c r="H118" s="2" t="str">
        <f t="shared" si="125"/>
        <v/>
      </c>
      <c r="I118" s="2" t="str">
        <f t="shared" si="125"/>
        <v/>
      </c>
      <c r="J118" s="2" t="str">
        <f t="shared" si="125"/>
        <v/>
      </c>
      <c r="K118" s="2" t="str">
        <f t="shared" si="125"/>
        <v/>
      </c>
      <c r="L118" s="2" t="str">
        <f t="shared" si="19"/>
        <v/>
      </c>
      <c r="M118" s="2" t="str">
        <f t="shared" si="11"/>
        <v/>
      </c>
      <c r="N118" s="152" t="str">
        <f t="shared" si="12"/>
        <v/>
      </c>
      <c r="O118" s="2" t="str">
        <f t="shared" ref="O118:S118" si="126">X58</f>
        <v/>
      </c>
      <c r="P118" s="2" t="str">
        <f t="shared" si="126"/>
        <v/>
      </c>
      <c r="Q118" s="2" t="str">
        <f t="shared" si="126"/>
        <v/>
      </c>
      <c r="R118" s="2" t="str">
        <f t="shared" si="126"/>
        <v/>
      </c>
      <c r="S118" s="2" t="str">
        <f t="shared" si="126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 hidden="1">
      <c r="A119" s="176" t="str">
        <f t="shared" si="9"/>
        <v>Total</v>
      </c>
      <c r="B119" s="178" t="str">
        <f t="shared" ref="B119:K119" si="127">L59</f>
        <v/>
      </c>
      <c r="C119" s="2" t="str">
        <f t="shared" si="127"/>
        <v/>
      </c>
      <c r="D119" s="129">
        <f t="shared" si="127"/>
        <v>96</v>
      </c>
      <c r="E119" s="2" t="str">
        <f t="shared" si="127"/>
        <v/>
      </c>
      <c r="F119" s="2" t="str">
        <f t="shared" si="127"/>
        <v/>
      </c>
      <c r="G119" s="2" t="str">
        <f t="shared" si="127"/>
        <v/>
      </c>
      <c r="H119" s="2" t="str">
        <f t="shared" si="127"/>
        <v/>
      </c>
      <c r="I119" s="128">
        <f t="shared" si="127"/>
        <v>0.3368421053</v>
      </c>
      <c r="J119" s="2" t="str">
        <f t="shared" si="127"/>
        <v/>
      </c>
      <c r="K119" s="2" t="str">
        <f t="shared" si="127"/>
        <v/>
      </c>
      <c r="L119" s="2" t="str">
        <f t="shared" si="19"/>
        <v/>
      </c>
      <c r="M119" s="2" t="str">
        <f t="shared" si="11"/>
        <v/>
      </c>
      <c r="N119" s="129" t="str">
        <f t="shared" si="12"/>
        <v/>
      </c>
      <c r="O119" s="2" t="str">
        <f t="shared" ref="O119:S119" si="128">X59</f>
        <v/>
      </c>
      <c r="P119" s="2" t="str">
        <f t="shared" si="128"/>
        <v/>
      </c>
      <c r="Q119" s="2" t="str">
        <f t="shared" si="128"/>
        <v/>
      </c>
      <c r="R119" s="2" t="str">
        <f t="shared" si="128"/>
        <v/>
      </c>
      <c r="S119" s="2" t="str">
        <f t="shared" si="128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 hidden="1">
      <c r="A120" s="2" t="str">
        <f t="shared" si="9"/>
        <v/>
      </c>
      <c r="B120" s="2" t="str">
        <f t="shared" ref="B120:B175" si="131">M60</f>
        <v/>
      </c>
      <c r="C120" s="2" t="str">
        <f t="shared" ref="C120:K120" si="129">M60</f>
        <v/>
      </c>
      <c r="D120" s="2" t="str">
        <f t="shared" si="129"/>
        <v/>
      </c>
      <c r="E120" s="2" t="str">
        <f t="shared" si="129"/>
        <v/>
      </c>
      <c r="F120" s="2" t="str">
        <f t="shared" si="129"/>
        <v/>
      </c>
      <c r="G120" s="2" t="str">
        <f t="shared" si="129"/>
        <v/>
      </c>
      <c r="H120" s="2" t="str">
        <f t="shared" si="129"/>
        <v/>
      </c>
      <c r="I120" s="2" t="str">
        <f t="shared" si="129"/>
        <v/>
      </c>
      <c r="J120" s="2" t="str">
        <f t="shared" si="129"/>
        <v/>
      </c>
      <c r="K120" s="2" t="str">
        <f t="shared" si="129"/>
        <v/>
      </c>
      <c r="L120" s="2" t="str">
        <f t="shared" si="19"/>
        <v/>
      </c>
      <c r="M120" s="2" t="str">
        <f t="shared" si="11"/>
        <v/>
      </c>
      <c r="N120" s="2" t="str">
        <f t="shared" si="12"/>
        <v/>
      </c>
      <c r="O120" s="2" t="str">
        <f t="shared" ref="O120:S120" si="130">X60</f>
        <v/>
      </c>
      <c r="P120" s="2" t="str">
        <f t="shared" si="130"/>
        <v/>
      </c>
      <c r="Q120" s="2" t="str">
        <f t="shared" si="130"/>
        <v/>
      </c>
      <c r="R120" s="2" t="str">
        <f t="shared" si="130"/>
        <v/>
      </c>
      <c r="S120" s="2" t="str">
        <f t="shared" si="130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31"/>
        <v/>
      </c>
      <c r="C121" s="2" t="str">
        <f t="shared" ref="C121:K121" si="132">M61</f>
        <v/>
      </c>
      <c r="D121" s="2" t="str">
        <f t="shared" si="132"/>
        <v/>
      </c>
      <c r="E121" s="2" t="str">
        <f t="shared" si="132"/>
        <v/>
      </c>
      <c r="F121" s="2" t="str">
        <f t="shared" si="132"/>
        <v/>
      </c>
      <c r="G121" s="2" t="str">
        <f t="shared" si="132"/>
        <v/>
      </c>
      <c r="H121" s="2" t="str">
        <f t="shared" si="132"/>
        <v/>
      </c>
      <c r="I121" s="2" t="str">
        <f t="shared" si="132"/>
        <v/>
      </c>
      <c r="J121" s="2" t="str">
        <f t="shared" si="132"/>
        <v/>
      </c>
      <c r="K121" s="2" t="str">
        <f t="shared" si="132"/>
        <v/>
      </c>
      <c r="L121" s="2" t="str">
        <f t="shared" si="19"/>
        <v/>
      </c>
      <c r="M121" s="2" t="str">
        <f t="shared" si="11"/>
        <v/>
      </c>
      <c r="N121" s="2" t="str">
        <f t="shared" si="12"/>
        <v/>
      </c>
      <c r="O121" s="2" t="str">
        <f t="shared" ref="O121:S121" si="133">X61</f>
        <v/>
      </c>
      <c r="P121" s="2" t="str">
        <f t="shared" si="133"/>
        <v/>
      </c>
      <c r="Q121" s="2" t="str">
        <f t="shared" si="133"/>
        <v/>
      </c>
      <c r="R121" s="2" t="str">
        <f t="shared" si="133"/>
        <v/>
      </c>
      <c r="S121" s="2" t="str">
        <f t="shared" si="133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31"/>
        <v/>
      </c>
      <c r="C122" s="2" t="str">
        <f t="shared" ref="C122:K122" si="134">M62</f>
        <v/>
      </c>
      <c r="D122" s="2" t="str">
        <f t="shared" si="134"/>
        <v/>
      </c>
      <c r="E122" s="2" t="str">
        <f t="shared" si="134"/>
        <v/>
      </c>
      <c r="F122" s="2" t="str">
        <f t="shared" si="134"/>
        <v/>
      </c>
      <c r="G122" s="2" t="str">
        <f t="shared" si="134"/>
        <v/>
      </c>
      <c r="H122" s="2" t="str">
        <f t="shared" si="134"/>
        <v/>
      </c>
      <c r="I122" s="2" t="str">
        <f t="shared" si="134"/>
        <v/>
      </c>
      <c r="J122" s="2" t="str">
        <f t="shared" si="134"/>
        <v/>
      </c>
      <c r="K122" s="2" t="str">
        <f t="shared" si="134"/>
        <v/>
      </c>
      <c r="L122" s="2" t="str">
        <f t="shared" si="19"/>
        <v/>
      </c>
      <c r="M122" s="2" t="str">
        <f t="shared" si="11"/>
        <v/>
      </c>
      <c r="N122" s="2" t="str">
        <f t="shared" si="12"/>
        <v/>
      </c>
      <c r="O122" s="2" t="str">
        <f t="shared" ref="O122:S122" si="135">X62</f>
        <v/>
      </c>
      <c r="P122" s="2" t="str">
        <f t="shared" si="135"/>
        <v/>
      </c>
      <c r="Q122" s="2" t="str">
        <f t="shared" si="135"/>
        <v/>
      </c>
      <c r="R122" s="2" t="str">
        <f t="shared" si="135"/>
        <v/>
      </c>
      <c r="S122" s="2" t="str">
        <f t="shared" si="135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31"/>
        <v/>
      </c>
      <c r="C123" s="2" t="str">
        <f t="shared" ref="C123:K123" si="136">M63</f>
        <v/>
      </c>
      <c r="D123" s="2" t="str">
        <f t="shared" si="136"/>
        <v/>
      </c>
      <c r="E123" s="2" t="str">
        <f t="shared" si="136"/>
        <v/>
      </c>
      <c r="F123" s="2" t="str">
        <f t="shared" si="136"/>
        <v/>
      </c>
      <c r="G123" s="2" t="str">
        <f t="shared" si="136"/>
        <v/>
      </c>
      <c r="H123" s="2" t="str">
        <f t="shared" si="136"/>
        <v/>
      </c>
      <c r="I123" s="2" t="str">
        <f t="shared" si="136"/>
        <v/>
      </c>
      <c r="J123" s="2" t="str">
        <f t="shared" si="136"/>
        <v/>
      </c>
      <c r="K123" s="2" t="str">
        <f t="shared" si="136"/>
        <v/>
      </c>
      <c r="L123" s="2" t="str">
        <f t="shared" si="19"/>
        <v/>
      </c>
      <c r="M123" s="2" t="str">
        <f t="shared" si="11"/>
        <v/>
      </c>
      <c r="N123" s="2" t="str">
        <f t="shared" si="12"/>
        <v/>
      </c>
      <c r="O123" s="2" t="str">
        <f t="shared" ref="O123:S123" si="137">X63</f>
        <v/>
      </c>
      <c r="P123" s="2" t="str">
        <f t="shared" si="137"/>
        <v/>
      </c>
      <c r="Q123" s="2" t="str">
        <f t="shared" si="137"/>
        <v/>
      </c>
      <c r="R123" s="2" t="str">
        <f t="shared" si="137"/>
        <v/>
      </c>
      <c r="S123" s="2" t="str">
        <f t="shared" si="137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31"/>
        <v/>
      </c>
      <c r="C124" s="2" t="str">
        <f t="shared" ref="C124:K124" si="138">M64</f>
        <v/>
      </c>
      <c r="D124" s="2" t="str">
        <f t="shared" si="138"/>
        <v/>
      </c>
      <c r="E124" s="2" t="str">
        <f t="shared" si="138"/>
        <v/>
      </c>
      <c r="F124" s="2" t="str">
        <f t="shared" si="138"/>
        <v/>
      </c>
      <c r="G124" s="2" t="str">
        <f t="shared" si="138"/>
        <v/>
      </c>
      <c r="H124" s="2" t="str">
        <f t="shared" si="138"/>
        <v/>
      </c>
      <c r="I124" s="2" t="str">
        <f t="shared" si="138"/>
        <v/>
      </c>
      <c r="J124" s="2" t="str">
        <f t="shared" si="138"/>
        <v/>
      </c>
      <c r="K124" s="2" t="str">
        <f t="shared" si="138"/>
        <v/>
      </c>
      <c r="L124" s="2" t="str">
        <f t="shared" si="19"/>
        <v/>
      </c>
      <c r="M124" s="2" t="str">
        <f t="shared" si="11"/>
        <v/>
      </c>
      <c r="N124" s="2" t="str">
        <f t="shared" si="12"/>
        <v/>
      </c>
      <c r="O124" s="2" t="str">
        <f t="shared" ref="O124:S124" si="139">X64</f>
        <v/>
      </c>
      <c r="P124" s="2" t="str">
        <f t="shared" si="139"/>
        <v/>
      </c>
      <c r="Q124" s="2" t="str">
        <f t="shared" si="139"/>
        <v/>
      </c>
      <c r="R124" s="2" t="str">
        <f t="shared" si="139"/>
        <v/>
      </c>
      <c r="S124" s="2" t="str">
        <f t="shared" si="139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31"/>
        <v/>
      </c>
      <c r="C125" s="2" t="str">
        <f t="shared" ref="C125:K125" si="140">M65</f>
        <v/>
      </c>
      <c r="D125" s="2" t="str">
        <f t="shared" si="140"/>
        <v/>
      </c>
      <c r="E125" s="2" t="str">
        <f t="shared" si="140"/>
        <v/>
      </c>
      <c r="F125" s="2" t="str">
        <f t="shared" si="140"/>
        <v/>
      </c>
      <c r="G125" s="2" t="str">
        <f t="shared" si="140"/>
        <v/>
      </c>
      <c r="H125" s="2" t="str">
        <f t="shared" si="140"/>
        <v/>
      </c>
      <c r="I125" s="2" t="str">
        <f t="shared" si="140"/>
        <v/>
      </c>
      <c r="J125" s="2" t="str">
        <f t="shared" si="140"/>
        <v/>
      </c>
      <c r="K125" s="2" t="str">
        <f t="shared" si="140"/>
        <v/>
      </c>
      <c r="L125" s="2" t="str">
        <f t="shared" si="19"/>
        <v/>
      </c>
      <c r="M125" s="2" t="str">
        <f t="shared" si="11"/>
        <v/>
      </c>
      <c r="N125" s="2" t="str">
        <f t="shared" si="12"/>
        <v/>
      </c>
      <c r="O125" s="2" t="str">
        <f t="shared" ref="O125:S125" si="141">X65</f>
        <v/>
      </c>
      <c r="P125" s="2" t="str">
        <f t="shared" si="141"/>
        <v/>
      </c>
      <c r="Q125" s="2" t="str">
        <f t="shared" si="141"/>
        <v/>
      </c>
      <c r="R125" s="2" t="str">
        <f t="shared" si="141"/>
        <v/>
      </c>
      <c r="S125" s="2" t="str">
        <f t="shared" si="141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31"/>
        <v/>
      </c>
      <c r="C126" s="2" t="str">
        <f t="shared" ref="C126:K126" si="142">M66</f>
        <v/>
      </c>
      <c r="D126" s="2" t="str">
        <f t="shared" si="142"/>
        <v/>
      </c>
      <c r="E126" s="2" t="str">
        <f t="shared" si="142"/>
        <v/>
      </c>
      <c r="F126" s="2" t="str">
        <f t="shared" si="142"/>
        <v/>
      </c>
      <c r="G126" s="2" t="str">
        <f t="shared" si="142"/>
        <v/>
      </c>
      <c r="H126" s="2" t="str">
        <f t="shared" si="142"/>
        <v/>
      </c>
      <c r="I126" s="2" t="str">
        <f t="shared" si="142"/>
        <v/>
      </c>
      <c r="J126" s="2" t="str">
        <f t="shared" si="142"/>
        <v/>
      </c>
      <c r="K126" s="2" t="str">
        <f t="shared" si="142"/>
        <v/>
      </c>
      <c r="L126" s="2" t="str">
        <f t="shared" si="19"/>
        <v/>
      </c>
      <c r="M126" s="2" t="str">
        <f t="shared" si="11"/>
        <v/>
      </c>
      <c r="N126" s="2" t="str">
        <f t="shared" si="12"/>
        <v/>
      </c>
      <c r="O126" s="2" t="str">
        <f t="shared" ref="O126:S126" si="143">X66</f>
        <v/>
      </c>
      <c r="P126" s="2" t="str">
        <f t="shared" si="143"/>
        <v/>
      </c>
      <c r="Q126" s="2" t="str">
        <f t="shared" si="143"/>
        <v/>
      </c>
      <c r="R126" s="2" t="str">
        <f t="shared" si="143"/>
        <v/>
      </c>
      <c r="S126" s="2" t="str">
        <f t="shared" si="143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31"/>
        <v/>
      </c>
      <c r="C127" s="2" t="str">
        <f t="shared" ref="C127:K127" si="144">M67</f>
        <v/>
      </c>
      <c r="D127" s="2" t="str">
        <f t="shared" si="144"/>
        <v/>
      </c>
      <c r="E127" s="2" t="str">
        <f t="shared" si="144"/>
        <v/>
      </c>
      <c r="F127" s="2" t="str">
        <f t="shared" si="144"/>
        <v/>
      </c>
      <c r="G127" s="2" t="str">
        <f t="shared" si="144"/>
        <v/>
      </c>
      <c r="H127" s="2" t="str">
        <f t="shared" si="144"/>
        <v/>
      </c>
      <c r="I127" s="2" t="str">
        <f t="shared" si="144"/>
        <v/>
      </c>
      <c r="J127" s="2" t="str">
        <f t="shared" si="144"/>
        <v/>
      </c>
      <c r="K127" s="2" t="str">
        <f t="shared" si="144"/>
        <v/>
      </c>
      <c r="L127" s="2" t="str">
        <f t="shared" si="19"/>
        <v/>
      </c>
      <c r="M127" s="2" t="str">
        <f t="shared" si="11"/>
        <v/>
      </c>
      <c r="N127" s="2" t="str">
        <f t="shared" si="12"/>
        <v/>
      </c>
      <c r="O127" s="2" t="str">
        <f t="shared" ref="O127:S127" si="145">X67</f>
        <v/>
      </c>
      <c r="P127" s="2" t="str">
        <f t="shared" si="145"/>
        <v/>
      </c>
      <c r="Q127" s="2" t="str">
        <f t="shared" si="145"/>
        <v/>
      </c>
      <c r="R127" s="2" t="str">
        <f t="shared" si="145"/>
        <v/>
      </c>
      <c r="S127" s="2" t="str">
        <f t="shared" si="145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31"/>
        <v/>
      </c>
      <c r="C128" s="2" t="str">
        <f t="shared" ref="C128:K128" si="146">M68</f>
        <v/>
      </c>
      <c r="D128" s="2" t="str">
        <f t="shared" si="146"/>
        <v/>
      </c>
      <c r="E128" s="2" t="str">
        <f t="shared" si="146"/>
        <v/>
      </c>
      <c r="F128" s="2" t="str">
        <f t="shared" si="146"/>
        <v/>
      </c>
      <c r="G128" s="2" t="str">
        <f t="shared" si="146"/>
        <v/>
      </c>
      <c r="H128" s="2" t="str">
        <f t="shared" si="146"/>
        <v/>
      </c>
      <c r="I128" s="2" t="str">
        <f t="shared" si="146"/>
        <v/>
      </c>
      <c r="J128" s="2" t="str">
        <f t="shared" si="146"/>
        <v/>
      </c>
      <c r="K128" s="2" t="str">
        <f t="shared" si="146"/>
        <v/>
      </c>
      <c r="L128" s="2" t="str">
        <f t="shared" si="19"/>
        <v/>
      </c>
      <c r="M128" s="2" t="str">
        <f t="shared" si="11"/>
        <v/>
      </c>
      <c r="N128" s="2" t="str">
        <f t="shared" si="12"/>
        <v/>
      </c>
      <c r="O128" s="2" t="str">
        <f t="shared" ref="O128:S128" si="147">X68</f>
        <v/>
      </c>
      <c r="P128" s="2" t="str">
        <f t="shared" si="147"/>
        <v/>
      </c>
      <c r="Q128" s="2" t="str">
        <f t="shared" si="147"/>
        <v/>
      </c>
      <c r="R128" s="2" t="str">
        <f t="shared" si="147"/>
        <v/>
      </c>
      <c r="S128" s="2" t="str">
        <f t="shared" si="147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31"/>
        <v/>
      </c>
      <c r="C129" s="2" t="str">
        <f t="shared" ref="C129:K129" si="148">M69</f>
        <v/>
      </c>
      <c r="D129" s="2" t="str">
        <f t="shared" si="148"/>
        <v/>
      </c>
      <c r="E129" s="2" t="str">
        <f t="shared" si="148"/>
        <v/>
      </c>
      <c r="F129" s="2" t="str">
        <f t="shared" si="148"/>
        <v/>
      </c>
      <c r="G129" s="2" t="str">
        <f t="shared" si="148"/>
        <v/>
      </c>
      <c r="H129" s="2" t="str">
        <f t="shared" si="148"/>
        <v/>
      </c>
      <c r="I129" s="2" t="str">
        <f t="shared" si="148"/>
        <v/>
      </c>
      <c r="J129" s="2" t="str">
        <f t="shared" si="148"/>
        <v/>
      </c>
      <c r="K129" s="2" t="str">
        <f t="shared" si="148"/>
        <v/>
      </c>
      <c r="L129" s="2" t="str">
        <f t="shared" si="19"/>
        <v/>
      </c>
      <c r="M129" s="2" t="str">
        <f t="shared" si="11"/>
        <v/>
      </c>
      <c r="N129" s="2" t="str">
        <f t="shared" si="12"/>
        <v/>
      </c>
      <c r="O129" s="2" t="str">
        <f t="shared" ref="O129:S129" si="149">X69</f>
        <v/>
      </c>
      <c r="P129" s="2" t="str">
        <f t="shared" si="149"/>
        <v/>
      </c>
      <c r="Q129" s="2" t="str">
        <f t="shared" si="149"/>
        <v/>
      </c>
      <c r="R129" s="2" t="str">
        <f t="shared" si="149"/>
        <v/>
      </c>
      <c r="S129" s="2" t="str">
        <f t="shared" si="149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31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19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31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19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31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19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31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19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31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19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31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si="19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31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19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31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19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31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19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31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19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31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19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31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19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31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19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31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19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31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19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31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19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31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19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31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19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31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19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31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19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31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19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31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19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31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19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31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19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31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19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31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19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31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19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31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19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31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19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31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19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31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19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31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19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31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19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31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19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31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19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31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19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31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19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31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19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31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9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31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9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31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9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31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9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31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9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31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9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31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9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31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9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AB975">
    <cfRule type="containsText" dxfId="2" priority="1" operator="containsText" text="Win">
      <formula>NOT(ISERROR(SEARCH(("Win"),(A1))))</formula>
    </cfRule>
  </conditionalFormatting>
  <conditionalFormatting sqref="A1:AB975">
    <cfRule type="containsText" dxfId="3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Schedule'!K3</f>
        <v>Migos</v>
      </c>
      <c r="B1" s="2"/>
      <c r="C1" s="2"/>
      <c r="D1" s="2"/>
      <c r="E1" s="2" t="s">
        <v>145</v>
      </c>
      <c r="F1" s="166" t="str">
        <f>if(D19&gt;N19, "Win", if(D19&lt;N19, "Loss", ""))</f>
        <v>Win</v>
      </c>
      <c r="G1" s="2"/>
      <c r="H1" s="17" t="s">
        <v>146</v>
      </c>
      <c r="I1" s="152">
        <f>D19-N19</f>
        <v>1</v>
      </c>
      <c r="J1" s="167" t="s">
        <v>184</v>
      </c>
      <c r="K1" s="168" t="str">
        <f>'Full Schedule'!L3</f>
        <v>Candice?</v>
      </c>
      <c r="L1" s="2"/>
      <c r="M1" s="2"/>
      <c r="N1" s="2"/>
      <c r="O1" s="17" t="s">
        <v>145</v>
      </c>
      <c r="P1" s="166" t="str">
        <f>if(N19&gt;D19, "Win", if(N19&lt;D19, "Loss", ""))</f>
        <v>Loss</v>
      </c>
      <c r="Q1" s="2"/>
      <c r="R1" s="17" t="s">
        <v>146</v>
      </c>
      <c r="S1" s="152">
        <f>N19-D19</f>
        <v>-1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Arnav</v>
      </c>
      <c r="B3" s="24" t="str">
        <f>F1</f>
        <v>Win</v>
      </c>
      <c r="C3" s="24">
        <v>6.0</v>
      </c>
      <c r="D3" s="152">
        <f t="shared" ref="D3:D17" si="1">if(I3&gt;0, sum(E3:H3), "")</f>
        <v>17</v>
      </c>
      <c r="E3" s="24">
        <v>5.0</v>
      </c>
      <c r="F3" s="24">
        <v>3.0</v>
      </c>
      <c r="G3" s="24">
        <v>8.0</v>
      </c>
      <c r="H3" s="24">
        <v>1.0</v>
      </c>
      <c r="I3" s="24">
        <v>20.0</v>
      </c>
      <c r="J3" s="2"/>
      <c r="K3" s="2" t="str">
        <f t="array" ref="K3">xlookup($K$1, 'General Info'!$F$3:$K$3, 'General Info'!$F4:$K4)</f>
        <v>John</v>
      </c>
      <c r="L3" s="24" t="str">
        <f>P1</f>
        <v>Loss</v>
      </c>
      <c r="M3" s="24"/>
      <c r="N3" s="152">
        <f t="shared" ref="N3:N17" si="2">if(S3&gt;0, sum(O3:R3), "")</f>
        <v>27</v>
      </c>
      <c r="O3" s="24">
        <v>10.0</v>
      </c>
      <c r="P3" s="24">
        <v>4.0</v>
      </c>
      <c r="Q3" s="24">
        <v>9.0</v>
      </c>
      <c r="R3" s="24">
        <v>4.0</v>
      </c>
      <c r="S3" s="24">
        <v>20.0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Brendan</v>
      </c>
      <c r="B4" s="24" t="str">
        <f>F1</f>
        <v>Win</v>
      </c>
      <c r="C4" s="24">
        <v>1.0</v>
      </c>
      <c r="D4" s="152">
        <f t="shared" si="1"/>
        <v>14</v>
      </c>
      <c r="E4" s="24">
        <v>4.0</v>
      </c>
      <c r="F4" s="24">
        <v>0.0</v>
      </c>
      <c r="G4" s="24">
        <v>7.0</v>
      </c>
      <c r="H4" s="24">
        <v>3.0</v>
      </c>
      <c r="I4" s="24">
        <v>22.0</v>
      </c>
      <c r="J4" s="2"/>
      <c r="K4" s="2" t="str">
        <f t="array" ref="K4">xlookup($K$1, 'General Info'!$F$3:$K$3, 'General Info'!$F5:$K5)</f>
        <v>Cole</v>
      </c>
      <c r="L4" s="24" t="str">
        <f>P1</f>
        <v>Loss</v>
      </c>
      <c r="M4" s="24"/>
      <c r="N4" s="152">
        <f t="shared" si="2"/>
        <v>22</v>
      </c>
      <c r="O4" s="24">
        <v>12.0</v>
      </c>
      <c r="P4" s="24">
        <v>2.0</v>
      </c>
      <c r="Q4" s="24">
        <v>8.0</v>
      </c>
      <c r="R4" s="24">
        <v>0.0</v>
      </c>
      <c r="S4" s="24">
        <v>20.0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Kumbatovic</v>
      </c>
      <c r="B5" s="2" t="str">
        <f>F1</f>
        <v>Win</v>
      </c>
      <c r="C5" s="24">
        <v>2.0</v>
      </c>
      <c r="D5" s="152">
        <f t="shared" si="1"/>
        <v>16</v>
      </c>
      <c r="E5" s="24">
        <v>5.0</v>
      </c>
      <c r="F5" s="24">
        <v>0.0</v>
      </c>
      <c r="G5" s="24">
        <v>7.0</v>
      </c>
      <c r="H5" s="24">
        <v>4.0</v>
      </c>
      <c r="I5" s="24">
        <v>20.0</v>
      </c>
      <c r="J5" s="2"/>
      <c r="K5" s="2" t="str">
        <f t="array" ref="K5">xlookup($K$1, 'General Info'!$F$3:$K$3, 'General Info'!$F6:$K6)</f>
        <v>Dannegger</v>
      </c>
      <c r="L5" s="2" t="str">
        <f>P1</f>
        <v>Loss</v>
      </c>
      <c r="M5" s="24"/>
      <c r="N5" s="152">
        <f t="shared" si="2"/>
        <v>16</v>
      </c>
      <c r="O5" s="24">
        <v>7.0</v>
      </c>
      <c r="P5" s="24">
        <v>0.0</v>
      </c>
      <c r="Q5" s="24">
        <v>8.0</v>
      </c>
      <c r="R5" s="24">
        <v>1.0</v>
      </c>
      <c r="S5" s="24">
        <v>22.0</v>
      </c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Paul</v>
      </c>
      <c r="B6" s="24" t="str">
        <f>F1</f>
        <v>Win</v>
      </c>
      <c r="C6" s="24">
        <v>5.0</v>
      </c>
      <c r="D6" s="152">
        <f t="shared" si="1"/>
        <v>14</v>
      </c>
      <c r="E6" s="24">
        <v>9.0</v>
      </c>
      <c r="F6" s="24">
        <v>0.0</v>
      </c>
      <c r="G6" s="24">
        <v>5.0</v>
      </c>
      <c r="H6" s="24">
        <v>0.0</v>
      </c>
      <c r="I6" s="24">
        <v>22.0</v>
      </c>
      <c r="J6" s="2"/>
      <c r="K6" s="2" t="str">
        <f t="array" ref="K6">xlookup($K$1, 'General Info'!$F$3:$K$3, 'General Info'!$F7:$K7)</f>
        <v>KZ</v>
      </c>
      <c r="L6" s="24" t="str">
        <f>P1</f>
        <v>Loss</v>
      </c>
      <c r="M6" s="24"/>
      <c r="N6" s="152" t="str">
        <f t="shared" si="2"/>
        <v/>
      </c>
      <c r="O6" s="24"/>
      <c r="P6" s="24"/>
      <c r="Q6" s="24"/>
      <c r="R6" s="24"/>
      <c r="S6" s="24"/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Raymond</v>
      </c>
      <c r="B7" s="24" t="str">
        <f>F1</f>
        <v>Win</v>
      </c>
      <c r="C7" s="24">
        <v>3.0</v>
      </c>
      <c r="D7" s="152">
        <f t="shared" si="1"/>
        <v>16</v>
      </c>
      <c r="E7" s="24">
        <v>7.0</v>
      </c>
      <c r="F7" s="24">
        <v>1.0</v>
      </c>
      <c r="G7" s="24">
        <v>8.0</v>
      </c>
      <c r="H7" s="24">
        <v>0.0</v>
      </c>
      <c r="I7" s="24">
        <v>22.0</v>
      </c>
      <c r="J7" s="2"/>
      <c r="K7" s="2" t="str">
        <f t="array" ref="K7">xlookup($K$1, 'General Info'!$F$3:$K$3, 'General Info'!$F8:$K8)</f>
        <v>Adi</v>
      </c>
      <c r="L7" s="24" t="str">
        <f>P1</f>
        <v>Loss</v>
      </c>
      <c r="M7" s="24"/>
      <c r="N7" s="152" t="str">
        <f t="shared" si="2"/>
        <v/>
      </c>
      <c r="O7" s="24"/>
      <c r="P7" s="24"/>
      <c r="Q7" s="24"/>
      <c r="R7" s="24"/>
      <c r="S7" s="24"/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TC</v>
      </c>
      <c r="B8" s="24" t="str">
        <f>F1</f>
        <v>Win</v>
      </c>
      <c r="C8" s="24">
        <v>4.0</v>
      </c>
      <c r="D8" s="152">
        <f t="shared" si="1"/>
        <v>19</v>
      </c>
      <c r="E8" s="24">
        <v>5.0</v>
      </c>
      <c r="F8" s="24">
        <v>1.0</v>
      </c>
      <c r="G8" s="24">
        <v>12.0</v>
      </c>
      <c r="H8" s="24">
        <v>1.0</v>
      </c>
      <c r="I8" s="24">
        <v>21.0</v>
      </c>
      <c r="J8" s="2"/>
      <c r="K8" s="2" t="str">
        <f t="array" ref="K8">xlookup($K$1, 'General Info'!$F$3:$K$3, 'General Info'!$F9:$K9)</f>
        <v>Gavin</v>
      </c>
      <c r="L8" s="24" t="str">
        <f>P1</f>
        <v>Loss</v>
      </c>
      <c r="M8" s="24"/>
      <c r="N8" s="152" t="str">
        <f t="shared" si="2"/>
        <v/>
      </c>
      <c r="O8" s="24"/>
      <c r="P8" s="24"/>
      <c r="Q8" s="24"/>
      <c r="R8" s="24"/>
      <c r="S8" s="24"/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Kyi</v>
      </c>
      <c r="B9" s="2" t="str">
        <f>F1</f>
        <v>Win</v>
      </c>
      <c r="C9" s="2"/>
      <c r="D9" s="2" t="str">
        <f t="shared" si="1"/>
        <v/>
      </c>
      <c r="E9" s="2"/>
      <c r="F9" s="2"/>
      <c r="G9" s="2"/>
      <c r="H9" s="2"/>
      <c r="I9" s="2"/>
      <c r="J9" s="2"/>
      <c r="K9" s="2" t="str">
        <f t="array" ref="K9">xlookup($K$1, 'General Info'!$F$3:$K$3, 'General Info'!$F10:$K10)</f>
        <v>David</v>
      </c>
      <c r="L9" s="2" t="str">
        <f>P1</f>
        <v>Loss</v>
      </c>
      <c r="M9" s="2"/>
      <c r="N9" s="2">
        <f t="shared" si="2"/>
        <v>12</v>
      </c>
      <c r="O9" s="24">
        <v>7.0</v>
      </c>
      <c r="P9" s="24">
        <v>0.0</v>
      </c>
      <c r="Q9" s="24">
        <v>5.0</v>
      </c>
      <c r="R9" s="24">
        <v>0.0</v>
      </c>
      <c r="S9" s="24">
        <v>22.0</v>
      </c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Jwu</v>
      </c>
      <c r="B10" s="24" t="str">
        <f>F1</f>
        <v>Win</v>
      </c>
      <c r="C10" s="24"/>
      <c r="D10" s="2" t="str">
        <f t="shared" si="1"/>
        <v/>
      </c>
      <c r="E10" s="24"/>
      <c r="F10" s="24"/>
      <c r="G10" s="24"/>
      <c r="H10" s="24"/>
      <c r="I10" s="24"/>
      <c r="J10" s="2"/>
      <c r="K10" s="2" t="str">
        <f t="array" ref="K10">xlookup($K$1, 'General Info'!$F$3:$K$3, 'General Info'!$F11:$K11)</f>
        <v>Kento</v>
      </c>
      <c r="L10" s="24" t="str">
        <f>P1</f>
        <v>Loss</v>
      </c>
      <c r="M10" s="2"/>
      <c r="N10" s="2">
        <f t="shared" si="2"/>
        <v>11</v>
      </c>
      <c r="O10" s="24">
        <v>2.0</v>
      </c>
      <c r="P10" s="24">
        <v>0.0</v>
      </c>
      <c r="Q10" s="24">
        <v>8.0</v>
      </c>
      <c r="R10" s="24">
        <v>1.0</v>
      </c>
      <c r="S10" s="24">
        <v>23.0</v>
      </c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Parker</v>
      </c>
      <c r="B11" s="2" t="str">
        <f>F1</f>
        <v>Win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Jacob</v>
      </c>
      <c r="L11" s="2" t="str">
        <f>P1</f>
        <v>Loss</v>
      </c>
      <c r="M11" s="2"/>
      <c r="N11" s="2">
        <f t="shared" si="2"/>
        <v>9</v>
      </c>
      <c r="O11" s="24">
        <v>2.0</v>
      </c>
      <c r="P11" s="24">
        <v>0.0</v>
      </c>
      <c r="Q11" s="24">
        <v>7.0</v>
      </c>
      <c r="R11" s="24">
        <v>0.0</v>
      </c>
      <c r="S11" s="24">
        <v>22.0</v>
      </c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>Henry</v>
      </c>
      <c r="B12" s="2" t="str">
        <f>F1</f>
        <v>Win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/>
      </c>
      <c r="L12" s="2" t="str">
        <f>P1</f>
        <v>Loss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>Ayush</v>
      </c>
      <c r="B13" s="2" t="str">
        <f>F1</f>
        <v>Win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/>
      </c>
      <c r="L13" s="2" t="str">
        <f>P1</f>
        <v>Loss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Win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Loss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Win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Loss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Win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Loss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Win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Loss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27">
        <v>4.0</v>
      </c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27">
        <v>2.0</v>
      </c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100</v>
      </c>
      <c r="E19" s="2"/>
      <c r="F19" s="2"/>
      <c r="G19" s="2"/>
      <c r="H19" s="2"/>
      <c r="I19" s="174">
        <f>sum(D3:D17)/(sum(D3:D17)+sum(I3:I17))</f>
        <v>0.4304932735</v>
      </c>
      <c r="J19" s="2"/>
      <c r="K19" s="171" t="s">
        <v>152</v>
      </c>
      <c r="L19" s="172"/>
      <c r="M19" s="172"/>
      <c r="N19" s="173">
        <f>sum(N3:N18)</f>
        <v>99</v>
      </c>
      <c r="O19" s="2"/>
      <c r="P19" s="2"/>
      <c r="Q19" s="2"/>
      <c r="R19" s="2"/>
      <c r="S19" s="174">
        <f>sum(N3:N17)/(sum(N3:N17)+sum(S3:S17))</f>
        <v>0.4292035398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Schedule'!K4</f>
        <v>Gargantuan</v>
      </c>
      <c r="B21" s="2"/>
      <c r="C21" s="2"/>
      <c r="D21" s="2"/>
      <c r="E21" s="2" t="s">
        <v>145</v>
      </c>
      <c r="F21" s="166" t="str">
        <f>if(D39&gt;N39, "Win", if(D39&lt;N39, "Loss", ""))</f>
        <v>Win</v>
      </c>
      <c r="G21" s="2"/>
      <c r="H21" s="17" t="s">
        <v>146</v>
      </c>
      <c r="I21" s="152">
        <f>D39-N39</f>
        <v>6</v>
      </c>
      <c r="J21" s="167" t="s">
        <v>184</v>
      </c>
      <c r="K21" s="165" t="str">
        <f>'Full Schedule'!L4</f>
        <v>Team C</v>
      </c>
      <c r="L21" s="2"/>
      <c r="M21" s="2"/>
      <c r="N21" s="2"/>
      <c r="O21" s="17" t="s">
        <v>145</v>
      </c>
      <c r="P21" s="166" t="str">
        <f>if(N39&gt;D39, "Win", if(N39&lt;D39, "Loss", ""))</f>
        <v>Loss</v>
      </c>
      <c r="Q21" s="2"/>
      <c r="R21" s="17" t="s">
        <v>146</v>
      </c>
      <c r="S21" s="152">
        <f>N39-D39</f>
        <v>-6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Tyler</v>
      </c>
      <c r="B23" s="24" t="str">
        <f>F21</f>
        <v>Win</v>
      </c>
      <c r="C23" s="2"/>
      <c r="D23" s="152" t="str">
        <f t="shared" ref="D23:D37" si="3">if(I23&gt;0, sum(E23:H23), "")</f>
        <v/>
      </c>
      <c r="E23" s="24"/>
      <c r="F23" s="24"/>
      <c r="G23" s="24"/>
      <c r="H23" s="24"/>
      <c r="I23" s="24"/>
      <c r="J23" s="2"/>
      <c r="K23" s="2" t="str">
        <f t="array" ref="K23">xlookup($K$21, 'General Info'!$F$3:$K$3, 'General Info'!$F4:$K4)</f>
        <v>Du</v>
      </c>
      <c r="L23" s="24" t="str">
        <f>P21</f>
        <v>Loss</v>
      </c>
      <c r="M23" s="24">
        <v>5.0</v>
      </c>
      <c r="N23" s="152">
        <f t="shared" ref="N23:N37" si="4">if(S23&gt;0, sum(O23:R23), "")</f>
        <v>7</v>
      </c>
      <c r="O23" s="24">
        <v>1.0</v>
      </c>
      <c r="P23" s="24">
        <v>0.0</v>
      </c>
      <c r="Q23" s="24">
        <v>5.0</v>
      </c>
      <c r="R23" s="24">
        <v>1.0</v>
      </c>
      <c r="S23" s="24">
        <v>25.0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Lucas</v>
      </c>
      <c r="B24" s="24" t="str">
        <f>F21</f>
        <v>Win</v>
      </c>
      <c r="C24" s="2"/>
      <c r="D24" s="152" t="str">
        <f t="shared" si="3"/>
        <v/>
      </c>
      <c r="E24" s="24"/>
      <c r="F24" s="24"/>
      <c r="G24" s="24"/>
      <c r="H24" s="24"/>
      <c r="I24" s="24"/>
      <c r="J24" s="2"/>
      <c r="K24" s="2" t="str">
        <f t="array" ref="K24">xlookup($K$21, 'General Info'!$F$3:$K$3, 'General Info'!$F5:$K5)</f>
        <v>Neo</v>
      </c>
      <c r="L24" s="24" t="str">
        <f>P21</f>
        <v>Loss</v>
      </c>
      <c r="M24" s="24">
        <v>4.0</v>
      </c>
      <c r="N24" s="152">
        <f t="shared" si="4"/>
        <v>9</v>
      </c>
      <c r="O24" s="24">
        <v>0.0</v>
      </c>
      <c r="P24" s="24">
        <v>0.0</v>
      </c>
      <c r="Q24" s="24">
        <v>9.0</v>
      </c>
      <c r="R24" s="24">
        <v>0.0</v>
      </c>
      <c r="S24" s="24">
        <v>25.0</v>
      </c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Porco</v>
      </c>
      <c r="B25" s="2" t="str">
        <f>F21</f>
        <v>Win</v>
      </c>
      <c r="C25" s="24">
        <v>6.0</v>
      </c>
      <c r="D25" s="2">
        <f t="shared" si="3"/>
        <v>17</v>
      </c>
      <c r="E25" s="24">
        <v>8.0</v>
      </c>
      <c r="F25" s="24">
        <v>3.0</v>
      </c>
      <c r="G25" s="24">
        <v>4.0</v>
      </c>
      <c r="H25" s="24">
        <v>2.0</v>
      </c>
      <c r="I25" s="24">
        <v>23.0</v>
      </c>
      <c r="J25" s="2"/>
      <c r="K25" s="2" t="str">
        <f t="array" ref="K25">xlookup($K$21, 'General Info'!$F$3:$K$3, 'General Info'!$F6:$K6)</f>
        <v>Fritz</v>
      </c>
      <c r="L25" s="2" t="str">
        <f>P21</f>
        <v>Loss</v>
      </c>
      <c r="M25" s="24">
        <v>6.0</v>
      </c>
      <c r="N25" s="2">
        <f t="shared" si="4"/>
        <v>19</v>
      </c>
      <c r="O25" s="24">
        <v>10.0</v>
      </c>
      <c r="P25" s="24">
        <v>4.0</v>
      </c>
      <c r="Q25" s="24">
        <v>2.0</v>
      </c>
      <c r="R25" s="24">
        <v>3.0</v>
      </c>
      <c r="S25" s="24">
        <v>25.0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Andy Yu</v>
      </c>
      <c r="B26" s="24" t="str">
        <f>F21</f>
        <v>Win</v>
      </c>
      <c r="C26" s="2"/>
      <c r="D26" s="2" t="str">
        <f t="shared" si="3"/>
        <v/>
      </c>
      <c r="E26" s="24"/>
      <c r="F26" s="24"/>
      <c r="G26" s="24"/>
      <c r="H26" s="24"/>
      <c r="I26" s="24"/>
      <c r="J26" s="2"/>
      <c r="K26" s="2" t="str">
        <f t="array" ref="K26">xlookup($K$21, 'General Info'!$F$3:$K$3, 'General Info'!$F7:$K7)</f>
        <v>Eric</v>
      </c>
      <c r="L26" s="24" t="str">
        <f>P21</f>
        <v>Loss</v>
      </c>
      <c r="M26" s="24">
        <v>1.0</v>
      </c>
      <c r="N26" s="2">
        <f t="shared" si="4"/>
        <v>18</v>
      </c>
      <c r="O26" s="24">
        <v>10.0</v>
      </c>
      <c r="P26" s="24">
        <v>0.0</v>
      </c>
      <c r="Q26" s="24">
        <v>8.0</v>
      </c>
      <c r="R26" s="24">
        <v>0.0</v>
      </c>
      <c r="S26" s="24">
        <v>20.0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Dli</v>
      </c>
      <c r="B27" s="24" t="str">
        <f>F21</f>
        <v>Win</v>
      </c>
      <c r="C27" s="24">
        <v>5.0</v>
      </c>
      <c r="D27" s="2">
        <f t="shared" si="3"/>
        <v>21</v>
      </c>
      <c r="E27" s="24">
        <v>12.0</v>
      </c>
      <c r="F27" s="24">
        <v>1.0</v>
      </c>
      <c r="G27" s="24">
        <v>7.0</v>
      </c>
      <c r="H27" s="24">
        <v>1.0</v>
      </c>
      <c r="I27" s="24">
        <v>25.0</v>
      </c>
      <c r="J27" s="2"/>
      <c r="K27" s="2" t="str">
        <f t="array" ref="K27">xlookup($K$21, 'General Info'!$F$3:$K$3, 'General Info'!$F8:$K8)</f>
        <v>Ilt</v>
      </c>
      <c r="L27" s="24" t="str">
        <f>P21</f>
        <v>Loss</v>
      </c>
      <c r="M27" s="2"/>
      <c r="N27" s="2" t="str">
        <f t="shared" si="4"/>
        <v/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Somil</v>
      </c>
      <c r="B28" s="24" t="str">
        <f>F21</f>
        <v>Win</v>
      </c>
      <c r="C28" s="24">
        <v>2.0</v>
      </c>
      <c r="D28" s="152">
        <f t="shared" si="3"/>
        <v>15</v>
      </c>
      <c r="E28" s="24">
        <v>10.0</v>
      </c>
      <c r="F28" s="24">
        <v>0.0</v>
      </c>
      <c r="G28" s="24">
        <v>5.0</v>
      </c>
      <c r="H28" s="24">
        <v>0.0</v>
      </c>
      <c r="I28" s="24">
        <v>24.0</v>
      </c>
      <c r="J28" s="2"/>
      <c r="K28" s="2" t="str">
        <f t="array" ref="K28">xlookup($K$21, 'General Info'!$F$3:$K$3, 'General Info'!$F9:$K9)</f>
        <v>Matvey</v>
      </c>
      <c r="L28" s="24" t="str">
        <f>P21</f>
        <v>Loss</v>
      </c>
      <c r="M28" s="24">
        <v>2.0</v>
      </c>
      <c r="N28" s="152">
        <f t="shared" si="4"/>
        <v>17</v>
      </c>
      <c r="O28" s="24">
        <v>8.0</v>
      </c>
      <c r="P28" s="24">
        <v>0.0</v>
      </c>
      <c r="Q28" s="24">
        <v>9.0</v>
      </c>
      <c r="R28" s="24">
        <v>0.0</v>
      </c>
      <c r="S28" s="24">
        <v>25.0</v>
      </c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VIshal</v>
      </c>
      <c r="B29" s="2" t="str">
        <f>F21</f>
        <v>Win</v>
      </c>
      <c r="C29" s="24">
        <v>3.0</v>
      </c>
      <c r="D29" s="2">
        <f t="shared" si="3"/>
        <v>13</v>
      </c>
      <c r="E29" s="24">
        <v>4.0</v>
      </c>
      <c r="F29" s="24">
        <v>3.0</v>
      </c>
      <c r="G29" s="24">
        <v>4.0</v>
      </c>
      <c r="H29" s="24">
        <v>2.0</v>
      </c>
      <c r="I29" s="24">
        <v>22.0</v>
      </c>
      <c r="J29" s="2"/>
      <c r="K29" s="2" t="str">
        <f t="array" ref="K29">xlookup($K$21, 'General Info'!$F$3:$K$3, 'General Info'!$F10:$K10)</f>
        <v>James</v>
      </c>
      <c r="L29" s="2" t="str">
        <f>P21</f>
        <v>Loss</v>
      </c>
      <c r="M29" s="2"/>
      <c r="N29" s="2" t="str">
        <f t="shared" si="4"/>
        <v/>
      </c>
      <c r="O29" s="24"/>
      <c r="P29" s="24"/>
      <c r="Q29" s="24"/>
      <c r="R29" s="24"/>
      <c r="S29" s="24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Sam</v>
      </c>
      <c r="B30" s="24" t="str">
        <f>F21</f>
        <v>Win</v>
      </c>
      <c r="C30" s="2"/>
      <c r="D30" s="152" t="str">
        <f t="shared" si="3"/>
        <v/>
      </c>
      <c r="E30" s="2"/>
      <c r="F30" s="2"/>
      <c r="G30" s="2"/>
      <c r="H30" s="2"/>
      <c r="I30" s="2"/>
      <c r="J30" s="2"/>
      <c r="K30" s="2" t="str">
        <f t="array" ref="K30">xlookup($K$21, 'General Info'!$F$3:$K$3, 'General Info'!$F11:$K11)</f>
        <v>Sebastian</v>
      </c>
      <c r="L30" s="24" t="str">
        <f>P21</f>
        <v>Loss</v>
      </c>
      <c r="M30" s="24">
        <v>3.0</v>
      </c>
      <c r="N30" s="152">
        <f t="shared" si="4"/>
        <v>25</v>
      </c>
      <c r="O30" s="24">
        <v>9.0</v>
      </c>
      <c r="P30" s="24">
        <v>3.0</v>
      </c>
      <c r="Q30" s="24">
        <v>13.0</v>
      </c>
      <c r="R30" s="24">
        <v>0.0</v>
      </c>
      <c r="S30" s="24">
        <v>20.0</v>
      </c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Charlie</v>
      </c>
      <c r="B31" s="2" t="str">
        <f>F21</f>
        <v>Win</v>
      </c>
      <c r="C31" s="2"/>
      <c r="D31" s="152" t="str">
        <f t="shared" si="3"/>
        <v/>
      </c>
      <c r="E31" s="2"/>
      <c r="F31" s="2"/>
      <c r="G31" s="2"/>
      <c r="H31" s="2"/>
      <c r="I31" s="2"/>
      <c r="J31" s="2"/>
      <c r="K31" s="2" t="str">
        <f t="array" ref="K31">xlookup($K$21, 'General Info'!$F$3:$K$3, 'General Info'!$F12:$K12)</f>
        <v>Erik</v>
      </c>
      <c r="L31" s="2" t="str">
        <f>P21</f>
        <v>Loss</v>
      </c>
      <c r="M31" s="2"/>
      <c r="N31" s="15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>Daniel</v>
      </c>
      <c r="B32" s="2" t="str">
        <f>F21</f>
        <v>Win</v>
      </c>
      <c r="C32" s="24">
        <v>4.0</v>
      </c>
      <c r="D32" s="152">
        <f t="shared" si="3"/>
        <v>13</v>
      </c>
      <c r="E32" s="24">
        <v>2.0</v>
      </c>
      <c r="F32" s="24">
        <v>0.0</v>
      </c>
      <c r="G32" s="24">
        <v>11.0</v>
      </c>
      <c r="H32" s="24">
        <v>0.0</v>
      </c>
      <c r="I32" s="24">
        <v>26.0</v>
      </c>
      <c r="J32" s="2"/>
      <c r="K32" s="2" t="str">
        <f t="array" ref="K32">xlookup($K$21, 'General Info'!$F$3:$K$3, 'General Info'!$F13:$K13)</f>
        <v>Jack</v>
      </c>
      <c r="L32" s="2" t="str">
        <f>P21</f>
        <v>Loss</v>
      </c>
      <c r="M32" s="2"/>
      <c r="N32" s="15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4" t="s">
        <v>97</v>
      </c>
      <c r="B33" s="2" t="str">
        <f>F21</f>
        <v>Win</v>
      </c>
      <c r="C33" s="24">
        <v>1.0</v>
      </c>
      <c r="D33" s="2">
        <f t="shared" si="3"/>
        <v>20</v>
      </c>
      <c r="E33" s="24">
        <v>2.0</v>
      </c>
      <c r="F33" s="24">
        <v>0.0</v>
      </c>
      <c r="G33" s="24">
        <v>17.0</v>
      </c>
      <c r="H33" s="24">
        <v>1.0</v>
      </c>
      <c r="I33" s="24">
        <v>23.0</v>
      </c>
      <c r="J33" s="2"/>
      <c r="K33" s="2" t="str">
        <f t="array" ref="K33">xlookup($K$21, 'General Info'!$F$3:$K$3, 'General Info'!$F14:$K14)</f>
        <v/>
      </c>
      <c r="L33" s="2" t="str">
        <f>P21</f>
        <v>Loss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Win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Loss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Win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Loss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Win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Loss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Win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Loss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27">
        <v>1.0</v>
      </c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27">
        <v>-1.0</v>
      </c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100</v>
      </c>
      <c r="E39" s="2"/>
      <c r="F39" s="2"/>
      <c r="G39" s="2"/>
      <c r="H39" s="2"/>
      <c r="I39" s="174">
        <f>sum(D23:D37)/(sum(D23:D37)+sum(I23:I37))</f>
        <v>0.4090909091</v>
      </c>
      <c r="J39" s="2"/>
      <c r="K39" s="171" t="s">
        <v>152</v>
      </c>
      <c r="L39" s="172"/>
      <c r="M39" s="172"/>
      <c r="N39" s="173">
        <f>sum(N23:N38)</f>
        <v>94</v>
      </c>
      <c r="O39" s="2"/>
      <c r="P39" s="2"/>
      <c r="Q39" s="2"/>
      <c r="R39" s="2"/>
      <c r="S39" s="174">
        <f>sum(N23:N37)/(sum(N23:N37)+sum(S23:S37))</f>
        <v>0.4042553191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Schedule'!K5</f>
        <v>Team F</v>
      </c>
      <c r="B41" s="2"/>
      <c r="C41" s="2"/>
      <c r="D41" s="2"/>
      <c r="E41" s="2" t="s">
        <v>145</v>
      </c>
      <c r="F41" s="166" t="str">
        <f>if(D59&gt;N59, "Win", if(D59&lt;N59, "Loss", ""))</f>
        <v>Win</v>
      </c>
      <c r="G41" s="2"/>
      <c r="H41" s="17" t="s">
        <v>146</v>
      </c>
      <c r="I41" s="152">
        <f>D59-N59</f>
        <v>2</v>
      </c>
      <c r="J41" s="167" t="s">
        <v>184</v>
      </c>
      <c r="K41" s="165" t="str">
        <f>'Full Schedule'!L5</f>
        <v>Team E</v>
      </c>
      <c r="L41" s="2"/>
      <c r="M41" s="2"/>
      <c r="N41" s="2"/>
      <c r="O41" s="17" t="s">
        <v>145</v>
      </c>
      <c r="P41" s="166" t="str">
        <f>if(N59&gt;D59, "Win", if(N59&lt;D59, "Loss", ""))</f>
        <v>Loss</v>
      </c>
      <c r="Q41" s="2"/>
      <c r="R41" s="17" t="s">
        <v>146</v>
      </c>
      <c r="S41" s="152">
        <f>N59-D59</f>
        <v>-2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Jay</v>
      </c>
      <c r="B43" s="24" t="str">
        <f>F41</f>
        <v>Win</v>
      </c>
      <c r="C43" s="24"/>
      <c r="D43" s="152">
        <f t="shared" ref="D43:D57" si="5">if(I43&gt;0, sum(E43:H43), "")</f>
        <v>20</v>
      </c>
      <c r="E43" s="24">
        <v>11.0</v>
      </c>
      <c r="F43" s="24">
        <v>2.0</v>
      </c>
      <c r="G43" s="24">
        <v>7.0</v>
      </c>
      <c r="H43" s="24">
        <v>0.0</v>
      </c>
      <c r="I43" s="24">
        <v>24.0</v>
      </c>
      <c r="J43" s="2"/>
      <c r="K43" s="2" t="str">
        <f t="array" ref="K43">xlookup($K$41, 'General Info'!$F$3:$K$3, 'General Info'!$F4:$K4)</f>
        <v>Guel</v>
      </c>
      <c r="L43" s="24" t="str">
        <f>P41</f>
        <v>Loss</v>
      </c>
      <c r="M43" s="24"/>
      <c r="N43" s="152">
        <f t="shared" ref="N43:N57" si="6">if(S43&gt;0, sum(O43:R43), "")</f>
        <v>23</v>
      </c>
      <c r="O43" s="24">
        <v>6.0</v>
      </c>
      <c r="P43" s="24">
        <v>2.0</v>
      </c>
      <c r="Q43" s="24">
        <v>13.0</v>
      </c>
      <c r="R43" s="24">
        <v>2.0</v>
      </c>
      <c r="S43" s="24">
        <v>25.0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Schmid</v>
      </c>
      <c r="B44" s="24" t="str">
        <f>F41</f>
        <v>Win</v>
      </c>
      <c r="C44" s="24"/>
      <c r="D44" s="152" t="str">
        <f t="shared" si="5"/>
        <v/>
      </c>
      <c r="E44" s="24"/>
      <c r="F44" s="24"/>
      <c r="G44" s="24"/>
      <c r="H44" s="24"/>
      <c r="I44" s="24"/>
      <c r="J44" s="2"/>
      <c r="K44" s="2" t="str">
        <f t="array" ref="K44">xlookup($K$41, 'General Info'!$F$3:$K$3, 'General Info'!$F5:$K5)</f>
        <v>Pasha</v>
      </c>
      <c r="L44" s="24" t="str">
        <f>P41</f>
        <v>Loss</v>
      </c>
      <c r="M44" s="24"/>
      <c r="N44" s="152">
        <f t="shared" si="6"/>
        <v>19</v>
      </c>
      <c r="O44" s="24">
        <v>12.0</v>
      </c>
      <c r="P44" s="24">
        <v>1.0</v>
      </c>
      <c r="Q44" s="24">
        <v>6.0</v>
      </c>
      <c r="R44" s="24">
        <v>0.0</v>
      </c>
      <c r="S44" s="24">
        <v>25.0</v>
      </c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DC</v>
      </c>
      <c r="B45" s="2" t="str">
        <f>F41</f>
        <v>Win</v>
      </c>
      <c r="C45" s="24"/>
      <c r="D45" s="152">
        <f t="shared" si="5"/>
        <v>29</v>
      </c>
      <c r="E45" s="24">
        <v>10.0</v>
      </c>
      <c r="F45" s="24">
        <v>3.0</v>
      </c>
      <c r="G45" s="24">
        <v>13.0</v>
      </c>
      <c r="H45" s="24">
        <v>3.0</v>
      </c>
      <c r="I45" s="24">
        <v>20.0</v>
      </c>
      <c r="J45" s="2"/>
      <c r="K45" s="2" t="str">
        <f t="array" ref="K45">xlookup($K$41, 'General Info'!$F$3:$K$3, 'General Info'!$F6:$K6)</f>
        <v>Yost</v>
      </c>
      <c r="L45" s="2" t="str">
        <f>P41</f>
        <v>Loss</v>
      </c>
      <c r="M45" s="2"/>
      <c r="N45" s="152">
        <f t="shared" si="6"/>
        <v>16</v>
      </c>
      <c r="O45" s="24">
        <v>7.0</v>
      </c>
      <c r="P45" s="24">
        <v>2.0</v>
      </c>
      <c r="Q45" s="24">
        <v>4.0</v>
      </c>
      <c r="R45" s="24">
        <v>3.0</v>
      </c>
      <c r="S45" s="24">
        <v>25.0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Steven</v>
      </c>
      <c r="B46" s="24" t="str">
        <f>F41</f>
        <v>Win</v>
      </c>
      <c r="C46" s="24"/>
      <c r="D46" s="152">
        <f t="shared" si="5"/>
        <v>10</v>
      </c>
      <c r="E46" s="24">
        <v>1.0</v>
      </c>
      <c r="F46" s="24">
        <v>0.0</v>
      </c>
      <c r="G46" s="24">
        <v>8.0</v>
      </c>
      <c r="H46" s="24">
        <v>1.0</v>
      </c>
      <c r="I46" s="24">
        <v>28.0</v>
      </c>
      <c r="J46" s="2"/>
      <c r="K46" s="2" t="str">
        <f t="array" ref="K46">xlookup($K$41, 'General Info'!$F$3:$K$3, 'General Info'!$F7:$K7)</f>
        <v>Sean</v>
      </c>
      <c r="L46" s="24" t="str">
        <f>P41</f>
        <v>Loss</v>
      </c>
      <c r="M46" s="24"/>
      <c r="N46" s="152">
        <f t="shared" si="6"/>
        <v>12</v>
      </c>
      <c r="O46" s="24">
        <v>7.0</v>
      </c>
      <c r="P46" s="24">
        <v>1.0</v>
      </c>
      <c r="Q46" s="24">
        <v>3.0</v>
      </c>
      <c r="R46" s="24">
        <v>1.0</v>
      </c>
      <c r="S46" s="24">
        <v>27.0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Dave</v>
      </c>
      <c r="B47" s="24" t="str">
        <f>F41</f>
        <v>Win</v>
      </c>
      <c r="C47" s="24"/>
      <c r="D47" s="152">
        <f t="shared" si="5"/>
        <v>15</v>
      </c>
      <c r="E47" s="24">
        <v>9.0</v>
      </c>
      <c r="F47" s="24">
        <v>1.0</v>
      </c>
      <c r="G47" s="24">
        <v>4.0</v>
      </c>
      <c r="H47" s="24">
        <v>1.0</v>
      </c>
      <c r="I47" s="24">
        <v>25.0</v>
      </c>
      <c r="J47" s="2"/>
      <c r="K47" s="2"/>
      <c r="L47" s="24" t="str">
        <f>P41</f>
        <v>Loss</v>
      </c>
      <c r="M47" s="2"/>
      <c r="N47" s="152" t="str">
        <f t="shared" si="6"/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Lulu</v>
      </c>
      <c r="B48" s="24" t="str">
        <f>F41</f>
        <v>Win</v>
      </c>
      <c r="C48" s="24"/>
      <c r="D48" s="2" t="str">
        <f t="shared" si="5"/>
        <v/>
      </c>
      <c r="E48" s="24"/>
      <c r="F48" s="24"/>
      <c r="G48" s="24"/>
      <c r="H48" s="24"/>
      <c r="I48" s="24"/>
      <c r="J48" s="2"/>
      <c r="K48" s="2" t="str">
        <f t="array" ref="K48">xlookup($K$41, 'General Info'!$F$3:$K$3, 'General Info'!$F9:$K9)</f>
        <v>Soho</v>
      </c>
      <c r="L48" s="24" t="str">
        <f>P41</f>
        <v>Loss</v>
      </c>
      <c r="M48" s="24"/>
      <c r="N48" s="2">
        <f t="shared" si="6"/>
        <v>16</v>
      </c>
      <c r="O48" s="24">
        <v>3.0</v>
      </c>
      <c r="P48" s="24">
        <v>0.0</v>
      </c>
      <c r="Q48" s="24">
        <v>12.0</v>
      </c>
      <c r="R48" s="24">
        <v>1.0</v>
      </c>
      <c r="S48" s="24">
        <v>26.0</v>
      </c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Will</v>
      </c>
      <c r="B49" s="2" t="str">
        <f>F41</f>
        <v>Win</v>
      </c>
      <c r="C49" s="2"/>
      <c r="D49" s="2">
        <f t="shared" si="5"/>
        <v>10</v>
      </c>
      <c r="E49" s="24">
        <v>3.0</v>
      </c>
      <c r="F49" s="24">
        <v>0.0</v>
      </c>
      <c r="G49" s="24">
        <v>7.0</v>
      </c>
      <c r="H49" s="24">
        <v>0.0</v>
      </c>
      <c r="I49" s="24">
        <v>28.0</v>
      </c>
      <c r="J49" s="2"/>
      <c r="K49" s="2" t="str">
        <f t="array" ref="K49">xlookup($K$41, 'General Info'!$F$3:$K$3, 'General Info'!$F10:$K10)</f>
        <v>Haldar</v>
      </c>
      <c r="L49" s="2" t="str">
        <f>P41</f>
        <v>Loss</v>
      </c>
      <c r="M49" s="24"/>
      <c r="N49" s="2" t="str">
        <f t="shared" si="6"/>
        <v/>
      </c>
      <c r="O49" s="24"/>
      <c r="P49" s="24"/>
      <c r="Q49" s="24"/>
      <c r="R49" s="24"/>
      <c r="S49" s="24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Hershey</v>
      </c>
      <c r="B50" s="24" t="str">
        <f>F41</f>
        <v>Win</v>
      </c>
      <c r="C50" s="2"/>
      <c r="D50" s="152" t="str">
        <f t="shared" si="5"/>
        <v/>
      </c>
      <c r="E50" s="2"/>
      <c r="F50" s="2"/>
      <c r="G50" s="2"/>
      <c r="H50" s="2"/>
      <c r="I50" s="2"/>
      <c r="J50" s="2"/>
      <c r="K50" s="2" t="str">
        <f t="array" ref="K50">xlookup($K$41, 'General Info'!$F$3:$K$3, 'General Info'!$F11:$K11)</f>
        <v>Dji</v>
      </c>
      <c r="L50" s="24" t="str">
        <f>P41</f>
        <v>Loss</v>
      </c>
      <c r="M50" s="24"/>
      <c r="N50" s="152">
        <f t="shared" si="6"/>
        <v>9</v>
      </c>
      <c r="O50" s="24">
        <v>4.0</v>
      </c>
      <c r="P50" s="24">
        <v>0.0</v>
      </c>
      <c r="Q50" s="24">
        <v>5.0</v>
      </c>
      <c r="R50" s="24">
        <v>0.0</v>
      </c>
      <c r="S50" s="24">
        <v>28.0</v>
      </c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Byun</v>
      </c>
      <c r="B51" s="2" t="str">
        <f>F41</f>
        <v>Win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Lubke</v>
      </c>
      <c r="L51" s="2" t="str">
        <f>P41</f>
        <v>Loss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Ted</v>
      </c>
      <c r="B52" s="2" t="str">
        <f>F41</f>
        <v>Win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David (pledge)</v>
      </c>
      <c r="L52" s="2" t="str">
        <f>P41</f>
        <v>Loss</v>
      </c>
      <c r="M52" s="2"/>
      <c r="N52" s="2" t="str">
        <f t="shared" si="6"/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>Gio</v>
      </c>
      <c r="B53" s="2" t="str">
        <f>F41</f>
        <v>Win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>Will</v>
      </c>
      <c r="L53" s="2" t="str">
        <f>P41</f>
        <v>Loss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Win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Loss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Win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Loss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Win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Loss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Win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Loss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27">
        <v>16.0</v>
      </c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27">
        <v>3.0</v>
      </c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100</v>
      </c>
      <c r="E59" s="2"/>
      <c r="F59" s="2"/>
      <c r="G59" s="2"/>
      <c r="H59" s="2"/>
      <c r="I59" s="174">
        <f>sum(D43:D57)/(sum(D43:D57)+sum(I43:I57))</f>
        <v>0.4019138756</v>
      </c>
      <c r="J59" s="2"/>
      <c r="K59" s="171" t="s">
        <v>152</v>
      </c>
      <c r="L59" s="172"/>
      <c r="M59" s="172"/>
      <c r="N59" s="173">
        <f>sum(N43:N58)</f>
        <v>98</v>
      </c>
      <c r="O59" s="2"/>
      <c r="P59" s="2"/>
      <c r="Q59" s="2"/>
      <c r="R59" s="2"/>
      <c r="S59" s="174">
        <f>sum(N43:N57)/(sum(N43:N57)+sum(S43:S57))</f>
        <v>0.3784860558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idden="1">
      <c r="A61" s="176" t="str">
        <f t="shared" ref="A61:A129" si="9">K1</f>
        <v>Candice?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Loss</v>
      </c>
      <c r="G61" s="2" t="str">
        <f t="shared" si="7"/>
        <v/>
      </c>
      <c r="H61" s="176" t="str">
        <f t="shared" si="7"/>
        <v>Margin</v>
      </c>
      <c r="I61" s="129">
        <f t="shared" si="7"/>
        <v>-1</v>
      </c>
      <c r="J61" s="2" t="str">
        <f t="shared" si="7"/>
        <v/>
      </c>
      <c r="K61" s="2" t="str">
        <f t="shared" si="7"/>
        <v/>
      </c>
      <c r="L61" s="2"/>
      <c r="M61" s="2" t="str">
        <f t="shared" ref="M61:M129" si="11">V1</f>
        <v/>
      </c>
      <c r="N61" s="2" t="str">
        <f t="shared" ref="N61:N129" si="12">X1</f>
        <v/>
      </c>
      <c r="O61" s="2" t="str">
        <f t="shared" ref="O61:T61" si="8">X1</f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 hidden="1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176"/>
      <c r="M62" s="2" t="str">
        <f t="shared" si="11"/>
        <v/>
      </c>
      <c r="N62" s="176" t="str">
        <f t="shared" si="12"/>
        <v/>
      </c>
      <c r="O62" s="2" t="str">
        <f t="shared" ref="O62:S62" si="13">X2</f>
        <v/>
      </c>
      <c r="P62" s="2" t="str">
        <f t="shared" si="13"/>
        <v/>
      </c>
      <c r="Q62" s="2" t="str">
        <f t="shared" si="13"/>
        <v/>
      </c>
      <c r="R62" s="2" t="str">
        <f t="shared" si="13"/>
        <v/>
      </c>
      <c r="S62" s="2" t="str">
        <f t="shared" si="13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hidden="1">
      <c r="A63" s="176" t="str">
        <f t="shared" si="9"/>
        <v>John</v>
      </c>
      <c r="B63" s="178" t="str">
        <f t="shared" ref="B63:K63" si="14">L3</f>
        <v>Loss</v>
      </c>
      <c r="C63" s="2" t="str">
        <f t="shared" si="14"/>
        <v/>
      </c>
      <c r="D63" s="152">
        <f t="shared" si="14"/>
        <v>27</v>
      </c>
      <c r="E63" s="2">
        <f t="shared" si="14"/>
        <v>10</v>
      </c>
      <c r="F63" s="2">
        <f t="shared" si="14"/>
        <v>4</v>
      </c>
      <c r="G63" s="2">
        <f t="shared" si="14"/>
        <v>9</v>
      </c>
      <c r="H63" s="2">
        <f t="shared" si="14"/>
        <v>4</v>
      </c>
      <c r="I63" s="2">
        <f t="shared" si="14"/>
        <v>20</v>
      </c>
      <c r="J63" s="2" t="str">
        <f t="shared" si="14"/>
        <v/>
      </c>
      <c r="K63" s="2" t="str">
        <f t="shared" si="14"/>
        <v/>
      </c>
      <c r="L63" s="2"/>
      <c r="M63" s="2" t="str">
        <f t="shared" si="11"/>
        <v/>
      </c>
      <c r="N63" s="152" t="str">
        <f t="shared" si="12"/>
        <v/>
      </c>
      <c r="O63" s="2" t="str">
        <f t="shared" ref="O63:S63" si="15">X3</f>
        <v/>
      </c>
      <c r="P63" s="2" t="str">
        <f t="shared" si="15"/>
        <v/>
      </c>
      <c r="Q63" s="2" t="str">
        <f t="shared" si="15"/>
        <v/>
      </c>
      <c r="R63" s="2" t="str">
        <f t="shared" si="15"/>
        <v/>
      </c>
      <c r="S63" s="2" t="str">
        <f t="shared" si="15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hidden="1">
      <c r="A64" s="2" t="str">
        <f t="shared" si="9"/>
        <v>Cole</v>
      </c>
      <c r="B64" s="178" t="str">
        <f t="shared" ref="B64:K64" si="16">L4</f>
        <v>Loss</v>
      </c>
      <c r="C64" s="2" t="str">
        <f t="shared" si="16"/>
        <v/>
      </c>
      <c r="D64" s="152">
        <f t="shared" si="16"/>
        <v>22</v>
      </c>
      <c r="E64" s="2">
        <f t="shared" si="16"/>
        <v>12</v>
      </c>
      <c r="F64" s="2">
        <f t="shared" si="16"/>
        <v>2</v>
      </c>
      <c r="G64" s="2">
        <f t="shared" si="16"/>
        <v>8</v>
      </c>
      <c r="H64" s="2">
        <f t="shared" si="16"/>
        <v>0</v>
      </c>
      <c r="I64" s="2">
        <f t="shared" si="16"/>
        <v>20</v>
      </c>
      <c r="J64" s="2" t="str">
        <f t="shared" si="16"/>
        <v/>
      </c>
      <c r="K64" s="2" t="str">
        <f t="shared" si="16"/>
        <v/>
      </c>
      <c r="L64" s="2" t="str">
        <f t="shared" ref="L64:L175" si="19">W4</f>
        <v/>
      </c>
      <c r="M64" s="2" t="str">
        <f t="shared" si="11"/>
        <v/>
      </c>
      <c r="N64" s="152" t="str">
        <f t="shared" si="12"/>
        <v/>
      </c>
      <c r="O64" s="2" t="str">
        <f t="shared" ref="O64:S64" si="17">X4</f>
        <v/>
      </c>
      <c r="P64" s="2" t="str">
        <f t="shared" si="17"/>
        <v/>
      </c>
      <c r="Q64" s="2" t="str">
        <f t="shared" si="17"/>
        <v/>
      </c>
      <c r="R64" s="2" t="str">
        <f t="shared" si="17"/>
        <v/>
      </c>
      <c r="S64" s="2" t="str">
        <f t="shared" si="17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hidden="1">
      <c r="A65" s="176" t="str">
        <f t="shared" si="9"/>
        <v>Dannegger</v>
      </c>
      <c r="B65" s="178" t="str">
        <f t="shared" ref="B65:K65" si="18">L5</f>
        <v>Loss</v>
      </c>
      <c r="C65" s="2" t="str">
        <f t="shared" si="18"/>
        <v/>
      </c>
      <c r="D65" s="152">
        <f t="shared" si="18"/>
        <v>16</v>
      </c>
      <c r="E65" s="2">
        <f t="shared" si="18"/>
        <v>7</v>
      </c>
      <c r="F65" s="2">
        <f t="shared" si="18"/>
        <v>0</v>
      </c>
      <c r="G65" s="2">
        <f t="shared" si="18"/>
        <v>8</v>
      </c>
      <c r="H65" s="2">
        <f t="shared" si="18"/>
        <v>1</v>
      </c>
      <c r="I65" s="2">
        <f t="shared" si="18"/>
        <v>22</v>
      </c>
      <c r="J65" s="2" t="str">
        <f t="shared" si="18"/>
        <v/>
      </c>
      <c r="K65" s="2" t="str">
        <f t="shared" si="18"/>
        <v/>
      </c>
      <c r="L65" s="2" t="str">
        <f t="shared" si="19"/>
        <v/>
      </c>
      <c r="M65" s="2" t="str">
        <f t="shared" si="11"/>
        <v/>
      </c>
      <c r="N65" s="152" t="str">
        <f t="shared" si="12"/>
        <v/>
      </c>
      <c r="O65" s="2" t="str">
        <f t="shared" ref="O65:S65" si="20">X5</f>
        <v/>
      </c>
      <c r="P65" s="2" t="str">
        <f t="shared" si="20"/>
        <v/>
      </c>
      <c r="Q65" s="2" t="str">
        <f t="shared" si="20"/>
        <v/>
      </c>
      <c r="R65" s="2" t="str">
        <f t="shared" si="20"/>
        <v/>
      </c>
      <c r="S65" s="2" t="str">
        <f t="shared" si="20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hidden="1">
      <c r="A66" s="2" t="str">
        <f t="shared" si="9"/>
        <v>KZ</v>
      </c>
      <c r="B66" s="178" t="str">
        <f t="shared" ref="B66:K66" si="21">L6</f>
        <v>Loss</v>
      </c>
      <c r="C66" s="2" t="str">
        <f t="shared" si="21"/>
        <v/>
      </c>
      <c r="D66" s="152" t="str">
        <f t="shared" si="21"/>
        <v/>
      </c>
      <c r="E66" s="2" t="str">
        <f t="shared" si="21"/>
        <v/>
      </c>
      <c r="F66" s="2" t="str">
        <f t="shared" si="21"/>
        <v/>
      </c>
      <c r="G66" s="2" t="str">
        <f t="shared" si="21"/>
        <v/>
      </c>
      <c r="H66" s="2" t="str">
        <f t="shared" si="21"/>
        <v/>
      </c>
      <c r="I66" s="2" t="str">
        <f t="shared" si="21"/>
        <v/>
      </c>
      <c r="J66" s="2" t="str">
        <f t="shared" si="21"/>
        <v/>
      </c>
      <c r="K66" s="2" t="str">
        <f t="shared" si="21"/>
        <v/>
      </c>
      <c r="L66" s="2" t="str">
        <f t="shared" si="19"/>
        <v/>
      </c>
      <c r="M66" s="2" t="str">
        <f t="shared" si="11"/>
        <v/>
      </c>
      <c r="N66" s="152" t="str">
        <f t="shared" si="12"/>
        <v/>
      </c>
      <c r="O66" s="2" t="str">
        <f t="shared" ref="O66:S66" si="22">X6</f>
        <v/>
      </c>
      <c r="P66" s="2" t="str">
        <f t="shared" si="22"/>
        <v/>
      </c>
      <c r="Q66" s="2" t="str">
        <f t="shared" si="22"/>
        <v/>
      </c>
      <c r="R66" s="2" t="str">
        <f t="shared" si="22"/>
        <v/>
      </c>
      <c r="S66" s="2" t="str">
        <f t="shared" si="22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hidden="1">
      <c r="A67" s="2" t="str">
        <f t="shared" si="9"/>
        <v>Adi</v>
      </c>
      <c r="B67" s="178" t="str">
        <f t="shared" ref="B67:K67" si="23">L7</f>
        <v>Loss</v>
      </c>
      <c r="C67" s="2" t="str">
        <f t="shared" si="23"/>
        <v/>
      </c>
      <c r="D67" s="152" t="str">
        <f t="shared" si="23"/>
        <v/>
      </c>
      <c r="E67" s="2" t="str">
        <f t="shared" si="23"/>
        <v/>
      </c>
      <c r="F67" s="2" t="str">
        <f t="shared" si="23"/>
        <v/>
      </c>
      <c r="G67" s="2" t="str">
        <f t="shared" si="23"/>
        <v/>
      </c>
      <c r="H67" s="2" t="str">
        <f t="shared" si="23"/>
        <v/>
      </c>
      <c r="I67" s="2" t="str">
        <f t="shared" si="23"/>
        <v/>
      </c>
      <c r="J67" s="2" t="str">
        <f t="shared" si="23"/>
        <v/>
      </c>
      <c r="K67" s="2" t="str">
        <f t="shared" si="23"/>
        <v/>
      </c>
      <c r="L67" s="2" t="str">
        <f t="shared" si="19"/>
        <v/>
      </c>
      <c r="M67" s="2" t="str">
        <f t="shared" si="11"/>
        <v/>
      </c>
      <c r="N67" s="152" t="str">
        <f t="shared" si="12"/>
        <v/>
      </c>
      <c r="O67" s="2" t="str">
        <f t="shared" ref="O67:S67" si="24">X7</f>
        <v/>
      </c>
      <c r="P67" s="2" t="str">
        <f t="shared" si="24"/>
        <v/>
      </c>
      <c r="Q67" s="2" t="str">
        <f t="shared" si="24"/>
        <v/>
      </c>
      <c r="R67" s="2" t="str">
        <f t="shared" si="24"/>
        <v/>
      </c>
      <c r="S67" s="2" t="str">
        <f t="shared" si="2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hidden="1">
      <c r="A68" s="2" t="str">
        <f t="shared" si="9"/>
        <v>Gavin</v>
      </c>
      <c r="B68" s="178" t="str">
        <f t="shared" ref="B68:K68" si="25">L8</f>
        <v>Loss</v>
      </c>
      <c r="C68" s="2" t="str">
        <f t="shared" si="25"/>
        <v/>
      </c>
      <c r="D68" s="152" t="str">
        <f t="shared" si="25"/>
        <v/>
      </c>
      <c r="E68" s="2" t="str">
        <f t="shared" si="25"/>
        <v/>
      </c>
      <c r="F68" s="2" t="str">
        <f t="shared" si="25"/>
        <v/>
      </c>
      <c r="G68" s="2" t="str">
        <f t="shared" si="25"/>
        <v/>
      </c>
      <c r="H68" s="2" t="str">
        <f t="shared" si="25"/>
        <v/>
      </c>
      <c r="I68" s="2" t="str">
        <f t="shared" si="25"/>
        <v/>
      </c>
      <c r="J68" s="2" t="str">
        <f t="shared" si="25"/>
        <v/>
      </c>
      <c r="K68" s="2" t="str">
        <f t="shared" si="25"/>
        <v/>
      </c>
      <c r="L68" s="2" t="str">
        <f t="shared" si="19"/>
        <v/>
      </c>
      <c r="M68" s="2" t="str">
        <f t="shared" si="11"/>
        <v/>
      </c>
      <c r="N68" s="152" t="str">
        <f t="shared" si="12"/>
        <v/>
      </c>
      <c r="O68" s="2" t="str">
        <f t="shared" ref="O68:S68" si="26">X8</f>
        <v/>
      </c>
      <c r="P68" s="2" t="str">
        <f t="shared" si="26"/>
        <v/>
      </c>
      <c r="Q68" s="2" t="str">
        <f t="shared" si="26"/>
        <v/>
      </c>
      <c r="R68" s="2" t="str">
        <f t="shared" si="26"/>
        <v/>
      </c>
      <c r="S68" s="2" t="str">
        <f t="shared" si="26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hidden="1">
      <c r="A69" s="2" t="str">
        <f t="shared" si="9"/>
        <v>David</v>
      </c>
      <c r="B69" s="178" t="str">
        <f t="shared" ref="B69:K69" si="27">L9</f>
        <v>Loss</v>
      </c>
      <c r="C69" s="2" t="str">
        <f t="shared" si="27"/>
        <v/>
      </c>
      <c r="D69" s="152">
        <f t="shared" si="27"/>
        <v>12</v>
      </c>
      <c r="E69" s="2">
        <f t="shared" si="27"/>
        <v>7</v>
      </c>
      <c r="F69" s="2">
        <f t="shared" si="27"/>
        <v>0</v>
      </c>
      <c r="G69" s="2">
        <f t="shared" si="27"/>
        <v>5</v>
      </c>
      <c r="H69" s="2">
        <f t="shared" si="27"/>
        <v>0</v>
      </c>
      <c r="I69" s="2">
        <f t="shared" si="27"/>
        <v>22</v>
      </c>
      <c r="J69" s="2" t="str">
        <f t="shared" si="27"/>
        <v/>
      </c>
      <c r="K69" s="2" t="str">
        <f t="shared" si="27"/>
        <v/>
      </c>
      <c r="L69" s="2" t="str">
        <f t="shared" si="19"/>
        <v/>
      </c>
      <c r="M69" s="2" t="str">
        <f t="shared" si="11"/>
        <v/>
      </c>
      <c r="N69" s="152" t="str">
        <f t="shared" si="12"/>
        <v/>
      </c>
      <c r="O69" s="2" t="str">
        <f t="shared" ref="O69:S69" si="28">X9</f>
        <v/>
      </c>
      <c r="P69" s="2" t="str">
        <f t="shared" si="28"/>
        <v/>
      </c>
      <c r="Q69" s="2" t="str">
        <f t="shared" si="28"/>
        <v/>
      </c>
      <c r="R69" s="2" t="str">
        <f t="shared" si="28"/>
        <v/>
      </c>
      <c r="S69" s="2" t="str">
        <f t="shared" si="28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hidden="1">
      <c r="A70" s="2" t="str">
        <f t="shared" si="9"/>
        <v>Kento</v>
      </c>
      <c r="B70" s="178" t="str">
        <f t="shared" ref="B70:K70" si="29">L10</f>
        <v>Loss</v>
      </c>
      <c r="C70" s="2" t="str">
        <f t="shared" si="29"/>
        <v/>
      </c>
      <c r="D70" s="2">
        <f t="shared" si="29"/>
        <v>11</v>
      </c>
      <c r="E70" s="2">
        <f t="shared" si="29"/>
        <v>2</v>
      </c>
      <c r="F70" s="2">
        <f t="shared" si="29"/>
        <v>0</v>
      </c>
      <c r="G70" s="2">
        <f t="shared" si="29"/>
        <v>8</v>
      </c>
      <c r="H70" s="2">
        <f t="shared" si="29"/>
        <v>1</v>
      </c>
      <c r="I70" s="2">
        <f t="shared" si="29"/>
        <v>23</v>
      </c>
      <c r="J70" s="2" t="str">
        <f t="shared" si="29"/>
        <v/>
      </c>
      <c r="K70" s="2" t="str">
        <f t="shared" si="29"/>
        <v/>
      </c>
      <c r="L70" s="2" t="str">
        <f t="shared" si="19"/>
        <v/>
      </c>
      <c r="M70" s="2" t="str">
        <f t="shared" si="11"/>
        <v/>
      </c>
      <c r="N70" s="2" t="str">
        <f t="shared" si="12"/>
        <v/>
      </c>
      <c r="O70" s="2" t="str">
        <f t="shared" ref="O70:S70" si="30">X10</f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2" t="str">
        <f t="shared" si="30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hidden="1">
      <c r="A71" s="2" t="str">
        <f t="shared" si="9"/>
        <v>Jacob</v>
      </c>
      <c r="B71" s="178" t="str">
        <f t="shared" ref="B71:K71" si="31">L11</f>
        <v>Loss</v>
      </c>
      <c r="C71" s="2" t="str">
        <f t="shared" si="31"/>
        <v/>
      </c>
      <c r="D71" s="2">
        <f t="shared" si="31"/>
        <v>9</v>
      </c>
      <c r="E71" s="2">
        <f t="shared" si="31"/>
        <v>2</v>
      </c>
      <c r="F71" s="2">
        <f t="shared" si="31"/>
        <v>0</v>
      </c>
      <c r="G71" s="2">
        <f t="shared" si="31"/>
        <v>7</v>
      </c>
      <c r="H71" s="2">
        <f t="shared" si="31"/>
        <v>0</v>
      </c>
      <c r="I71" s="2">
        <f t="shared" si="31"/>
        <v>22</v>
      </c>
      <c r="J71" s="2" t="str">
        <f t="shared" si="31"/>
        <v/>
      </c>
      <c r="K71" s="2" t="str">
        <f t="shared" si="31"/>
        <v/>
      </c>
      <c r="L71" s="2" t="str">
        <f t="shared" si="19"/>
        <v/>
      </c>
      <c r="M71" s="2" t="str">
        <f t="shared" si="11"/>
        <v/>
      </c>
      <c r="N71" s="2" t="str">
        <f t="shared" si="12"/>
        <v/>
      </c>
      <c r="O71" s="2" t="str">
        <f t="shared" ref="O71:S71" si="32">X11</f>
        <v/>
      </c>
      <c r="P71" s="2" t="str">
        <f t="shared" si="32"/>
        <v/>
      </c>
      <c r="Q71" s="2" t="str">
        <f t="shared" si="32"/>
        <v/>
      </c>
      <c r="R71" s="2" t="str">
        <f t="shared" si="32"/>
        <v/>
      </c>
      <c r="S71" s="2" t="str">
        <f t="shared" si="32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hidden="1">
      <c r="A72" s="176" t="str">
        <f t="shared" si="9"/>
        <v/>
      </c>
      <c r="B72" s="178" t="str">
        <f t="shared" ref="B72:K72" si="33">L12</f>
        <v>Loss</v>
      </c>
      <c r="C72" s="2" t="str">
        <f t="shared" si="33"/>
        <v/>
      </c>
      <c r="D72" s="2" t="str">
        <f t="shared" si="33"/>
        <v/>
      </c>
      <c r="E72" s="2" t="str">
        <f t="shared" si="33"/>
        <v/>
      </c>
      <c r="F72" s="2" t="str">
        <f t="shared" si="33"/>
        <v/>
      </c>
      <c r="G72" s="2" t="str">
        <f t="shared" si="33"/>
        <v/>
      </c>
      <c r="H72" s="2" t="str">
        <f t="shared" si="33"/>
        <v/>
      </c>
      <c r="I72" s="2" t="str">
        <f t="shared" si="33"/>
        <v/>
      </c>
      <c r="J72" s="2" t="str">
        <f t="shared" si="33"/>
        <v/>
      </c>
      <c r="K72" s="2" t="str">
        <f t="shared" si="33"/>
        <v/>
      </c>
      <c r="L72" s="2" t="str">
        <f t="shared" si="19"/>
        <v/>
      </c>
      <c r="M72" s="2" t="str">
        <f t="shared" si="11"/>
        <v/>
      </c>
      <c r="N72" s="2" t="str">
        <f t="shared" si="12"/>
        <v/>
      </c>
      <c r="O72" s="2" t="str">
        <f t="shared" ref="O72:S72" si="34">X12</f>
        <v/>
      </c>
      <c r="P72" s="2" t="str">
        <f t="shared" si="34"/>
        <v/>
      </c>
      <c r="Q72" s="2" t="str">
        <f t="shared" si="34"/>
        <v/>
      </c>
      <c r="R72" s="2" t="str">
        <f t="shared" si="34"/>
        <v/>
      </c>
      <c r="S72" s="2" t="str">
        <f t="shared" si="3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hidden="1">
      <c r="A73" s="2" t="str">
        <f t="shared" si="9"/>
        <v/>
      </c>
      <c r="B73" s="178" t="str">
        <f t="shared" ref="B73:K73" si="35">L13</f>
        <v>Loss</v>
      </c>
      <c r="C73" s="2" t="str">
        <f t="shared" si="35"/>
        <v/>
      </c>
      <c r="D73" s="2" t="str">
        <f t="shared" si="35"/>
        <v/>
      </c>
      <c r="E73" s="2" t="str">
        <f t="shared" si="35"/>
        <v/>
      </c>
      <c r="F73" s="2" t="str">
        <f t="shared" si="35"/>
        <v/>
      </c>
      <c r="G73" s="2" t="str">
        <f t="shared" si="35"/>
        <v/>
      </c>
      <c r="H73" s="2" t="str">
        <f t="shared" si="35"/>
        <v/>
      </c>
      <c r="I73" s="2" t="str">
        <f t="shared" si="35"/>
        <v/>
      </c>
      <c r="J73" s="2" t="str">
        <f t="shared" si="35"/>
        <v/>
      </c>
      <c r="K73" s="2" t="str">
        <f t="shared" si="35"/>
        <v/>
      </c>
      <c r="L73" s="2" t="str">
        <f t="shared" si="19"/>
        <v/>
      </c>
      <c r="M73" s="2" t="str">
        <f t="shared" si="11"/>
        <v/>
      </c>
      <c r="N73" s="2" t="str">
        <f t="shared" si="12"/>
        <v/>
      </c>
      <c r="O73" s="2" t="str">
        <f t="shared" ref="O73:S73" si="36">X13</f>
        <v/>
      </c>
      <c r="P73" s="2" t="str">
        <f t="shared" si="36"/>
        <v/>
      </c>
      <c r="Q73" s="2" t="str">
        <f t="shared" si="36"/>
        <v/>
      </c>
      <c r="R73" s="2" t="str">
        <f t="shared" si="36"/>
        <v/>
      </c>
      <c r="S73" s="2" t="str">
        <f t="shared" si="36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hidden="1">
      <c r="A74" s="2" t="str">
        <f t="shared" si="9"/>
        <v/>
      </c>
      <c r="B74" s="178" t="str">
        <f t="shared" ref="B74:K74" si="37">L14</f>
        <v>Loss</v>
      </c>
      <c r="C74" s="2" t="str">
        <f t="shared" si="37"/>
        <v/>
      </c>
      <c r="D74" s="2" t="str">
        <f t="shared" si="37"/>
        <v/>
      </c>
      <c r="E74" s="2" t="str">
        <f t="shared" si="37"/>
        <v/>
      </c>
      <c r="F74" s="2" t="str">
        <f t="shared" si="37"/>
        <v/>
      </c>
      <c r="G74" s="2" t="str">
        <f t="shared" si="37"/>
        <v/>
      </c>
      <c r="H74" s="2" t="str">
        <f t="shared" si="37"/>
        <v/>
      </c>
      <c r="I74" s="2" t="str">
        <f t="shared" si="37"/>
        <v/>
      </c>
      <c r="J74" s="2" t="str">
        <f t="shared" si="37"/>
        <v/>
      </c>
      <c r="K74" s="2" t="str">
        <f t="shared" si="37"/>
        <v/>
      </c>
      <c r="L74" s="2" t="str">
        <f t="shared" si="19"/>
        <v/>
      </c>
      <c r="M74" s="2" t="str">
        <f t="shared" si="11"/>
        <v/>
      </c>
      <c r="N74" s="2" t="str">
        <f t="shared" si="12"/>
        <v/>
      </c>
      <c r="O74" s="2" t="str">
        <f t="shared" ref="O74:S74" si="38">X14</f>
        <v/>
      </c>
      <c r="P74" s="2" t="str">
        <f t="shared" si="38"/>
        <v/>
      </c>
      <c r="Q74" s="2" t="str">
        <f t="shared" si="38"/>
        <v/>
      </c>
      <c r="R74" s="2" t="str">
        <f t="shared" si="38"/>
        <v/>
      </c>
      <c r="S74" s="2" t="str">
        <f t="shared" si="38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hidden="1">
      <c r="A75" s="2" t="str">
        <f t="shared" si="9"/>
        <v/>
      </c>
      <c r="B75" s="178" t="str">
        <f t="shared" ref="B75:K75" si="39">L15</f>
        <v>Loss</v>
      </c>
      <c r="C75" s="2" t="str">
        <f t="shared" si="39"/>
        <v/>
      </c>
      <c r="D75" s="2" t="str">
        <f t="shared" si="39"/>
        <v/>
      </c>
      <c r="E75" s="2" t="str">
        <f t="shared" si="39"/>
        <v/>
      </c>
      <c r="F75" s="2" t="str">
        <f t="shared" si="39"/>
        <v/>
      </c>
      <c r="G75" s="2" t="str">
        <f t="shared" si="39"/>
        <v/>
      </c>
      <c r="H75" s="2" t="str">
        <f t="shared" si="39"/>
        <v/>
      </c>
      <c r="I75" s="2" t="str">
        <f t="shared" si="39"/>
        <v/>
      </c>
      <c r="J75" s="2" t="str">
        <f t="shared" si="39"/>
        <v/>
      </c>
      <c r="K75" s="2" t="str">
        <f t="shared" si="39"/>
        <v/>
      </c>
      <c r="L75" s="2" t="str">
        <f t="shared" si="19"/>
        <v/>
      </c>
      <c r="M75" s="2" t="str">
        <f t="shared" si="11"/>
        <v/>
      </c>
      <c r="N75" s="2" t="str">
        <f t="shared" si="12"/>
        <v/>
      </c>
      <c r="O75" s="2" t="str">
        <f t="shared" ref="O75:S75" si="40">X15</f>
        <v/>
      </c>
      <c r="P75" s="2" t="str">
        <f t="shared" si="40"/>
        <v/>
      </c>
      <c r="Q75" s="2" t="str">
        <f t="shared" si="40"/>
        <v/>
      </c>
      <c r="R75" s="2" t="str">
        <f t="shared" si="40"/>
        <v/>
      </c>
      <c r="S75" s="2" t="str">
        <f t="shared" si="40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hidden="1">
      <c r="A76" s="2" t="str">
        <f t="shared" si="9"/>
        <v/>
      </c>
      <c r="B76" s="178" t="str">
        <f t="shared" ref="B76:K76" si="41">L16</f>
        <v>Loss</v>
      </c>
      <c r="C76" s="2" t="str">
        <f t="shared" si="41"/>
        <v/>
      </c>
      <c r="D76" s="2" t="str">
        <f t="shared" si="41"/>
        <v/>
      </c>
      <c r="E76" s="2" t="str">
        <f t="shared" si="41"/>
        <v/>
      </c>
      <c r="F76" s="2" t="str">
        <f t="shared" si="41"/>
        <v/>
      </c>
      <c r="G76" s="2" t="str">
        <f t="shared" si="41"/>
        <v/>
      </c>
      <c r="H76" s="2" t="str">
        <f t="shared" si="41"/>
        <v/>
      </c>
      <c r="I76" s="2" t="str">
        <f t="shared" si="41"/>
        <v/>
      </c>
      <c r="J76" s="2" t="str">
        <f t="shared" si="41"/>
        <v/>
      </c>
      <c r="K76" s="2" t="str">
        <f t="shared" si="41"/>
        <v/>
      </c>
      <c r="L76" s="2" t="str">
        <f t="shared" si="19"/>
        <v/>
      </c>
      <c r="M76" s="2" t="str">
        <f t="shared" si="11"/>
        <v/>
      </c>
      <c r="N76" s="2" t="str">
        <f t="shared" si="12"/>
        <v/>
      </c>
      <c r="O76" s="2" t="str">
        <f t="shared" ref="O76:S76" si="42">X16</f>
        <v/>
      </c>
      <c r="P76" s="2" t="str">
        <f t="shared" si="42"/>
        <v/>
      </c>
      <c r="Q76" s="2" t="str">
        <f t="shared" si="42"/>
        <v/>
      </c>
      <c r="R76" s="2" t="str">
        <f t="shared" si="42"/>
        <v/>
      </c>
      <c r="S76" s="2" t="str">
        <f t="shared" si="42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hidden="1">
      <c r="A77" s="2" t="str">
        <f t="shared" si="9"/>
        <v/>
      </c>
      <c r="B77" s="178" t="str">
        <f t="shared" ref="B77:K77" si="43">L17</f>
        <v>Loss</v>
      </c>
      <c r="C77" s="2" t="str">
        <f t="shared" si="43"/>
        <v/>
      </c>
      <c r="D77" s="2" t="str">
        <f t="shared" si="43"/>
        <v/>
      </c>
      <c r="E77" s="2" t="str">
        <f t="shared" si="43"/>
        <v/>
      </c>
      <c r="F77" s="2" t="str">
        <f t="shared" si="43"/>
        <v/>
      </c>
      <c r="G77" s="2" t="str">
        <f t="shared" si="43"/>
        <v/>
      </c>
      <c r="H77" s="2" t="str">
        <f t="shared" si="43"/>
        <v/>
      </c>
      <c r="I77" s="2" t="str">
        <f t="shared" si="43"/>
        <v/>
      </c>
      <c r="J77" s="2" t="str">
        <f t="shared" si="43"/>
        <v/>
      </c>
      <c r="K77" s="2" t="str">
        <f t="shared" si="43"/>
        <v/>
      </c>
      <c r="L77" s="2" t="str">
        <f t="shared" si="19"/>
        <v/>
      </c>
      <c r="M77" s="2" t="str">
        <f t="shared" si="11"/>
        <v/>
      </c>
      <c r="N77" s="2" t="str">
        <f t="shared" si="12"/>
        <v/>
      </c>
      <c r="O77" s="2" t="str">
        <f t="shared" ref="O77:S77" si="44">X17</f>
        <v/>
      </c>
      <c r="P77" s="2" t="str">
        <f t="shared" si="44"/>
        <v/>
      </c>
      <c r="Q77" s="2" t="str">
        <f t="shared" si="44"/>
        <v/>
      </c>
      <c r="R77" s="2" t="str">
        <f t="shared" si="44"/>
        <v/>
      </c>
      <c r="S77" s="2" t="str">
        <f t="shared" si="4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hidden="1">
      <c r="A78" s="176" t="str">
        <f t="shared" si="9"/>
        <v>Pulled Cups</v>
      </c>
      <c r="B78" s="178" t="str">
        <f t="shared" ref="B78:K78" si="45">L18</f>
        <v/>
      </c>
      <c r="C78" s="2" t="str">
        <f t="shared" si="45"/>
        <v/>
      </c>
      <c r="D78" s="2">
        <f t="shared" si="45"/>
        <v>2</v>
      </c>
      <c r="E78" s="2" t="str">
        <f t="shared" si="45"/>
        <v/>
      </c>
      <c r="F78" s="2" t="str">
        <f t="shared" si="45"/>
        <v/>
      </c>
      <c r="G78" s="2" t="str">
        <f t="shared" si="45"/>
        <v/>
      </c>
      <c r="H78" s="2" t="str">
        <f t="shared" si="45"/>
        <v/>
      </c>
      <c r="I78" s="2" t="str">
        <f t="shared" si="45"/>
        <v/>
      </c>
      <c r="J78" s="2" t="str">
        <f t="shared" si="45"/>
        <v/>
      </c>
      <c r="K78" s="2" t="str">
        <f t="shared" si="45"/>
        <v/>
      </c>
      <c r="L78" s="2" t="str">
        <f t="shared" si="19"/>
        <v/>
      </c>
      <c r="M78" s="2" t="str">
        <f t="shared" si="11"/>
        <v/>
      </c>
      <c r="N78" s="2" t="str">
        <f t="shared" si="12"/>
        <v/>
      </c>
      <c r="O78" s="2" t="str">
        <f t="shared" ref="O78:S78" si="46">X18</f>
        <v/>
      </c>
      <c r="P78" s="2" t="str">
        <f t="shared" si="46"/>
        <v/>
      </c>
      <c r="Q78" s="2" t="str">
        <f t="shared" si="46"/>
        <v/>
      </c>
      <c r="R78" s="2" t="str">
        <f t="shared" si="46"/>
        <v/>
      </c>
      <c r="S78" s="2" t="str">
        <f t="shared" si="46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hidden="1">
      <c r="A79" s="176" t="str">
        <f t="shared" si="9"/>
        <v>Total</v>
      </c>
      <c r="B79" s="178" t="str">
        <f t="shared" ref="B79:K79" si="47">L19</f>
        <v/>
      </c>
      <c r="C79" s="2" t="str">
        <f t="shared" si="47"/>
        <v/>
      </c>
      <c r="D79" s="129">
        <f t="shared" si="47"/>
        <v>99</v>
      </c>
      <c r="E79" s="2" t="str">
        <f t="shared" si="47"/>
        <v/>
      </c>
      <c r="F79" s="2" t="str">
        <f t="shared" si="47"/>
        <v/>
      </c>
      <c r="G79" s="2" t="str">
        <f t="shared" si="47"/>
        <v/>
      </c>
      <c r="H79" s="2" t="str">
        <f t="shared" si="47"/>
        <v/>
      </c>
      <c r="I79" s="128">
        <f t="shared" si="47"/>
        <v>0.4292035398</v>
      </c>
      <c r="J79" s="2" t="str">
        <f t="shared" si="47"/>
        <v/>
      </c>
      <c r="K79" s="2" t="str">
        <f t="shared" si="47"/>
        <v/>
      </c>
      <c r="L79" s="2" t="str">
        <f t="shared" si="19"/>
        <v/>
      </c>
      <c r="M79" s="2" t="str">
        <f t="shared" si="11"/>
        <v/>
      </c>
      <c r="N79" s="129" t="str">
        <f t="shared" si="12"/>
        <v/>
      </c>
      <c r="O79" s="2" t="str">
        <f t="shared" ref="O79:S79" si="48">X19</f>
        <v/>
      </c>
      <c r="P79" s="2" t="str">
        <f t="shared" si="48"/>
        <v/>
      </c>
      <c r="Q79" s="2" t="str">
        <f t="shared" si="48"/>
        <v/>
      </c>
      <c r="R79" s="2" t="str">
        <f t="shared" si="48"/>
        <v/>
      </c>
      <c r="S79" s="2" t="str">
        <f t="shared" si="48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hidden="1">
      <c r="A80" s="2" t="str">
        <f t="shared" si="9"/>
        <v/>
      </c>
      <c r="B80" s="178" t="str">
        <f t="shared" ref="B80:K80" si="49">L20</f>
        <v/>
      </c>
      <c r="C80" s="2" t="str">
        <f t="shared" si="49"/>
        <v/>
      </c>
      <c r="D80" s="2" t="str">
        <f t="shared" si="49"/>
        <v/>
      </c>
      <c r="E80" s="2" t="str">
        <f t="shared" si="49"/>
        <v/>
      </c>
      <c r="F80" s="2" t="str">
        <f t="shared" si="49"/>
        <v/>
      </c>
      <c r="G80" s="2" t="str">
        <f t="shared" si="49"/>
        <v/>
      </c>
      <c r="H80" s="2" t="str">
        <f t="shared" si="49"/>
        <v/>
      </c>
      <c r="I80" s="2" t="str">
        <f t="shared" si="49"/>
        <v/>
      </c>
      <c r="J80" s="2" t="str">
        <f t="shared" si="49"/>
        <v/>
      </c>
      <c r="K80" s="2" t="str">
        <f t="shared" si="49"/>
        <v/>
      </c>
      <c r="L80" s="2" t="str">
        <f t="shared" si="19"/>
        <v/>
      </c>
      <c r="M80" s="2" t="str">
        <f t="shared" si="11"/>
        <v/>
      </c>
      <c r="N80" s="2" t="str">
        <f t="shared" si="12"/>
        <v/>
      </c>
      <c r="O80" s="2" t="str">
        <f t="shared" ref="O80:S80" si="50">X20</f>
        <v/>
      </c>
      <c r="P80" s="2" t="str">
        <f t="shared" si="50"/>
        <v/>
      </c>
      <c r="Q80" s="2" t="str">
        <f t="shared" si="50"/>
        <v/>
      </c>
      <c r="R80" s="2" t="str">
        <f t="shared" si="50"/>
        <v/>
      </c>
      <c r="S80" s="2" t="str">
        <f t="shared" si="50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hidden="1">
      <c r="A81" s="176" t="str">
        <f t="shared" si="9"/>
        <v>Team C</v>
      </c>
      <c r="B81" s="178" t="str">
        <f t="shared" ref="B81:K81" si="51">L21</f>
        <v/>
      </c>
      <c r="C81" s="2" t="str">
        <f t="shared" si="51"/>
        <v/>
      </c>
      <c r="D81" s="2" t="str">
        <f t="shared" si="51"/>
        <v/>
      </c>
      <c r="E81" s="176" t="str">
        <f t="shared" si="51"/>
        <v>Result</v>
      </c>
      <c r="F81" s="166" t="str">
        <f t="shared" si="51"/>
        <v>Loss</v>
      </c>
      <c r="G81" s="2" t="str">
        <f t="shared" si="51"/>
        <v/>
      </c>
      <c r="H81" s="176" t="str">
        <f t="shared" si="51"/>
        <v>Margin</v>
      </c>
      <c r="I81" s="129">
        <f t="shared" si="51"/>
        <v>-6</v>
      </c>
      <c r="J81" s="2" t="str">
        <f t="shared" si="51"/>
        <v/>
      </c>
      <c r="K81" s="2" t="str">
        <f t="shared" si="51"/>
        <v/>
      </c>
      <c r="L81" s="2" t="str">
        <f t="shared" si="19"/>
        <v/>
      </c>
      <c r="M81" s="2" t="str">
        <f t="shared" si="11"/>
        <v/>
      </c>
      <c r="N81" s="2" t="str">
        <f t="shared" si="12"/>
        <v/>
      </c>
      <c r="O81" s="2" t="str">
        <f t="shared" ref="O81:S81" si="52">X21</f>
        <v/>
      </c>
      <c r="P81" s="2" t="str">
        <f t="shared" si="52"/>
        <v/>
      </c>
      <c r="Q81" s="2" t="str">
        <f t="shared" si="52"/>
        <v/>
      </c>
      <c r="R81" s="2" t="str">
        <f t="shared" si="52"/>
        <v/>
      </c>
      <c r="S81" s="2" t="str">
        <f t="shared" si="52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hidden="1">
      <c r="A82" s="176" t="str">
        <f t="shared" si="9"/>
        <v>Name</v>
      </c>
      <c r="B82" s="178" t="str">
        <f t="shared" ref="B82:K82" si="53">L22</f>
        <v>W/L?</v>
      </c>
      <c r="C82" s="176" t="str">
        <f t="shared" si="53"/>
        <v>Shot Order</v>
      </c>
      <c r="D82" s="176" t="str">
        <f t="shared" si="53"/>
        <v>Total Cups</v>
      </c>
      <c r="E82" s="176" t="str">
        <f t="shared" si="53"/>
        <v>Tops</v>
      </c>
      <c r="F82" s="176" t="str">
        <f t="shared" si="53"/>
        <v>Top Isos</v>
      </c>
      <c r="G82" s="176" t="str">
        <f t="shared" si="53"/>
        <v>Bottoms</v>
      </c>
      <c r="H82" s="176" t="str">
        <f t="shared" si="53"/>
        <v>Bottom Isos</v>
      </c>
      <c r="I82" s="176" t="str">
        <f t="shared" si="53"/>
        <v>Misses</v>
      </c>
      <c r="J82" s="2" t="str">
        <f t="shared" si="53"/>
        <v/>
      </c>
      <c r="K82" s="2" t="str">
        <f t="shared" si="53"/>
        <v/>
      </c>
      <c r="L82" s="2" t="str">
        <f t="shared" si="19"/>
        <v/>
      </c>
      <c r="M82" s="2" t="str">
        <f t="shared" si="11"/>
        <v/>
      </c>
      <c r="N82" s="176" t="str">
        <f t="shared" si="12"/>
        <v/>
      </c>
      <c r="O82" s="2" t="str">
        <f t="shared" ref="O82:S82" si="54">X22</f>
        <v/>
      </c>
      <c r="P82" s="2" t="str">
        <f t="shared" si="54"/>
        <v/>
      </c>
      <c r="Q82" s="2" t="str">
        <f t="shared" si="54"/>
        <v/>
      </c>
      <c r="R82" s="2" t="str">
        <f t="shared" si="54"/>
        <v/>
      </c>
      <c r="S82" s="2" t="str">
        <f t="shared" si="5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hidden="1">
      <c r="A83" s="176" t="str">
        <f t="shared" si="9"/>
        <v>Du</v>
      </c>
      <c r="B83" s="178" t="str">
        <f t="shared" ref="B83:K83" si="55">L23</f>
        <v>Loss</v>
      </c>
      <c r="C83" s="2">
        <f t="shared" si="55"/>
        <v>5</v>
      </c>
      <c r="D83" s="152">
        <f t="shared" si="55"/>
        <v>7</v>
      </c>
      <c r="E83" s="2">
        <f t="shared" si="55"/>
        <v>1</v>
      </c>
      <c r="F83" s="2">
        <f t="shared" si="55"/>
        <v>0</v>
      </c>
      <c r="G83" s="2">
        <f t="shared" si="55"/>
        <v>5</v>
      </c>
      <c r="H83" s="2">
        <f t="shared" si="55"/>
        <v>1</v>
      </c>
      <c r="I83" s="2">
        <f t="shared" si="55"/>
        <v>25</v>
      </c>
      <c r="J83" s="2" t="str">
        <f t="shared" si="55"/>
        <v/>
      </c>
      <c r="K83" s="2" t="str">
        <f t="shared" si="55"/>
        <v/>
      </c>
      <c r="L83" s="2" t="str">
        <f t="shared" si="19"/>
        <v/>
      </c>
      <c r="M83" s="2" t="str">
        <f t="shared" si="11"/>
        <v/>
      </c>
      <c r="N83" s="152" t="str">
        <f t="shared" si="12"/>
        <v/>
      </c>
      <c r="O83" s="2" t="str">
        <f t="shared" ref="O83:S83" si="56">X23</f>
        <v/>
      </c>
      <c r="P83" s="2" t="str">
        <f t="shared" si="56"/>
        <v/>
      </c>
      <c r="Q83" s="2" t="str">
        <f t="shared" si="56"/>
        <v/>
      </c>
      <c r="R83" s="2" t="str">
        <f t="shared" si="56"/>
        <v/>
      </c>
      <c r="S83" s="2" t="str">
        <f t="shared" si="56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hidden="1">
      <c r="A84" s="2" t="str">
        <f t="shared" si="9"/>
        <v>Neo</v>
      </c>
      <c r="B84" s="178" t="str">
        <f t="shared" ref="B84:K84" si="57">L24</f>
        <v>Loss</v>
      </c>
      <c r="C84" s="2">
        <f t="shared" si="57"/>
        <v>4</v>
      </c>
      <c r="D84" s="152">
        <f t="shared" si="57"/>
        <v>9</v>
      </c>
      <c r="E84" s="2">
        <f t="shared" si="57"/>
        <v>0</v>
      </c>
      <c r="F84" s="2">
        <f t="shared" si="57"/>
        <v>0</v>
      </c>
      <c r="G84" s="2">
        <f t="shared" si="57"/>
        <v>9</v>
      </c>
      <c r="H84" s="2">
        <f t="shared" si="57"/>
        <v>0</v>
      </c>
      <c r="I84" s="2">
        <f t="shared" si="57"/>
        <v>25</v>
      </c>
      <c r="J84" s="2" t="str">
        <f t="shared" si="57"/>
        <v/>
      </c>
      <c r="K84" s="2" t="str">
        <f t="shared" si="57"/>
        <v/>
      </c>
      <c r="L84" s="2" t="str">
        <f t="shared" si="19"/>
        <v/>
      </c>
      <c r="M84" s="2" t="str">
        <f t="shared" si="11"/>
        <v/>
      </c>
      <c r="N84" s="152" t="str">
        <f t="shared" si="12"/>
        <v/>
      </c>
      <c r="O84" s="2" t="str">
        <f t="shared" ref="O84:S84" si="58">X24</f>
        <v/>
      </c>
      <c r="P84" s="2" t="str">
        <f t="shared" si="58"/>
        <v/>
      </c>
      <c r="Q84" s="2" t="str">
        <f t="shared" si="58"/>
        <v/>
      </c>
      <c r="R84" s="2" t="str">
        <f t="shared" si="58"/>
        <v/>
      </c>
      <c r="S84" s="2" t="str">
        <f t="shared" si="58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hidden="1">
      <c r="A85" s="176" t="str">
        <f t="shared" si="9"/>
        <v>Fritz</v>
      </c>
      <c r="B85" s="178" t="str">
        <f t="shared" ref="B85:K85" si="59">L25</f>
        <v>Loss</v>
      </c>
      <c r="C85" s="2">
        <f t="shared" si="59"/>
        <v>6</v>
      </c>
      <c r="D85" s="152">
        <f t="shared" si="59"/>
        <v>19</v>
      </c>
      <c r="E85" s="2">
        <f t="shared" si="59"/>
        <v>10</v>
      </c>
      <c r="F85" s="2">
        <f t="shared" si="59"/>
        <v>4</v>
      </c>
      <c r="G85" s="2">
        <f t="shared" si="59"/>
        <v>2</v>
      </c>
      <c r="H85" s="2">
        <f t="shared" si="59"/>
        <v>3</v>
      </c>
      <c r="I85" s="2">
        <f t="shared" si="59"/>
        <v>25</v>
      </c>
      <c r="J85" s="2" t="str">
        <f t="shared" si="59"/>
        <v/>
      </c>
      <c r="K85" s="2" t="str">
        <f t="shared" si="59"/>
        <v/>
      </c>
      <c r="L85" s="2" t="str">
        <f t="shared" si="19"/>
        <v/>
      </c>
      <c r="M85" s="2" t="str">
        <f t="shared" si="11"/>
        <v/>
      </c>
      <c r="N85" s="152" t="str">
        <f t="shared" si="12"/>
        <v/>
      </c>
      <c r="O85" s="2" t="str">
        <f t="shared" ref="O85:S85" si="60">X25</f>
        <v/>
      </c>
      <c r="P85" s="2" t="str">
        <f t="shared" si="60"/>
        <v/>
      </c>
      <c r="Q85" s="2" t="str">
        <f t="shared" si="60"/>
        <v/>
      </c>
      <c r="R85" s="2" t="str">
        <f t="shared" si="60"/>
        <v/>
      </c>
      <c r="S85" s="2" t="str">
        <f t="shared" si="60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hidden="1">
      <c r="A86" s="176" t="str">
        <f t="shared" si="9"/>
        <v>Eric</v>
      </c>
      <c r="B86" s="178" t="str">
        <f t="shared" ref="B86:K86" si="61">L26</f>
        <v>Loss</v>
      </c>
      <c r="C86" s="2">
        <f t="shared" si="61"/>
        <v>1</v>
      </c>
      <c r="D86" s="152">
        <f t="shared" si="61"/>
        <v>18</v>
      </c>
      <c r="E86" s="2">
        <f t="shared" si="61"/>
        <v>10</v>
      </c>
      <c r="F86" s="2">
        <f t="shared" si="61"/>
        <v>0</v>
      </c>
      <c r="G86" s="2">
        <f t="shared" si="61"/>
        <v>8</v>
      </c>
      <c r="H86" s="2">
        <f t="shared" si="61"/>
        <v>0</v>
      </c>
      <c r="I86" s="2">
        <f t="shared" si="61"/>
        <v>20</v>
      </c>
      <c r="J86" s="2" t="str">
        <f t="shared" si="61"/>
        <v/>
      </c>
      <c r="K86" s="2" t="str">
        <f t="shared" si="61"/>
        <v/>
      </c>
      <c r="L86" s="2" t="str">
        <f t="shared" si="19"/>
        <v/>
      </c>
      <c r="M86" s="2" t="str">
        <f t="shared" si="11"/>
        <v/>
      </c>
      <c r="N86" s="152" t="str">
        <f t="shared" si="12"/>
        <v/>
      </c>
      <c r="O86" s="2" t="str">
        <f t="shared" ref="O86:S86" si="62">X26</f>
        <v/>
      </c>
      <c r="P86" s="2" t="str">
        <f t="shared" si="62"/>
        <v/>
      </c>
      <c r="Q86" s="2" t="str">
        <f t="shared" si="62"/>
        <v/>
      </c>
      <c r="R86" s="2" t="str">
        <f t="shared" si="62"/>
        <v/>
      </c>
      <c r="S86" s="2" t="str">
        <f t="shared" si="62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hidden="1">
      <c r="A87" s="2" t="str">
        <f t="shared" si="9"/>
        <v>Ilt</v>
      </c>
      <c r="B87" s="178" t="str">
        <f t="shared" ref="B87:K87" si="63">L27</f>
        <v>Loss</v>
      </c>
      <c r="C87" s="2" t="str">
        <f t="shared" si="63"/>
        <v/>
      </c>
      <c r="D87" s="152" t="str">
        <f t="shared" si="63"/>
        <v/>
      </c>
      <c r="E87" s="2" t="str">
        <f t="shared" si="63"/>
        <v/>
      </c>
      <c r="F87" s="2" t="str">
        <f t="shared" si="63"/>
        <v/>
      </c>
      <c r="G87" s="2" t="str">
        <f t="shared" si="63"/>
        <v/>
      </c>
      <c r="H87" s="2" t="str">
        <f t="shared" si="63"/>
        <v/>
      </c>
      <c r="I87" s="2" t="str">
        <f t="shared" si="63"/>
        <v/>
      </c>
      <c r="J87" s="2" t="str">
        <f t="shared" si="63"/>
        <v/>
      </c>
      <c r="K87" s="2" t="str">
        <f t="shared" si="63"/>
        <v/>
      </c>
      <c r="L87" s="2" t="str">
        <f t="shared" si="19"/>
        <v/>
      </c>
      <c r="M87" s="2" t="str">
        <f t="shared" si="11"/>
        <v/>
      </c>
      <c r="N87" s="152" t="str">
        <f t="shared" si="12"/>
        <v/>
      </c>
      <c r="O87" s="2" t="str">
        <f t="shared" ref="O87:S87" si="64">X27</f>
        <v/>
      </c>
      <c r="P87" s="2" t="str">
        <f t="shared" si="64"/>
        <v/>
      </c>
      <c r="Q87" s="2" t="str">
        <f t="shared" si="64"/>
        <v/>
      </c>
      <c r="R87" s="2" t="str">
        <f t="shared" si="64"/>
        <v/>
      </c>
      <c r="S87" s="2" t="str">
        <f t="shared" si="6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hidden="1">
      <c r="A88" s="2" t="str">
        <f t="shared" si="9"/>
        <v>Matvey</v>
      </c>
      <c r="B88" s="178" t="str">
        <f t="shared" ref="B88:K88" si="65">L28</f>
        <v>Loss</v>
      </c>
      <c r="C88" s="2">
        <f t="shared" si="65"/>
        <v>2</v>
      </c>
      <c r="D88" s="152">
        <f t="shared" si="65"/>
        <v>17</v>
      </c>
      <c r="E88" s="2">
        <f t="shared" si="65"/>
        <v>8</v>
      </c>
      <c r="F88" s="2">
        <f t="shared" si="65"/>
        <v>0</v>
      </c>
      <c r="G88" s="2">
        <f t="shared" si="65"/>
        <v>9</v>
      </c>
      <c r="H88" s="2">
        <f t="shared" si="65"/>
        <v>0</v>
      </c>
      <c r="I88" s="2">
        <f t="shared" si="65"/>
        <v>25</v>
      </c>
      <c r="J88" s="2" t="str">
        <f t="shared" si="65"/>
        <v/>
      </c>
      <c r="K88" s="2" t="str">
        <f t="shared" si="65"/>
        <v/>
      </c>
      <c r="L88" s="2" t="str">
        <f t="shared" si="19"/>
        <v/>
      </c>
      <c r="M88" s="2" t="str">
        <f t="shared" si="11"/>
        <v/>
      </c>
      <c r="N88" s="152" t="str">
        <f t="shared" si="12"/>
        <v/>
      </c>
      <c r="O88" s="2" t="str">
        <f t="shared" ref="O88:S88" si="66">X28</f>
        <v/>
      </c>
      <c r="P88" s="2" t="str">
        <f t="shared" si="66"/>
        <v/>
      </c>
      <c r="Q88" s="2" t="str">
        <f t="shared" si="66"/>
        <v/>
      </c>
      <c r="R88" s="2" t="str">
        <f t="shared" si="66"/>
        <v/>
      </c>
      <c r="S88" s="2" t="str">
        <f t="shared" si="66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hidden="1">
      <c r="A89" s="2" t="str">
        <f t="shared" si="9"/>
        <v>James</v>
      </c>
      <c r="B89" s="178" t="str">
        <f t="shared" ref="B89:K89" si="67">L29</f>
        <v>Loss</v>
      </c>
      <c r="C89" s="2" t="str">
        <f t="shared" si="67"/>
        <v/>
      </c>
      <c r="D89" s="152" t="str">
        <f t="shared" si="67"/>
        <v/>
      </c>
      <c r="E89" s="2" t="str">
        <f t="shared" si="67"/>
        <v/>
      </c>
      <c r="F89" s="2" t="str">
        <f t="shared" si="67"/>
        <v/>
      </c>
      <c r="G89" s="2" t="str">
        <f t="shared" si="67"/>
        <v/>
      </c>
      <c r="H89" s="2" t="str">
        <f t="shared" si="67"/>
        <v/>
      </c>
      <c r="I89" s="2" t="str">
        <f t="shared" si="67"/>
        <v/>
      </c>
      <c r="J89" s="2" t="str">
        <f t="shared" si="67"/>
        <v/>
      </c>
      <c r="K89" s="2" t="str">
        <f t="shared" si="67"/>
        <v/>
      </c>
      <c r="L89" s="2" t="str">
        <f t="shared" si="19"/>
        <v/>
      </c>
      <c r="M89" s="2" t="str">
        <f t="shared" si="11"/>
        <v/>
      </c>
      <c r="N89" s="152" t="str">
        <f t="shared" si="12"/>
        <v/>
      </c>
      <c r="O89" s="2" t="str">
        <f t="shared" ref="O89:S89" si="68">X29</f>
        <v/>
      </c>
      <c r="P89" s="2" t="str">
        <f t="shared" si="68"/>
        <v/>
      </c>
      <c r="Q89" s="2" t="str">
        <f t="shared" si="68"/>
        <v/>
      </c>
      <c r="R89" s="2" t="str">
        <f t="shared" si="68"/>
        <v/>
      </c>
      <c r="S89" s="2" t="str">
        <f t="shared" si="68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hidden="1">
      <c r="A90" s="2" t="str">
        <f t="shared" si="9"/>
        <v>Sebastian</v>
      </c>
      <c r="B90" s="178" t="str">
        <f t="shared" ref="B90:K90" si="69">L30</f>
        <v>Loss</v>
      </c>
      <c r="C90" s="2">
        <f t="shared" si="69"/>
        <v>3</v>
      </c>
      <c r="D90" s="152">
        <f t="shared" si="69"/>
        <v>25</v>
      </c>
      <c r="E90" s="2">
        <f t="shared" si="69"/>
        <v>9</v>
      </c>
      <c r="F90" s="2">
        <f t="shared" si="69"/>
        <v>3</v>
      </c>
      <c r="G90" s="2">
        <f t="shared" si="69"/>
        <v>13</v>
      </c>
      <c r="H90" s="2">
        <f t="shared" si="69"/>
        <v>0</v>
      </c>
      <c r="I90" s="2">
        <f t="shared" si="69"/>
        <v>20</v>
      </c>
      <c r="J90" s="2" t="str">
        <f t="shared" si="69"/>
        <v/>
      </c>
      <c r="K90" s="2" t="str">
        <f t="shared" si="69"/>
        <v/>
      </c>
      <c r="L90" s="2" t="str">
        <f t="shared" si="19"/>
        <v/>
      </c>
      <c r="M90" s="2" t="str">
        <f t="shared" si="11"/>
        <v/>
      </c>
      <c r="N90" s="152" t="str">
        <f t="shared" si="12"/>
        <v/>
      </c>
      <c r="O90" s="2" t="str">
        <f t="shared" ref="O90:S90" si="70">X30</f>
        <v/>
      </c>
      <c r="P90" s="2" t="str">
        <f t="shared" si="70"/>
        <v/>
      </c>
      <c r="Q90" s="2" t="str">
        <f t="shared" si="70"/>
        <v/>
      </c>
      <c r="R90" s="2" t="str">
        <f t="shared" si="70"/>
        <v/>
      </c>
      <c r="S90" s="2" t="str">
        <f t="shared" si="70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hidden="1">
      <c r="A91" s="2" t="str">
        <f t="shared" si="9"/>
        <v>Erik</v>
      </c>
      <c r="B91" s="178" t="str">
        <f t="shared" ref="B91:K91" si="71">L31</f>
        <v>Loss</v>
      </c>
      <c r="C91" s="2" t="str">
        <f t="shared" si="71"/>
        <v/>
      </c>
      <c r="D91" s="152" t="str">
        <f t="shared" si="71"/>
        <v/>
      </c>
      <c r="E91" s="2" t="str">
        <f t="shared" si="71"/>
        <v/>
      </c>
      <c r="F91" s="2" t="str">
        <f t="shared" si="71"/>
        <v/>
      </c>
      <c r="G91" s="2" t="str">
        <f t="shared" si="71"/>
        <v/>
      </c>
      <c r="H91" s="2" t="str">
        <f t="shared" si="71"/>
        <v/>
      </c>
      <c r="I91" s="2" t="str">
        <f t="shared" si="71"/>
        <v/>
      </c>
      <c r="J91" s="2" t="str">
        <f t="shared" si="71"/>
        <v/>
      </c>
      <c r="K91" s="2" t="str">
        <f t="shared" si="71"/>
        <v/>
      </c>
      <c r="L91" s="2" t="str">
        <f t="shared" si="19"/>
        <v/>
      </c>
      <c r="M91" s="2" t="str">
        <f t="shared" si="11"/>
        <v/>
      </c>
      <c r="N91" s="152" t="str">
        <f t="shared" si="12"/>
        <v/>
      </c>
      <c r="O91" s="2" t="str">
        <f t="shared" ref="O91:S91" si="72">X31</f>
        <v/>
      </c>
      <c r="P91" s="2" t="str">
        <f t="shared" si="72"/>
        <v/>
      </c>
      <c r="Q91" s="2" t="str">
        <f t="shared" si="72"/>
        <v/>
      </c>
      <c r="R91" s="2" t="str">
        <f t="shared" si="72"/>
        <v/>
      </c>
      <c r="S91" s="2" t="str">
        <f t="shared" si="72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hidden="1">
      <c r="A92" s="176" t="str">
        <f t="shared" si="9"/>
        <v>Jack</v>
      </c>
      <c r="B92" s="178" t="str">
        <f t="shared" ref="B92:K92" si="73">L32</f>
        <v>Loss</v>
      </c>
      <c r="C92" s="2" t="str">
        <f t="shared" si="73"/>
        <v/>
      </c>
      <c r="D92" s="152" t="str">
        <f t="shared" si="73"/>
        <v/>
      </c>
      <c r="E92" s="2" t="str">
        <f t="shared" si="73"/>
        <v/>
      </c>
      <c r="F92" s="2" t="str">
        <f t="shared" si="73"/>
        <v/>
      </c>
      <c r="G92" s="2" t="str">
        <f t="shared" si="73"/>
        <v/>
      </c>
      <c r="H92" s="2" t="str">
        <f t="shared" si="73"/>
        <v/>
      </c>
      <c r="I92" s="2" t="str">
        <f t="shared" si="73"/>
        <v/>
      </c>
      <c r="J92" s="2" t="str">
        <f t="shared" si="73"/>
        <v/>
      </c>
      <c r="K92" s="2" t="str">
        <f t="shared" si="73"/>
        <v/>
      </c>
      <c r="L92" s="2" t="str">
        <f t="shared" si="19"/>
        <v/>
      </c>
      <c r="M92" s="2" t="str">
        <f t="shared" si="11"/>
        <v/>
      </c>
      <c r="N92" s="152" t="str">
        <f t="shared" si="12"/>
        <v/>
      </c>
      <c r="O92" s="2" t="str">
        <f t="shared" ref="O92:S92" si="74">X32</f>
        <v/>
      </c>
      <c r="P92" s="2" t="str">
        <f t="shared" si="74"/>
        <v/>
      </c>
      <c r="Q92" s="2" t="str">
        <f t="shared" si="74"/>
        <v/>
      </c>
      <c r="R92" s="2" t="str">
        <f t="shared" si="74"/>
        <v/>
      </c>
      <c r="S92" s="2" t="str">
        <f t="shared" si="74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 hidden="1">
      <c r="A93" s="2" t="str">
        <f t="shared" si="9"/>
        <v/>
      </c>
      <c r="B93" s="178" t="str">
        <f t="shared" ref="B93:K93" si="75">L33</f>
        <v>Loss</v>
      </c>
      <c r="C93" s="2" t="str">
        <f t="shared" si="75"/>
        <v/>
      </c>
      <c r="D93" s="152" t="str">
        <f t="shared" si="75"/>
        <v/>
      </c>
      <c r="E93" s="2" t="str">
        <f t="shared" si="75"/>
        <v/>
      </c>
      <c r="F93" s="2" t="str">
        <f t="shared" si="75"/>
        <v/>
      </c>
      <c r="G93" s="2" t="str">
        <f t="shared" si="75"/>
        <v/>
      </c>
      <c r="H93" s="2" t="str">
        <f t="shared" si="75"/>
        <v/>
      </c>
      <c r="I93" s="2" t="str">
        <f t="shared" si="75"/>
        <v/>
      </c>
      <c r="J93" s="2" t="str">
        <f t="shared" si="75"/>
        <v/>
      </c>
      <c r="K93" s="2" t="str">
        <f t="shared" si="75"/>
        <v/>
      </c>
      <c r="L93" s="2" t="str">
        <f t="shared" si="19"/>
        <v/>
      </c>
      <c r="M93" s="2" t="str">
        <f t="shared" si="11"/>
        <v/>
      </c>
      <c r="N93" s="152" t="str">
        <f t="shared" si="12"/>
        <v/>
      </c>
      <c r="O93" s="2" t="str">
        <f t="shared" ref="O93:S93" si="76">X33</f>
        <v/>
      </c>
      <c r="P93" s="2" t="str">
        <f t="shared" si="76"/>
        <v/>
      </c>
      <c r="Q93" s="2" t="str">
        <f t="shared" si="76"/>
        <v/>
      </c>
      <c r="R93" s="2" t="str">
        <f t="shared" si="76"/>
        <v/>
      </c>
      <c r="S93" s="2" t="str">
        <f t="shared" si="76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 hidden="1">
      <c r="A94" s="2" t="str">
        <f t="shared" si="9"/>
        <v/>
      </c>
      <c r="B94" s="178" t="str">
        <f t="shared" ref="B94:K94" si="77">L34</f>
        <v>Loss</v>
      </c>
      <c r="C94" s="2" t="str">
        <f t="shared" si="77"/>
        <v/>
      </c>
      <c r="D94" s="152" t="str">
        <f t="shared" si="77"/>
        <v/>
      </c>
      <c r="E94" s="2" t="str">
        <f t="shared" si="77"/>
        <v/>
      </c>
      <c r="F94" s="2" t="str">
        <f t="shared" si="77"/>
        <v/>
      </c>
      <c r="G94" s="2" t="str">
        <f t="shared" si="77"/>
        <v/>
      </c>
      <c r="H94" s="2" t="str">
        <f t="shared" si="77"/>
        <v/>
      </c>
      <c r="I94" s="2" t="str">
        <f t="shared" si="77"/>
        <v/>
      </c>
      <c r="J94" s="2" t="str">
        <f t="shared" si="77"/>
        <v/>
      </c>
      <c r="K94" s="2" t="str">
        <f t="shared" si="77"/>
        <v/>
      </c>
      <c r="L94" s="2" t="str">
        <f t="shared" si="19"/>
        <v/>
      </c>
      <c r="M94" s="2" t="str">
        <f t="shared" si="11"/>
        <v/>
      </c>
      <c r="N94" s="152" t="str">
        <f t="shared" si="12"/>
        <v/>
      </c>
      <c r="O94" s="2" t="str">
        <f t="shared" ref="O94:S94" si="78">X34</f>
        <v/>
      </c>
      <c r="P94" s="2" t="str">
        <f t="shared" si="78"/>
        <v/>
      </c>
      <c r="Q94" s="2" t="str">
        <f t="shared" si="78"/>
        <v/>
      </c>
      <c r="R94" s="2" t="str">
        <f t="shared" si="78"/>
        <v/>
      </c>
      <c r="S94" s="2" t="str">
        <f t="shared" si="78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 hidden="1">
      <c r="A95" s="2" t="str">
        <f t="shared" si="9"/>
        <v/>
      </c>
      <c r="B95" s="178" t="str">
        <f t="shared" ref="B95:K95" si="79">L35</f>
        <v>Loss</v>
      </c>
      <c r="C95" s="2" t="str">
        <f t="shared" si="79"/>
        <v/>
      </c>
      <c r="D95" s="152" t="str">
        <f t="shared" si="79"/>
        <v/>
      </c>
      <c r="E95" s="2" t="str">
        <f t="shared" si="79"/>
        <v/>
      </c>
      <c r="F95" s="2" t="str">
        <f t="shared" si="79"/>
        <v/>
      </c>
      <c r="G95" s="2" t="str">
        <f t="shared" si="79"/>
        <v/>
      </c>
      <c r="H95" s="2" t="str">
        <f t="shared" si="79"/>
        <v/>
      </c>
      <c r="I95" s="2" t="str">
        <f t="shared" si="79"/>
        <v/>
      </c>
      <c r="J95" s="2" t="str">
        <f t="shared" si="79"/>
        <v/>
      </c>
      <c r="K95" s="2" t="str">
        <f t="shared" si="79"/>
        <v/>
      </c>
      <c r="L95" s="2" t="str">
        <f t="shared" si="19"/>
        <v/>
      </c>
      <c r="M95" s="2" t="str">
        <f t="shared" si="11"/>
        <v/>
      </c>
      <c r="N95" s="152" t="str">
        <f t="shared" si="12"/>
        <v/>
      </c>
      <c r="O95" s="2" t="str">
        <f t="shared" ref="O95:S95" si="80">X35</f>
        <v/>
      </c>
      <c r="P95" s="2" t="str">
        <f t="shared" si="80"/>
        <v/>
      </c>
      <c r="Q95" s="2" t="str">
        <f t="shared" si="80"/>
        <v/>
      </c>
      <c r="R95" s="2" t="str">
        <f t="shared" si="80"/>
        <v/>
      </c>
      <c r="S95" s="2" t="str">
        <f t="shared" si="80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 hidden="1">
      <c r="A96" s="2" t="str">
        <f t="shared" si="9"/>
        <v/>
      </c>
      <c r="B96" s="178" t="str">
        <f t="shared" ref="B96:K96" si="81">L36</f>
        <v>Loss</v>
      </c>
      <c r="C96" s="2" t="str">
        <f t="shared" si="81"/>
        <v/>
      </c>
      <c r="D96" s="152" t="str">
        <f t="shared" si="81"/>
        <v/>
      </c>
      <c r="E96" s="2" t="str">
        <f t="shared" si="81"/>
        <v/>
      </c>
      <c r="F96" s="2" t="str">
        <f t="shared" si="81"/>
        <v/>
      </c>
      <c r="G96" s="2" t="str">
        <f t="shared" si="81"/>
        <v/>
      </c>
      <c r="H96" s="2" t="str">
        <f t="shared" si="81"/>
        <v/>
      </c>
      <c r="I96" s="2" t="str">
        <f t="shared" si="81"/>
        <v/>
      </c>
      <c r="J96" s="2" t="str">
        <f t="shared" si="81"/>
        <v/>
      </c>
      <c r="K96" s="2" t="str">
        <f t="shared" si="81"/>
        <v/>
      </c>
      <c r="L96" s="2" t="str">
        <f t="shared" si="19"/>
        <v/>
      </c>
      <c r="M96" s="2" t="str">
        <f t="shared" si="11"/>
        <v/>
      </c>
      <c r="N96" s="152" t="str">
        <f t="shared" si="12"/>
        <v/>
      </c>
      <c r="O96" s="2" t="str">
        <f t="shared" ref="O96:S96" si="82">X36</f>
        <v/>
      </c>
      <c r="P96" s="2" t="str">
        <f t="shared" si="82"/>
        <v/>
      </c>
      <c r="Q96" s="2" t="str">
        <f t="shared" si="82"/>
        <v/>
      </c>
      <c r="R96" s="2" t="str">
        <f t="shared" si="82"/>
        <v/>
      </c>
      <c r="S96" s="2" t="str">
        <f t="shared" si="82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 hidden="1">
      <c r="A97" s="2" t="str">
        <f t="shared" si="9"/>
        <v/>
      </c>
      <c r="B97" s="178" t="str">
        <f t="shared" ref="B97:K97" si="83">L37</f>
        <v>Loss</v>
      </c>
      <c r="C97" s="2" t="str">
        <f t="shared" si="83"/>
        <v/>
      </c>
      <c r="D97" s="152" t="str">
        <f t="shared" si="83"/>
        <v/>
      </c>
      <c r="E97" s="2" t="str">
        <f t="shared" si="83"/>
        <v/>
      </c>
      <c r="F97" s="2" t="str">
        <f t="shared" si="83"/>
        <v/>
      </c>
      <c r="G97" s="2" t="str">
        <f t="shared" si="83"/>
        <v/>
      </c>
      <c r="H97" s="2" t="str">
        <f t="shared" si="83"/>
        <v/>
      </c>
      <c r="I97" s="2" t="str">
        <f t="shared" si="83"/>
        <v/>
      </c>
      <c r="J97" s="2" t="str">
        <f t="shared" si="83"/>
        <v/>
      </c>
      <c r="K97" s="2" t="str">
        <f t="shared" si="83"/>
        <v/>
      </c>
      <c r="L97" s="2" t="str">
        <f t="shared" si="19"/>
        <v/>
      </c>
      <c r="M97" s="2" t="str">
        <f t="shared" si="11"/>
        <v/>
      </c>
      <c r="N97" s="152" t="str">
        <f t="shared" si="12"/>
        <v/>
      </c>
      <c r="O97" s="2" t="str">
        <f t="shared" ref="O97:S97" si="84">X37</f>
        <v/>
      </c>
      <c r="P97" s="2" t="str">
        <f t="shared" si="84"/>
        <v/>
      </c>
      <c r="Q97" s="2" t="str">
        <f t="shared" si="84"/>
        <v/>
      </c>
      <c r="R97" s="2" t="str">
        <f t="shared" si="84"/>
        <v/>
      </c>
      <c r="S97" s="2" t="str">
        <f t="shared" si="84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 hidden="1">
      <c r="A98" s="176" t="str">
        <f t="shared" si="9"/>
        <v>Pulled Cups</v>
      </c>
      <c r="B98" s="178" t="str">
        <f t="shared" ref="B98:K98" si="85">L38</f>
        <v/>
      </c>
      <c r="C98" s="2" t="str">
        <f t="shared" si="85"/>
        <v/>
      </c>
      <c r="D98" s="152">
        <f t="shared" si="85"/>
        <v>-1</v>
      </c>
      <c r="E98" s="2" t="str">
        <f t="shared" si="85"/>
        <v/>
      </c>
      <c r="F98" s="2" t="str">
        <f t="shared" si="85"/>
        <v/>
      </c>
      <c r="G98" s="2" t="str">
        <f t="shared" si="85"/>
        <v/>
      </c>
      <c r="H98" s="2" t="str">
        <f t="shared" si="85"/>
        <v/>
      </c>
      <c r="I98" s="2" t="str">
        <f t="shared" si="85"/>
        <v/>
      </c>
      <c r="J98" s="2" t="str">
        <f t="shared" si="85"/>
        <v/>
      </c>
      <c r="K98" s="2" t="str">
        <f t="shared" si="85"/>
        <v/>
      </c>
      <c r="L98" s="2" t="str">
        <f t="shared" si="19"/>
        <v/>
      </c>
      <c r="M98" s="2" t="str">
        <f t="shared" si="11"/>
        <v/>
      </c>
      <c r="N98" s="152" t="str">
        <f t="shared" si="12"/>
        <v/>
      </c>
      <c r="O98" s="2" t="str">
        <f t="shared" ref="O98:S98" si="86">X38</f>
        <v/>
      </c>
      <c r="P98" s="2" t="str">
        <f t="shared" si="86"/>
        <v/>
      </c>
      <c r="Q98" s="2" t="str">
        <f t="shared" si="86"/>
        <v/>
      </c>
      <c r="R98" s="2" t="str">
        <f t="shared" si="86"/>
        <v/>
      </c>
      <c r="S98" s="2" t="str">
        <f t="shared" si="86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 hidden="1">
      <c r="A99" s="176" t="str">
        <f t="shared" si="9"/>
        <v>Total</v>
      </c>
      <c r="B99" s="178" t="str">
        <f t="shared" ref="B99:K99" si="87">L39</f>
        <v/>
      </c>
      <c r="C99" s="2" t="str">
        <f t="shared" si="87"/>
        <v/>
      </c>
      <c r="D99" s="129">
        <f t="shared" si="87"/>
        <v>94</v>
      </c>
      <c r="E99" s="2" t="str">
        <f t="shared" si="87"/>
        <v/>
      </c>
      <c r="F99" s="2" t="str">
        <f t="shared" si="87"/>
        <v/>
      </c>
      <c r="G99" s="2" t="str">
        <f t="shared" si="87"/>
        <v/>
      </c>
      <c r="H99" s="2" t="str">
        <f t="shared" si="87"/>
        <v/>
      </c>
      <c r="I99" s="128">
        <f t="shared" si="87"/>
        <v>0.4042553191</v>
      </c>
      <c r="J99" s="2" t="str">
        <f t="shared" si="87"/>
        <v/>
      </c>
      <c r="K99" s="2" t="str">
        <f t="shared" si="87"/>
        <v/>
      </c>
      <c r="L99" s="2" t="str">
        <f t="shared" si="19"/>
        <v/>
      </c>
      <c r="M99" s="2" t="str">
        <f t="shared" si="11"/>
        <v/>
      </c>
      <c r="N99" s="129" t="str">
        <f t="shared" si="12"/>
        <v/>
      </c>
      <c r="O99" s="2" t="str">
        <f t="shared" ref="O99:S99" si="88">X39</f>
        <v/>
      </c>
      <c r="P99" s="2" t="str">
        <f t="shared" si="88"/>
        <v/>
      </c>
      <c r="Q99" s="2" t="str">
        <f t="shared" si="88"/>
        <v/>
      </c>
      <c r="R99" s="2" t="str">
        <f t="shared" si="88"/>
        <v/>
      </c>
      <c r="S99" s="2" t="str">
        <f t="shared" si="88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 hidden="1">
      <c r="A100" s="2" t="str">
        <f t="shared" si="9"/>
        <v/>
      </c>
      <c r="B100" s="178" t="str">
        <f t="shared" ref="B100:K100" si="89">L40</f>
        <v/>
      </c>
      <c r="C100" s="2" t="str">
        <f t="shared" si="89"/>
        <v/>
      </c>
      <c r="D100" s="2" t="str">
        <f t="shared" si="89"/>
        <v/>
      </c>
      <c r="E100" s="2" t="str">
        <f t="shared" si="89"/>
        <v/>
      </c>
      <c r="F100" s="2" t="str">
        <f t="shared" si="89"/>
        <v/>
      </c>
      <c r="G100" s="2" t="str">
        <f t="shared" si="89"/>
        <v/>
      </c>
      <c r="H100" s="2" t="str">
        <f t="shared" si="89"/>
        <v/>
      </c>
      <c r="I100" s="2" t="str">
        <f t="shared" si="89"/>
        <v/>
      </c>
      <c r="J100" s="2" t="str">
        <f t="shared" si="89"/>
        <v/>
      </c>
      <c r="K100" s="2" t="str">
        <f t="shared" si="89"/>
        <v/>
      </c>
      <c r="L100" s="2" t="str">
        <f t="shared" si="19"/>
        <v/>
      </c>
      <c r="M100" s="2" t="str">
        <f t="shared" si="11"/>
        <v/>
      </c>
      <c r="N100" s="2" t="str">
        <f t="shared" si="12"/>
        <v/>
      </c>
      <c r="O100" s="2" t="str">
        <f t="shared" ref="O100:S100" si="90">X40</f>
        <v/>
      </c>
      <c r="P100" s="2" t="str">
        <f t="shared" si="90"/>
        <v/>
      </c>
      <c r="Q100" s="2" t="str">
        <f t="shared" si="90"/>
        <v/>
      </c>
      <c r="R100" s="2" t="str">
        <f t="shared" si="90"/>
        <v/>
      </c>
      <c r="S100" s="2" t="str">
        <f t="shared" si="90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 hidden="1">
      <c r="A101" s="176" t="str">
        <f t="shared" si="9"/>
        <v>Team E</v>
      </c>
      <c r="B101" s="178" t="str">
        <f t="shared" ref="B101:K101" si="91">L41</f>
        <v/>
      </c>
      <c r="C101" s="2" t="str">
        <f t="shared" si="91"/>
        <v/>
      </c>
      <c r="D101" s="2" t="str">
        <f t="shared" si="91"/>
        <v/>
      </c>
      <c r="E101" s="176" t="str">
        <f t="shared" si="91"/>
        <v>Result</v>
      </c>
      <c r="F101" s="166" t="str">
        <f t="shared" si="91"/>
        <v>Loss</v>
      </c>
      <c r="G101" s="2" t="str">
        <f t="shared" si="91"/>
        <v/>
      </c>
      <c r="H101" s="176" t="str">
        <f t="shared" si="91"/>
        <v>Margin</v>
      </c>
      <c r="I101" s="129">
        <f t="shared" si="91"/>
        <v>-2</v>
      </c>
      <c r="J101" s="2" t="str">
        <f t="shared" si="91"/>
        <v/>
      </c>
      <c r="K101" s="2" t="str">
        <f t="shared" si="91"/>
        <v/>
      </c>
      <c r="L101" s="2" t="str">
        <f t="shared" si="19"/>
        <v/>
      </c>
      <c r="M101" s="2" t="str">
        <f t="shared" si="11"/>
        <v/>
      </c>
      <c r="N101" s="2" t="str">
        <f t="shared" si="12"/>
        <v/>
      </c>
      <c r="O101" s="2" t="str">
        <f t="shared" ref="O101:S101" si="92">X41</f>
        <v/>
      </c>
      <c r="P101" s="2" t="str">
        <f t="shared" si="92"/>
        <v/>
      </c>
      <c r="Q101" s="2" t="str">
        <f t="shared" si="92"/>
        <v/>
      </c>
      <c r="R101" s="2" t="str">
        <f t="shared" si="92"/>
        <v/>
      </c>
      <c r="S101" s="2" t="str">
        <f t="shared" si="92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 hidden="1">
      <c r="A102" s="176" t="str">
        <f t="shared" si="9"/>
        <v>Name</v>
      </c>
      <c r="B102" s="178" t="str">
        <f t="shared" ref="B102:K102" si="93">L42</f>
        <v>W/L?</v>
      </c>
      <c r="C102" s="176" t="str">
        <f t="shared" si="93"/>
        <v>Shot Order</v>
      </c>
      <c r="D102" s="176" t="str">
        <f t="shared" si="93"/>
        <v>Total Cups</v>
      </c>
      <c r="E102" s="176" t="str">
        <f t="shared" si="93"/>
        <v>Tops</v>
      </c>
      <c r="F102" s="176" t="str">
        <f t="shared" si="93"/>
        <v>Top Isos</v>
      </c>
      <c r="G102" s="176" t="str">
        <f t="shared" si="93"/>
        <v>Bottoms</v>
      </c>
      <c r="H102" s="176" t="str">
        <f t="shared" si="93"/>
        <v>Bottom Isos</v>
      </c>
      <c r="I102" s="176" t="str">
        <f t="shared" si="93"/>
        <v>Misses</v>
      </c>
      <c r="J102" s="2" t="str">
        <f t="shared" si="93"/>
        <v/>
      </c>
      <c r="K102" s="2" t="str">
        <f t="shared" si="93"/>
        <v/>
      </c>
      <c r="L102" s="2" t="str">
        <f t="shared" si="19"/>
        <v/>
      </c>
      <c r="M102" s="2" t="str">
        <f t="shared" si="11"/>
        <v/>
      </c>
      <c r="N102" s="176" t="str">
        <f t="shared" si="12"/>
        <v/>
      </c>
      <c r="O102" s="2" t="str">
        <f t="shared" ref="O102:S102" si="94">X42</f>
        <v/>
      </c>
      <c r="P102" s="2" t="str">
        <f t="shared" si="94"/>
        <v/>
      </c>
      <c r="Q102" s="2" t="str">
        <f t="shared" si="94"/>
        <v/>
      </c>
      <c r="R102" s="2" t="str">
        <f t="shared" si="94"/>
        <v/>
      </c>
      <c r="S102" s="2" t="str">
        <f t="shared" si="94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 hidden="1">
      <c r="A103" s="176" t="str">
        <f t="shared" si="9"/>
        <v>Guel</v>
      </c>
      <c r="B103" s="178" t="str">
        <f t="shared" ref="B103:K103" si="95">L43</f>
        <v>Loss</v>
      </c>
      <c r="C103" s="2" t="str">
        <f t="shared" si="95"/>
        <v/>
      </c>
      <c r="D103" s="152">
        <f t="shared" si="95"/>
        <v>23</v>
      </c>
      <c r="E103" s="2">
        <f t="shared" si="95"/>
        <v>6</v>
      </c>
      <c r="F103" s="2">
        <f t="shared" si="95"/>
        <v>2</v>
      </c>
      <c r="G103" s="2">
        <f t="shared" si="95"/>
        <v>13</v>
      </c>
      <c r="H103" s="2">
        <f t="shared" si="95"/>
        <v>2</v>
      </c>
      <c r="I103" s="2">
        <f t="shared" si="95"/>
        <v>25</v>
      </c>
      <c r="J103" s="2" t="str">
        <f t="shared" si="95"/>
        <v/>
      </c>
      <c r="K103" s="2" t="str">
        <f t="shared" si="95"/>
        <v/>
      </c>
      <c r="L103" s="2" t="str">
        <f t="shared" si="19"/>
        <v/>
      </c>
      <c r="M103" s="2" t="str">
        <f t="shared" si="11"/>
        <v/>
      </c>
      <c r="N103" s="152" t="str">
        <f t="shared" si="12"/>
        <v/>
      </c>
      <c r="O103" s="2" t="str">
        <f t="shared" ref="O103:S103" si="96">X43</f>
        <v/>
      </c>
      <c r="P103" s="2" t="str">
        <f t="shared" si="96"/>
        <v/>
      </c>
      <c r="Q103" s="2" t="str">
        <f t="shared" si="96"/>
        <v/>
      </c>
      <c r="R103" s="2" t="str">
        <f t="shared" si="96"/>
        <v/>
      </c>
      <c r="S103" s="2" t="str">
        <f t="shared" si="96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 hidden="1">
      <c r="A104" s="2" t="str">
        <f t="shared" si="9"/>
        <v>Pasha</v>
      </c>
      <c r="B104" s="178" t="str">
        <f t="shared" ref="B104:K104" si="97">L44</f>
        <v>Loss</v>
      </c>
      <c r="C104" s="2" t="str">
        <f t="shared" si="97"/>
        <v/>
      </c>
      <c r="D104" s="152">
        <f t="shared" si="97"/>
        <v>19</v>
      </c>
      <c r="E104" s="2">
        <f t="shared" si="97"/>
        <v>12</v>
      </c>
      <c r="F104" s="2">
        <f t="shared" si="97"/>
        <v>1</v>
      </c>
      <c r="G104" s="2">
        <f t="shared" si="97"/>
        <v>6</v>
      </c>
      <c r="H104" s="2">
        <f t="shared" si="97"/>
        <v>0</v>
      </c>
      <c r="I104" s="2">
        <f t="shared" si="97"/>
        <v>25</v>
      </c>
      <c r="J104" s="2" t="str">
        <f t="shared" si="97"/>
        <v/>
      </c>
      <c r="K104" s="2" t="str">
        <f t="shared" si="97"/>
        <v/>
      </c>
      <c r="L104" s="2" t="str">
        <f t="shared" si="19"/>
        <v/>
      </c>
      <c r="M104" s="2" t="str">
        <f t="shared" si="11"/>
        <v/>
      </c>
      <c r="N104" s="152" t="str">
        <f t="shared" si="12"/>
        <v/>
      </c>
      <c r="O104" s="2" t="str">
        <f t="shared" ref="O104:S104" si="98">X44</f>
        <v/>
      </c>
      <c r="P104" s="2" t="str">
        <f t="shared" si="98"/>
        <v/>
      </c>
      <c r="Q104" s="2" t="str">
        <f t="shared" si="98"/>
        <v/>
      </c>
      <c r="R104" s="2" t="str">
        <f t="shared" si="98"/>
        <v/>
      </c>
      <c r="S104" s="2" t="str">
        <f t="shared" si="98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 hidden="1">
      <c r="A105" s="176" t="str">
        <f t="shared" si="9"/>
        <v>Yost</v>
      </c>
      <c r="B105" s="178" t="str">
        <f t="shared" ref="B105:K105" si="99">L45</f>
        <v>Loss</v>
      </c>
      <c r="C105" s="2" t="str">
        <f t="shared" si="99"/>
        <v/>
      </c>
      <c r="D105" s="152">
        <f t="shared" si="99"/>
        <v>16</v>
      </c>
      <c r="E105" s="2">
        <f t="shared" si="99"/>
        <v>7</v>
      </c>
      <c r="F105" s="2">
        <f t="shared" si="99"/>
        <v>2</v>
      </c>
      <c r="G105" s="2">
        <f t="shared" si="99"/>
        <v>4</v>
      </c>
      <c r="H105" s="2">
        <f t="shared" si="99"/>
        <v>3</v>
      </c>
      <c r="I105" s="2">
        <f t="shared" si="99"/>
        <v>25</v>
      </c>
      <c r="J105" s="2" t="str">
        <f t="shared" si="99"/>
        <v/>
      </c>
      <c r="K105" s="2" t="str">
        <f t="shared" si="99"/>
        <v/>
      </c>
      <c r="L105" s="2" t="str">
        <f t="shared" si="19"/>
        <v/>
      </c>
      <c r="M105" s="2" t="str">
        <f t="shared" si="11"/>
        <v/>
      </c>
      <c r="N105" s="152" t="str">
        <f t="shared" si="12"/>
        <v/>
      </c>
      <c r="O105" s="2" t="str">
        <f t="shared" ref="O105:S105" si="100">X45</f>
        <v/>
      </c>
      <c r="P105" s="2" t="str">
        <f t="shared" si="100"/>
        <v/>
      </c>
      <c r="Q105" s="2" t="str">
        <f t="shared" si="100"/>
        <v/>
      </c>
      <c r="R105" s="2" t="str">
        <f t="shared" si="100"/>
        <v/>
      </c>
      <c r="S105" s="2" t="str">
        <f t="shared" si="100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 hidden="1">
      <c r="A106" s="176" t="str">
        <f t="shared" si="9"/>
        <v>Sean</v>
      </c>
      <c r="B106" s="178" t="str">
        <f t="shared" ref="B106:K106" si="101">L46</f>
        <v>Loss</v>
      </c>
      <c r="C106" s="2" t="str">
        <f t="shared" si="101"/>
        <v/>
      </c>
      <c r="D106" s="152">
        <f t="shared" si="101"/>
        <v>12</v>
      </c>
      <c r="E106" s="2">
        <f t="shared" si="101"/>
        <v>7</v>
      </c>
      <c r="F106" s="2">
        <f t="shared" si="101"/>
        <v>1</v>
      </c>
      <c r="G106" s="2">
        <f t="shared" si="101"/>
        <v>3</v>
      </c>
      <c r="H106" s="2">
        <f t="shared" si="101"/>
        <v>1</v>
      </c>
      <c r="I106" s="2">
        <f t="shared" si="101"/>
        <v>27</v>
      </c>
      <c r="J106" s="2" t="str">
        <f t="shared" si="101"/>
        <v/>
      </c>
      <c r="K106" s="2" t="str">
        <f t="shared" si="101"/>
        <v/>
      </c>
      <c r="L106" s="2" t="str">
        <f t="shared" si="19"/>
        <v/>
      </c>
      <c r="M106" s="2" t="str">
        <f t="shared" si="11"/>
        <v/>
      </c>
      <c r="N106" s="152" t="str">
        <f t="shared" si="12"/>
        <v/>
      </c>
      <c r="O106" s="2" t="str">
        <f t="shared" ref="O106:S106" si="102">X46</f>
        <v/>
      </c>
      <c r="P106" s="2" t="str">
        <f t="shared" si="102"/>
        <v/>
      </c>
      <c r="Q106" s="2" t="str">
        <f t="shared" si="102"/>
        <v/>
      </c>
      <c r="R106" s="2" t="str">
        <f t="shared" si="102"/>
        <v/>
      </c>
      <c r="S106" s="2" t="str">
        <f t="shared" si="102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 hidden="1">
      <c r="A107" s="2" t="str">
        <f t="shared" si="9"/>
        <v/>
      </c>
      <c r="B107" s="178" t="str">
        <f t="shared" ref="B107:K107" si="103">L47</f>
        <v>Loss</v>
      </c>
      <c r="C107" s="2" t="str">
        <f t="shared" si="103"/>
        <v/>
      </c>
      <c r="D107" s="152" t="str">
        <f t="shared" si="103"/>
        <v/>
      </c>
      <c r="E107" s="2" t="str">
        <f t="shared" si="103"/>
        <v/>
      </c>
      <c r="F107" s="2" t="str">
        <f t="shared" si="103"/>
        <v/>
      </c>
      <c r="G107" s="2" t="str">
        <f t="shared" si="103"/>
        <v/>
      </c>
      <c r="H107" s="2" t="str">
        <f t="shared" si="103"/>
        <v/>
      </c>
      <c r="I107" s="2" t="str">
        <f t="shared" si="103"/>
        <v/>
      </c>
      <c r="J107" s="2" t="str">
        <f t="shared" si="103"/>
        <v/>
      </c>
      <c r="K107" s="2" t="str">
        <f t="shared" si="103"/>
        <v/>
      </c>
      <c r="L107" s="2" t="str">
        <f t="shared" si="19"/>
        <v/>
      </c>
      <c r="M107" s="2" t="str">
        <f t="shared" si="11"/>
        <v/>
      </c>
      <c r="N107" s="152" t="str">
        <f t="shared" si="12"/>
        <v/>
      </c>
      <c r="O107" s="2" t="str">
        <f t="shared" ref="O107:S107" si="104">X47</f>
        <v/>
      </c>
      <c r="P107" s="2" t="str">
        <f t="shared" si="104"/>
        <v/>
      </c>
      <c r="Q107" s="2" t="str">
        <f t="shared" si="104"/>
        <v/>
      </c>
      <c r="R107" s="2" t="str">
        <f t="shared" si="104"/>
        <v/>
      </c>
      <c r="S107" s="2" t="str">
        <f t="shared" si="104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 hidden="1">
      <c r="A108" s="2" t="str">
        <f t="shared" si="9"/>
        <v>Soho</v>
      </c>
      <c r="B108" s="178" t="str">
        <f t="shared" ref="B108:K108" si="105">L48</f>
        <v>Loss</v>
      </c>
      <c r="C108" s="2" t="str">
        <f t="shared" si="105"/>
        <v/>
      </c>
      <c r="D108" s="152">
        <f t="shared" si="105"/>
        <v>16</v>
      </c>
      <c r="E108" s="2">
        <f t="shared" si="105"/>
        <v>3</v>
      </c>
      <c r="F108" s="2">
        <f t="shared" si="105"/>
        <v>0</v>
      </c>
      <c r="G108" s="2">
        <f t="shared" si="105"/>
        <v>12</v>
      </c>
      <c r="H108" s="2">
        <f t="shared" si="105"/>
        <v>1</v>
      </c>
      <c r="I108" s="2">
        <f t="shared" si="105"/>
        <v>26</v>
      </c>
      <c r="J108" s="2" t="str">
        <f t="shared" si="105"/>
        <v/>
      </c>
      <c r="K108" s="2" t="str">
        <f t="shared" si="105"/>
        <v/>
      </c>
      <c r="L108" s="2" t="str">
        <f t="shared" si="19"/>
        <v/>
      </c>
      <c r="M108" s="2" t="str">
        <f t="shared" si="11"/>
        <v/>
      </c>
      <c r="N108" s="152" t="str">
        <f t="shared" si="12"/>
        <v/>
      </c>
      <c r="O108" s="2" t="str">
        <f t="shared" ref="O108:S108" si="106">X48</f>
        <v/>
      </c>
      <c r="P108" s="2" t="str">
        <f t="shared" si="106"/>
        <v/>
      </c>
      <c r="Q108" s="2" t="str">
        <f t="shared" si="106"/>
        <v/>
      </c>
      <c r="R108" s="2" t="str">
        <f t="shared" si="106"/>
        <v/>
      </c>
      <c r="S108" s="2" t="str">
        <f t="shared" si="106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 hidden="1">
      <c r="A109" s="2" t="str">
        <f t="shared" si="9"/>
        <v>Haldar</v>
      </c>
      <c r="B109" s="178" t="str">
        <f t="shared" ref="B109:K109" si="107">L49</f>
        <v>Loss</v>
      </c>
      <c r="C109" s="2" t="str">
        <f t="shared" si="107"/>
        <v/>
      </c>
      <c r="D109" s="152" t="str">
        <f t="shared" si="107"/>
        <v/>
      </c>
      <c r="E109" s="2" t="str">
        <f t="shared" si="107"/>
        <v/>
      </c>
      <c r="F109" s="2" t="str">
        <f t="shared" si="107"/>
        <v/>
      </c>
      <c r="G109" s="2" t="str">
        <f t="shared" si="107"/>
        <v/>
      </c>
      <c r="H109" s="2" t="str">
        <f t="shared" si="107"/>
        <v/>
      </c>
      <c r="I109" s="2" t="str">
        <f t="shared" si="107"/>
        <v/>
      </c>
      <c r="J109" s="2" t="str">
        <f t="shared" si="107"/>
        <v/>
      </c>
      <c r="K109" s="2" t="str">
        <f t="shared" si="107"/>
        <v/>
      </c>
      <c r="L109" s="2" t="str">
        <f t="shared" si="19"/>
        <v/>
      </c>
      <c r="M109" s="2" t="str">
        <f t="shared" si="11"/>
        <v/>
      </c>
      <c r="N109" s="152" t="str">
        <f t="shared" si="12"/>
        <v/>
      </c>
      <c r="O109" s="2" t="str">
        <f t="shared" ref="O109:S109" si="108">X49</f>
        <v/>
      </c>
      <c r="P109" s="2" t="str">
        <f t="shared" si="108"/>
        <v/>
      </c>
      <c r="Q109" s="2" t="str">
        <f t="shared" si="108"/>
        <v/>
      </c>
      <c r="R109" s="2" t="str">
        <f t="shared" si="108"/>
        <v/>
      </c>
      <c r="S109" s="2" t="str">
        <f t="shared" si="108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 hidden="1">
      <c r="A110" s="2" t="str">
        <f t="shared" si="9"/>
        <v>Dji</v>
      </c>
      <c r="B110" s="178" t="str">
        <f t="shared" ref="B110:K110" si="109">L50</f>
        <v>Loss</v>
      </c>
      <c r="C110" s="2" t="str">
        <f t="shared" si="109"/>
        <v/>
      </c>
      <c r="D110" s="152">
        <f t="shared" si="109"/>
        <v>9</v>
      </c>
      <c r="E110" s="2">
        <f t="shared" si="109"/>
        <v>4</v>
      </c>
      <c r="F110" s="2">
        <f t="shared" si="109"/>
        <v>0</v>
      </c>
      <c r="G110" s="2">
        <f t="shared" si="109"/>
        <v>5</v>
      </c>
      <c r="H110" s="2">
        <f t="shared" si="109"/>
        <v>0</v>
      </c>
      <c r="I110" s="2">
        <f t="shared" si="109"/>
        <v>28</v>
      </c>
      <c r="J110" s="2" t="str">
        <f t="shared" si="109"/>
        <v/>
      </c>
      <c r="K110" s="2" t="str">
        <f t="shared" si="109"/>
        <v/>
      </c>
      <c r="L110" s="2" t="str">
        <f t="shared" si="19"/>
        <v/>
      </c>
      <c r="M110" s="2" t="str">
        <f t="shared" si="11"/>
        <v/>
      </c>
      <c r="N110" s="152" t="str">
        <f t="shared" si="12"/>
        <v/>
      </c>
      <c r="O110" s="2" t="str">
        <f t="shared" ref="O110:S110" si="110">X50</f>
        <v/>
      </c>
      <c r="P110" s="2" t="str">
        <f t="shared" si="110"/>
        <v/>
      </c>
      <c r="Q110" s="2" t="str">
        <f t="shared" si="110"/>
        <v/>
      </c>
      <c r="R110" s="2" t="str">
        <f t="shared" si="110"/>
        <v/>
      </c>
      <c r="S110" s="2" t="str">
        <f t="shared" si="110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 hidden="1">
      <c r="A111" s="2" t="str">
        <f t="shared" si="9"/>
        <v>Lubke</v>
      </c>
      <c r="B111" s="178" t="str">
        <f t="shared" ref="B111:K111" si="111">L51</f>
        <v>Loss</v>
      </c>
      <c r="C111" s="2" t="str">
        <f t="shared" si="111"/>
        <v/>
      </c>
      <c r="D111" s="152" t="str">
        <f t="shared" si="111"/>
        <v/>
      </c>
      <c r="E111" s="2" t="str">
        <f t="shared" si="111"/>
        <v/>
      </c>
      <c r="F111" s="2" t="str">
        <f t="shared" si="111"/>
        <v/>
      </c>
      <c r="G111" s="2" t="str">
        <f t="shared" si="111"/>
        <v/>
      </c>
      <c r="H111" s="2" t="str">
        <f t="shared" si="111"/>
        <v/>
      </c>
      <c r="I111" s="2" t="str">
        <f t="shared" si="111"/>
        <v/>
      </c>
      <c r="J111" s="2" t="str">
        <f t="shared" si="111"/>
        <v/>
      </c>
      <c r="K111" s="2" t="str">
        <f t="shared" si="111"/>
        <v/>
      </c>
      <c r="L111" s="2" t="str">
        <f t="shared" si="19"/>
        <v/>
      </c>
      <c r="M111" s="2" t="str">
        <f t="shared" si="11"/>
        <v/>
      </c>
      <c r="N111" s="152" t="str">
        <f t="shared" si="12"/>
        <v/>
      </c>
      <c r="O111" s="2" t="str">
        <f t="shared" ref="O111:S111" si="112">X51</f>
        <v/>
      </c>
      <c r="P111" s="2" t="str">
        <f t="shared" si="112"/>
        <v/>
      </c>
      <c r="Q111" s="2" t="str">
        <f t="shared" si="112"/>
        <v/>
      </c>
      <c r="R111" s="2" t="str">
        <f t="shared" si="112"/>
        <v/>
      </c>
      <c r="S111" s="2" t="str">
        <f t="shared" si="112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 hidden="1">
      <c r="A112" s="176" t="str">
        <f t="shared" si="9"/>
        <v>David (pledge)</v>
      </c>
      <c r="B112" s="178" t="str">
        <f t="shared" ref="B112:K112" si="113">L52</f>
        <v>Loss</v>
      </c>
      <c r="C112" s="2" t="str">
        <f t="shared" si="113"/>
        <v/>
      </c>
      <c r="D112" s="152" t="str">
        <f t="shared" si="113"/>
        <v/>
      </c>
      <c r="E112" s="2" t="str">
        <f t="shared" si="113"/>
        <v/>
      </c>
      <c r="F112" s="2" t="str">
        <f t="shared" si="113"/>
        <v/>
      </c>
      <c r="G112" s="2" t="str">
        <f t="shared" si="113"/>
        <v/>
      </c>
      <c r="H112" s="2" t="str">
        <f t="shared" si="113"/>
        <v/>
      </c>
      <c r="I112" s="2" t="str">
        <f t="shared" si="113"/>
        <v/>
      </c>
      <c r="J112" s="2" t="str">
        <f t="shared" si="113"/>
        <v/>
      </c>
      <c r="K112" s="2" t="str">
        <f t="shared" si="113"/>
        <v/>
      </c>
      <c r="L112" s="2" t="str">
        <f t="shared" si="19"/>
        <v/>
      </c>
      <c r="M112" s="2" t="str">
        <f t="shared" si="11"/>
        <v/>
      </c>
      <c r="N112" s="152" t="str">
        <f t="shared" si="12"/>
        <v/>
      </c>
      <c r="O112" s="2" t="str">
        <f t="shared" ref="O112:S112" si="114">X52</f>
        <v/>
      </c>
      <c r="P112" s="2" t="str">
        <f t="shared" si="114"/>
        <v/>
      </c>
      <c r="Q112" s="2" t="str">
        <f t="shared" si="114"/>
        <v/>
      </c>
      <c r="R112" s="2" t="str">
        <f t="shared" si="114"/>
        <v/>
      </c>
      <c r="S112" s="2" t="str">
        <f t="shared" si="114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 hidden="1">
      <c r="A113" s="2" t="str">
        <f t="shared" si="9"/>
        <v>Will</v>
      </c>
      <c r="B113" s="178" t="str">
        <f t="shared" ref="B113:K113" si="115">L53</f>
        <v>Loss</v>
      </c>
      <c r="C113" s="2" t="str">
        <f t="shared" si="115"/>
        <v/>
      </c>
      <c r="D113" s="152" t="str">
        <f t="shared" si="115"/>
        <v/>
      </c>
      <c r="E113" s="2" t="str">
        <f t="shared" si="115"/>
        <v/>
      </c>
      <c r="F113" s="2" t="str">
        <f t="shared" si="115"/>
        <v/>
      </c>
      <c r="G113" s="2" t="str">
        <f t="shared" si="115"/>
        <v/>
      </c>
      <c r="H113" s="2" t="str">
        <f t="shared" si="115"/>
        <v/>
      </c>
      <c r="I113" s="2" t="str">
        <f t="shared" si="115"/>
        <v/>
      </c>
      <c r="J113" s="2" t="str">
        <f t="shared" si="115"/>
        <v/>
      </c>
      <c r="K113" s="2" t="str">
        <f t="shared" si="115"/>
        <v/>
      </c>
      <c r="L113" s="2" t="str">
        <f t="shared" si="19"/>
        <v/>
      </c>
      <c r="M113" s="2" t="str">
        <f t="shared" si="11"/>
        <v/>
      </c>
      <c r="N113" s="152" t="str">
        <f t="shared" si="12"/>
        <v/>
      </c>
      <c r="O113" s="2" t="str">
        <f t="shared" ref="O113:S113" si="116">X53</f>
        <v/>
      </c>
      <c r="P113" s="2" t="str">
        <f t="shared" si="116"/>
        <v/>
      </c>
      <c r="Q113" s="2" t="str">
        <f t="shared" si="116"/>
        <v/>
      </c>
      <c r="R113" s="2" t="str">
        <f t="shared" si="116"/>
        <v/>
      </c>
      <c r="S113" s="2" t="str">
        <f t="shared" si="116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 hidden="1">
      <c r="A114" s="2" t="str">
        <f t="shared" si="9"/>
        <v/>
      </c>
      <c r="B114" s="178" t="str">
        <f t="shared" ref="B114:K114" si="117">L54</f>
        <v>Loss</v>
      </c>
      <c r="C114" s="2" t="str">
        <f t="shared" si="117"/>
        <v/>
      </c>
      <c r="D114" s="152" t="str">
        <f t="shared" si="117"/>
        <v/>
      </c>
      <c r="E114" s="2" t="str">
        <f t="shared" si="117"/>
        <v/>
      </c>
      <c r="F114" s="2" t="str">
        <f t="shared" si="117"/>
        <v/>
      </c>
      <c r="G114" s="2" t="str">
        <f t="shared" si="117"/>
        <v/>
      </c>
      <c r="H114" s="2" t="str">
        <f t="shared" si="117"/>
        <v/>
      </c>
      <c r="I114" s="2" t="str">
        <f t="shared" si="117"/>
        <v/>
      </c>
      <c r="J114" s="2" t="str">
        <f t="shared" si="117"/>
        <v/>
      </c>
      <c r="K114" s="2" t="str">
        <f t="shared" si="117"/>
        <v/>
      </c>
      <c r="L114" s="2" t="str">
        <f t="shared" si="19"/>
        <v/>
      </c>
      <c r="M114" s="2" t="str">
        <f t="shared" si="11"/>
        <v/>
      </c>
      <c r="N114" s="152" t="str">
        <f t="shared" si="12"/>
        <v/>
      </c>
      <c r="O114" s="2" t="str">
        <f t="shared" ref="O114:S114" si="118">X54</f>
        <v/>
      </c>
      <c r="P114" s="2" t="str">
        <f t="shared" si="118"/>
        <v/>
      </c>
      <c r="Q114" s="2" t="str">
        <f t="shared" si="118"/>
        <v/>
      </c>
      <c r="R114" s="2" t="str">
        <f t="shared" si="118"/>
        <v/>
      </c>
      <c r="S114" s="2" t="str">
        <f t="shared" si="118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 hidden="1">
      <c r="A115" s="2" t="str">
        <f t="shared" si="9"/>
        <v/>
      </c>
      <c r="B115" s="178" t="str">
        <f t="shared" ref="B115:K115" si="119">L55</f>
        <v>Loss</v>
      </c>
      <c r="C115" s="2" t="str">
        <f t="shared" si="119"/>
        <v/>
      </c>
      <c r="D115" s="152" t="str">
        <f t="shared" si="119"/>
        <v/>
      </c>
      <c r="E115" s="2" t="str">
        <f t="shared" si="119"/>
        <v/>
      </c>
      <c r="F115" s="2" t="str">
        <f t="shared" si="119"/>
        <v/>
      </c>
      <c r="G115" s="2" t="str">
        <f t="shared" si="119"/>
        <v/>
      </c>
      <c r="H115" s="2" t="str">
        <f t="shared" si="119"/>
        <v/>
      </c>
      <c r="I115" s="2" t="str">
        <f t="shared" si="119"/>
        <v/>
      </c>
      <c r="J115" s="2" t="str">
        <f t="shared" si="119"/>
        <v/>
      </c>
      <c r="K115" s="2" t="str">
        <f t="shared" si="119"/>
        <v/>
      </c>
      <c r="L115" s="2" t="str">
        <f t="shared" si="19"/>
        <v/>
      </c>
      <c r="M115" s="2" t="str">
        <f t="shared" si="11"/>
        <v/>
      </c>
      <c r="N115" s="152" t="str">
        <f t="shared" si="12"/>
        <v/>
      </c>
      <c r="O115" s="2" t="str">
        <f t="shared" ref="O115:S115" si="120">X55</f>
        <v/>
      </c>
      <c r="P115" s="2" t="str">
        <f t="shared" si="120"/>
        <v/>
      </c>
      <c r="Q115" s="2" t="str">
        <f t="shared" si="120"/>
        <v/>
      </c>
      <c r="R115" s="2" t="str">
        <f t="shared" si="120"/>
        <v/>
      </c>
      <c r="S115" s="2" t="str">
        <f t="shared" si="120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 hidden="1">
      <c r="A116" s="2" t="str">
        <f t="shared" si="9"/>
        <v/>
      </c>
      <c r="B116" s="178" t="str">
        <f t="shared" ref="B116:K116" si="121">L56</f>
        <v>Loss</v>
      </c>
      <c r="C116" s="2" t="str">
        <f t="shared" si="121"/>
        <v/>
      </c>
      <c r="D116" s="152" t="str">
        <f t="shared" si="121"/>
        <v/>
      </c>
      <c r="E116" s="2" t="str">
        <f t="shared" si="121"/>
        <v/>
      </c>
      <c r="F116" s="2" t="str">
        <f t="shared" si="121"/>
        <v/>
      </c>
      <c r="G116" s="2" t="str">
        <f t="shared" si="121"/>
        <v/>
      </c>
      <c r="H116" s="2" t="str">
        <f t="shared" si="121"/>
        <v/>
      </c>
      <c r="I116" s="2" t="str">
        <f t="shared" si="121"/>
        <v/>
      </c>
      <c r="J116" s="2" t="str">
        <f t="shared" si="121"/>
        <v/>
      </c>
      <c r="K116" s="2" t="str">
        <f t="shared" si="121"/>
        <v/>
      </c>
      <c r="L116" s="2" t="str">
        <f t="shared" si="19"/>
        <v/>
      </c>
      <c r="M116" s="2" t="str">
        <f t="shared" si="11"/>
        <v/>
      </c>
      <c r="N116" s="152" t="str">
        <f t="shared" si="12"/>
        <v/>
      </c>
      <c r="O116" s="2" t="str">
        <f t="shared" ref="O116:S116" si="122">X56</f>
        <v/>
      </c>
      <c r="P116" s="2" t="str">
        <f t="shared" si="122"/>
        <v/>
      </c>
      <c r="Q116" s="2" t="str">
        <f t="shared" si="122"/>
        <v/>
      </c>
      <c r="R116" s="2" t="str">
        <f t="shared" si="122"/>
        <v/>
      </c>
      <c r="S116" s="2" t="str">
        <f t="shared" si="122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 hidden="1">
      <c r="A117" s="2" t="str">
        <f t="shared" si="9"/>
        <v/>
      </c>
      <c r="B117" s="178" t="str">
        <f t="shared" ref="B117:K117" si="123">L57</f>
        <v>Loss</v>
      </c>
      <c r="C117" s="2" t="str">
        <f t="shared" si="123"/>
        <v/>
      </c>
      <c r="D117" s="152" t="str">
        <f t="shared" si="123"/>
        <v/>
      </c>
      <c r="E117" s="2" t="str">
        <f t="shared" si="123"/>
        <v/>
      </c>
      <c r="F117" s="2" t="str">
        <f t="shared" si="123"/>
        <v/>
      </c>
      <c r="G117" s="2" t="str">
        <f t="shared" si="123"/>
        <v/>
      </c>
      <c r="H117" s="2" t="str">
        <f t="shared" si="123"/>
        <v/>
      </c>
      <c r="I117" s="2" t="str">
        <f t="shared" si="123"/>
        <v/>
      </c>
      <c r="J117" s="2" t="str">
        <f t="shared" si="123"/>
        <v/>
      </c>
      <c r="K117" s="2" t="str">
        <f t="shared" si="123"/>
        <v/>
      </c>
      <c r="L117" s="2" t="str">
        <f t="shared" si="19"/>
        <v/>
      </c>
      <c r="M117" s="2" t="str">
        <f t="shared" si="11"/>
        <v/>
      </c>
      <c r="N117" s="152" t="str">
        <f t="shared" si="12"/>
        <v/>
      </c>
      <c r="O117" s="2" t="str">
        <f t="shared" ref="O117:S117" si="124">X57</f>
        <v/>
      </c>
      <c r="P117" s="2" t="str">
        <f t="shared" si="124"/>
        <v/>
      </c>
      <c r="Q117" s="2" t="str">
        <f t="shared" si="124"/>
        <v/>
      </c>
      <c r="R117" s="2" t="str">
        <f t="shared" si="124"/>
        <v/>
      </c>
      <c r="S117" s="2" t="str">
        <f t="shared" si="124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 hidden="1">
      <c r="A118" s="176" t="str">
        <f t="shared" si="9"/>
        <v>Pulled Cups</v>
      </c>
      <c r="B118" s="178" t="str">
        <f t="shared" ref="B118:K118" si="125">L58</f>
        <v/>
      </c>
      <c r="C118" s="2" t="str">
        <f t="shared" si="125"/>
        <v/>
      </c>
      <c r="D118" s="152">
        <f t="shared" si="125"/>
        <v>3</v>
      </c>
      <c r="E118" s="2" t="str">
        <f t="shared" si="125"/>
        <v/>
      </c>
      <c r="F118" s="2" t="str">
        <f t="shared" si="125"/>
        <v/>
      </c>
      <c r="G118" s="2" t="str">
        <f t="shared" si="125"/>
        <v/>
      </c>
      <c r="H118" s="2" t="str">
        <f t="shared" si="125"/>
        <v/>
      </c>
      <c r="I118" s="2" t="str">
        <f t="shared" si="125"/>
        <v/>
      </c>
      <c r="J118" s="2" t="str">
        <f t="shared" si="125"/>
        <v/>
      </c>
      <c r="K118" s="2" t="str">
        <f t="shared" si="125"/>
        <v/>
      </c>
      <c r="L118" s="2" t="str">
        <f t="shared" si="19"/>
        <v/>
      </c>
      <c r="M118" s="2" t="str">
        <f t="shared" si="11"/>
        <v/>
      </c>
      <c r="N118" s="152" t="str">
        <f t="shared" si="12"/>
        <v/>
      </c>
      <c r="O118" s="2" t="str">
        <f t="shared" ref="O118:S118" si="126">X58</f>
        <v/>
      </c>
      <c r="P118" s="2" t="str">
        <f t="shared" si="126"/>
        <v/>
      </c>
      <c r="Q118" s="2" t="str">
        <f t="shared" si="126"/>
        <v/>
      </c>
      <c r="R118" s="2" t="str">
        <f t="shared" si="126"/>
        <v/>
      </c>
      <c r="S118" s="2" t="str">
        <f t="shared" si="126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 hidden="1">
      <c r="A119" s="176" t="str">
        <f t="shared" si="9"/>
        <v>Total</v>
      </c>
      <c r="B119" s="178" t="str">
        <f t="shared" ref="B119:K119" si="127">L59</f>
        <v/>
      </c>
      <c r="C119" s="2" t="str">
        <f t="shared" si="127"/>
        <v/>
      </c>
      <c r="D119" s="129">
        <f t="shared" si="127"/>
        <v>98</v>
      </c>
      <c r="E119" s="2" t="str">
        <f t="shared" si="127"/>
        <v/>
      </c>
      <c r="F119" s="2" t="str">
        <f t="shared" si="127"/>
        <v/>
      </c>
      <c r="G119" s="2" t="str">
        <f t="shared" si="127"/>
        <v/>
      </c>
      <c r="H119" s="2" t="str">
        <f t="shared" si="127"/>
        <v/>
      </c>
      <c r="I119" s="128">
        <f t="shared" si="127"/>
        <v>0.3784860558</v>
      </c>
      <c r="J119" s="2" t="str">
        <f t="shared" si="127"/>
        <v/>
      </c>
      <c r="K119" s="2" t="str">
        <f t="shared" si="127"/>
        <v/>
      </c>
      <c r="L119" s="2" t="str">
        <f t="shared" si="19"/>
        <v/>
      </c>
      <c r="M119" s="2" t="str">
        <f t="shared" si="11"/>
        <v/>
      </c>
      <c r="N119" s="129" t="str">
        <f t="shared" si="12"/>
        <v/>
      </c>
      <c r="O119" s="2" t="str">
        <f t="shared" ref="O119:S119" si="128">X59</f>
        <v/>
      </c>
      <c r="P119" s="2" t="str">
        <f t="shared" si="128"/>
        <v/>
      </c>
      <c r="Q119" s="2" t="str">
        <f t="shared" si="128"/>
        <v/>
      </c>
      <c r="R119" s="2" t="str">
        <f t="shared" si="128"/>
        <v/>
      </c>
      <c r="S119" s="2" t="str">
        <f t="shared" si="128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 hidden="1">
      <c r="A120" s="2" t="str">
        <f t="shared" si="9"/>
        <v/>
      </c>
      <c r="B120" s="2" t="str">
        <f t="shared" ref="B120:B175" si="131">M60</f>
        <v/>
      </c>
      <c r="C120" s="2" t="str">
        <f t="shared" ref="C120:K120" si="129">M60</f>
        <v/>
      </c>
      <c r="D120" s="2" t="str">
        <f t="shared" si="129"/>
        <v/>
      </c>
      <c r="E120" s="2" t="str">
        <f t="shared" si="129"/>
        <v/>
      </c>
      <c r="F120" s="2" t="str">
        <f t="shared" si="129"/>
        <v/>
      </c>
      <c r="G120" s="2" t="str">
        <f t="shared" si="129"/>
        <v/>
      </c>
      <c r="H120" s="2" t="str">
        <f t="shared" si="129"/>
        <v/>
      </c>
      <c r="I120" s="2" t="str">
        <f t="shared" si="129"/>
        <v/>
      </c>
      <c r="J120" s="2" t="str">
        <f t="shared" si="129"/>
        <v/>
      </c>
      <c r="K120" s="2" t="str">
        <f t="shared" si="129"/>
        <v/>
      </c>
      <c r="L120" s="2" t="str">
        <f t="shared" si="19"/>
        <v/>
      </c>
      <c r="M120" s="2" t="str">
        <f t="shared" si="11"/>
        <v/>
      </c>
      <c r="N120" s="2" t="str">
        <f t="shared" si="12"/>
        <v/>
      </c>
      <c r="O120" s="2" t="str">
        <f t="shared" ref="O120:S120" si="130">X60</f>
        <v/>
      </c>
      <c r="P120" s="2" t="str">
        <f t="shared" si="130"/>
        <v/>
      </c>
      <c r="Q120" s="2" t="str">
        <f t="shared" si="130"/>
        <v/>
      </c>
      <c r="R120" s="2" t="str">
        <f t="shared" si="130"/>
        <v/>
      </c>
      <c r="S120" s="2" t="str">
        <f t="shared" si="130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31"/>
        <v/>
      </c>
      <c r="C121" s="2" t="str">
        <f t="shared" ref="C121:K121" si="132">M61</f>
        <v/>
      </c>
      <c r="D121" s="2" t="str">
        <f t="shared" si="132"/>
        <v/>
      </c>
      <c r="E121" s="2" t="str">
        <f t="shared" si="132"/>
        <v/>
      </c>
      <c r="F121" s="2" t="str">
        <f t="shared" si="132"/>
        <v/>
      </c>
      <c r="G121" s="2" t="str">
        <f t="shared" si="132"/>
        <v/>
      </c>
      <c r="H121" s="2" t="str">
        <f t="shared" si="132"/>
        <v/>
      </c>
      <c r="I121" s="2" t="str">
        <f t="shared" si="132"/>
        <v/>
      </c>
      <c r="J121" s="2" t="str">
        <f t="shared" si="132"/>
        <v/>
      </c>
      <c r="K121" s="2" t="str">
        <f t="shared" si="132"/>
        <v/>
      </c>
      <c r="L121" s="2" t="str">
        <f t="shared" si="19"/>
        <v/>
      </c>
      <c r="M121" s="2" t="str">
        <f t="shared" si="11"/>
        <v/>
      </c>
      <c r="N121" s="2" t="str">
        <f t="shared" si="12"/>
        <v/>
      </c>
      <c r="O121" s="2" t="str">
        <f t="shared" ref="O121:S121" si="133">X61</f>
        <v/>
      </c>
      <c r="P121" s="2" t="str">
        <f t="shared" si="133"/>
        <v/>
      </c>
      <c r="Q121" s="2" t="str">
        <f t="shared" si="133"/>
        <v/>
      </c>
      <c r="R121" s="2" t="str">
        <f t="shared" si="133"/>
        <v/>
      </c>
      <c r="S121" s="2" t="str">
        <f t="shared" si="133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31"/>
        <v/>
      </c>
      <c r="C122" s="2" t="str">
        <f t="shared" ref="C122:K122" si="134">M62</f>
        <v/>
      </c>
      <c r="D122" s="2" t="str">
        <f t="shared" si="134"/>
        <v/>
      </c>
      <c r="E122" s="2" t="str">
        <f t="shared" si="134"/>
        <v/>
      </c>
      <c r="F122" s="2" t="str">
        <f t="shared" si="134"/>
        <v/>
      </c>
      <c r="G122" s="2" t="str">
        <f t="shared" si="134"/>
        <v/>
      </c>
      <c r="H122" s="2" t="str">
        <f t="shared" si="134"/>
        <v/>
      </c>
      <c r="I122" s="2" t="str">
        <f t="shared" si="134"/>
        <v/>
      </c>
      <c r="J122" s="2" t="str">
        <f t="shared" si="134"/>
        <v/>
      </c>
      <c r="K122" s="2" t="str">
        <f t="shared" si="134"/>
        <v/>
      </c>
      <c r="L122" s="2" t="str">
        <f t="shared" si="19"/>
        <v/>
      </c>
      <c r="M122" s="2" t="str">
        <f t="shared" si="11"/>
        <v/>
      </c>
      <c r="N122" s="2" t="str">
        <f t="shared" si="12"/>
        <v/>
      </c>
      <c r="O122" s="2" t="str">
        <f t="shared" ref="O122:S122" si="135">X62</f>
        <v/>
      </c>
      <c r="P122" s="2" t="str">
        <f t="shared" si="135"/>
        <v/>
      </c>
      <c r="Q122" s="2" t="str">
        <f t="shared" si="135"/>
        <v/>
      </c>
      <c r="R122" s="2" t="str">
        <f t="shared" si="135"/>
        <v/>
      </c>
      <c r="S122" s="2" t="str">
        <f t="shared" si="135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31"/>
        <v/>
      </c>
      <c r="C123" s="2" t="str">
        <f t="shared" ref="C123:K123" si="136">M63</f>
        <v/>
      </c>
      <c r="D123" s="2" t="str">
        <f t="shared" si="136"/>
        <v/>
      </c>
      <c r="E123" s="2" t="str">
        <f t="shared" si="136"/>
        <v/>
      </c>
      <c r="F123" s="2" t="str">
        <f t="shared" si="136"/>
        <v/>
      </c>
      <c r="G123" s="2" t="str">
        <f t="shared" si="136"/>
        <v/>
      </c>
      <c r="H123" s="2" t="str">
        <f t="shared" si="136"/>
        <v/>
      </c>
      <c r="I123" s="2" t="str">
        <f t="shared" si="136"/>
        <v/>
      </c>
      <c r="J123" s="2" t="str">
        <f t="shared" si="136"/>
        <v/>
      </c>
      <c r="K123" s="2" t="str">
        <f t="shared" si="136"/>
        <v/>
      </c>
      <c r="L123" s="2" t="str">
        <f t="shared" si="19"/>
        <v/>
      </c>
      <c r="M123" s="2" t="str">
        <f t="shared" si="11"/>
        <v/>
      </c>
      <c r="N123" s="2" t="str">
        <f t="shared" si="12"/>
        <v/>
      </c>
      <c r="O123" s="2" t="str">
        <f t="shared" ref="O123:S123" si="137">X63</f>
        <v/>
      </c>
      <c r="P123" s="2" t="str">
        <f t="shared" si="137"/>
        <v/>
      </c>
      <c r="Q123" s="2" t="str">
        <f t="shared" si="137"/>
        <v/>
      </c>
      <c r="R123" s="2" t="str">
        <f t="shared" si="137"/>
        <v/>
      </c>
      <c r="S123" s="2" t="str">
        <f t="shared" si="137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31"/>
        <v/>
      </c>
      <c r="C124" s="2" t="str">
        <f t="shared" ref="C124:K124" si="138">M64</f>
        <v/>
      </c>
      <c r="D124" s="2" t="str">
        <f t="shared" si="138"/>
        <v/>
      </c>
      <c r="E124" s="2" t="str">
        <f t="shared" si="138"/>
        <v/>
      </c>
      <c r="F124" s="2" t="str">
        <f t="shared" si="138"/>
        <v/>
      </c>
      <c r="G124" s="2" t="str">
        <f t="shared" si="138"/>
        <v/>
      </c>
      <c r="H124" s="2" t="str">
        <f t="shared" si="138"/>
        <v/>
      </c>
      <c r="I124" s="2" t="str">
        <f t="shared" si="138"/>
        <v/>
      </c>
      <c r="J124" s="2" t="str">
        <f t="shared" si="138"/>
        <v/>
      </c>
      <c r="K124" s="2" t="str">
        <f t="shared" si="138"/>
        <v/>
      </c>
      <c r="L124" s="2" t="str">
        <f t="shared" si="19"/>
        <v/>
      </c>
      <c r="M124" s="2" t="str">
        <f t="shared" si="11"/>
        <v/>
      </c>
      <c r="N124" s="2" t="str">
        <f t="shared" si="12"/>
        <v/>
      </c>
      <c r="O124" s="2" t="str">
        <f t="shared" ref="O124:S124" si="139">X64</f>
        <v/>
      </c>
      <c r="P124" s="2" t="str">
        <f t="shared" si="139"/>
        <v/>
      </c>
      <c r="Q124" s="2" t="str">
        <f t="shared" si="139"/>
        <v/>
      </c>
      <c r="R124" s="2" t="str">
        <f t="shared" si="139"/>
        <v/>
      </c>
      <c r="S124" s="2" t="str">
        <f t="shared" si="139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31"/>
        <v/>
      </c>
      <c r="C125" s="2" t="str">
        <f t="shared" ref="C125:K125" si="140">M65</f>
        <v/>
      </c>
      <c r="D125" s="2" t="str">
        <f t="shared" si="140"/>
        <v/>
      </c>
      <c r="E125" s="2" t="str">
        <f t="shared" si="140"/>
        <v/>
      </c>
      <c r="F125" s="2" t="str">
        <f t="shared" si="140"/>
        <v/>
      </c>
      <c r="G125" s="2" t="str">
        <f t="shared" si="140"/>
        <v/>
      </c>
      <c r="H125" s="2" t="str">
        <f t="shared" si="140"/>
        <v/>
      </c>
      <c r="I125" s="2" t="str">
        <f t="shared" si="140"/>
        <v/>
      </c>
      <c r="J125" s="2" t="str">
        <f t="shared" si="140"/>
        <v/>
      </c>
      <c r="K125" s="2" t="str">
        <f t="shared" si="140"/>
        <v/>
      </c>
      <c r="L125" s="2" t="str">
        <f t="shared" si="19"/>
        <v/>
      </c>
      <c r="M125" s="2" t="str">
        <f t="shared" si="11"/>
        <v/>
      </c>
      <c r="N125" s="2" t="str">
        <f t="shared" si="12"/>
        <v/>
      </c>
      <c r="O125" s="2" t="str">
        <f t="shared" ref="O125:S125" si="141">X65</f>
        <v/>
      </c>
      <c r="P125" s="2" t="str">
        <f t="shared" si="141"/>
        <v/>
      </c>
      <c r="Q125" s="2" t="str">
        <f t="shared" si="141"/>
        <v/>
      </c>
      <c r="R125" s="2" t="str">
        <f t="shared" si="141"/>
        <v/>
      </c>
      <c r="S125" s="2" t="str">
        <f t="shared" si="141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31"/>
        <v/>
      </c>
      <c r="C126" s="2" t="str">
        <f t="shared" ref="C126:K126" si="142">M66</f>
        <v/>
      </c>
      <c r="D126" s="2" t="str">
        <f t="shared" si="142"/>
        <v/>
      </c>
      <c r="E126" s="2" t="str">
        <f t="shared" si="142"/>
        <v/>
      </c>
      <c r="F126" s="2" t="str">
        <f t="shared" si="142"/>
        <v/>
      </c>
      <c r="G126" s="2" t="str">
        <f t="shared" si="142"/>
        <v/>
      </c>
      <c r="H126" s="2" t="str">
        <f t="shared" si="142"/>
        <v/>
      </c>
      <c r="I126" s="2" t="str">
        <f t="shared" si="142"/>
        <v/>
      </c>
      <c r="J126" s="2" t="str">
        <f t="shared" si="142"/>
        <v/>
      </c>
      <c r="K126" s="2" t="str">
        <f t="shared" si="142"/>
        <v/>
      </c>
      <c r="L126" s="2" t="str">
        <f t="shared" si="19"/>
        <v/>
      </c>
      <c r="M126" s="2" t="str">
        <f t="shared" si="11"/>
        <v/>
      </c>
      <c r="N126" s="2" t="str">
        <f t="shared" si="12"/>
        <v/>
      </c>
      <c r="O126" s="2" t="str">
        <f t="shared" ref="O126:S126" si="143">X66</f>
        <v/>
      </c>
      <c r="P126" s="2" t="str">
        <f t="shared" si="143"/>
        <v/>
      </c>
      <c r="Q126" s="2" t="str">
        <f t="shared" si="143"/>
        <v/>
      </c>
      <c r="R126" s="2" t="str">
        <f t="shared" si="143"/>
        <v/>
      </c>
      <c r="S126" s="2" t="str">
        <f t="shared" si="143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31"/>
        <v/>
      </c>
      <c r="C127" s="2" t="str">
        <f t="shared" ref="C127:K127" si="144">M67</f>
        <v/>
      </c>
      <c r="D127" s="2" t="str">
        <f t="shared" si="144"/>
        <v/>
      </c>
      <c r="E127" s="2" t="str">
        <f t="shared" si="144"/>
        <v/>
      </c>
      <c r="F127" s="2" t="str">
        <f t="shared" si="144"/>
        <v/>
      </c>
      <c r="G127" s="2" t="str">
        <f t="shared" si="144"/>
        <v/>
      </c>
      <c r="H127" s="2" t="str">
        <f t="shared" si="144"/>
        <v/>
      </c>
      <c r="I127" s="2" t="str">
        <f t="shared" si="144"/>
        <v/>
      </c>
      <c r="J127" s="2" t="str">
        <f t="shared" si="144"/>
        <v/>
      </c>
      <c r="K127" s="2" t="str">
        <f t="shared" si="144"/>
        <v/>
      </c>
      <c r="L127" s="2" t="str">
        <f t="shared" si="19"/>
        <v/>
      </c>
      <c r="M127" s="2" t="str">
        <f t="shared" si="11"/>
        <v/>
      </c>
      <c r="N127" s="2" t="str">
        <f t="shared" si="12"/>
        <v/>
      </c>
      <c r="O127" s="2" t="str">
        <f t="shared" ref="O127:S127" si="145">X67</f>
        <v/>
      </c>
      <c r="P127" s="2" t="str">
        <f t="shared" si="145"/>
        <v/>
      </c>
      <c r="Q127" s="2" t="str">
        <f t="shared" si="145"/>
        <v/>
      </c>
      <c r="R127" s="2" t="str">
        <f t="shared" si="145"/>
        <v/>
      </c>
      <c r="S127" s="2" t="str">
        <f t="shared" si="145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31"/>
        <v/>
      </c>
      <c r="C128" s="2" t="str">
        <f t="shared" ref="C128:K128" si="146">M68</f>
        <v/>
      </c>
      <c r="D128" s="2" t="str">
        <f t="shared" si="146"/>
        <v/>
      </c>
      <c r="E128" s="2" t="str">
        <f t="shared" si="146"/>
        <v/>
      </c>
      <c r="F128" s="2" t="str">
        <f t="shared" si="146"/>
        <v/>
      </c>
      <c r="G128" s="2" t="str">
        <f t="shared" si="146"/>
        <v/>
      </c>
      <c r="H128" s="2" t="str">
        <f t="shared" si="146"/>
        <v/>
      </c>
      <c r="I128" s="2" t="str">
        <f t="shared" si="146"/>
        <v/>
      </c>
      <c r="J128" s="2" t="str">
        <f t="shared" si="146"/>
        <v/>
      </c>
      <c r="K128" s="2" t="str">
        <f t="shared" si="146"/>
        <v/>
      </c>
      <c r="L128" s="2" t="str">
        <f t="shared" si="19"/>
        <v/>
      </c>
      <c r="M128" s="2" t="str">
        <f t="shared" si="11"/>
        <v/>
      </c>
      <c r="N128" s="2" t="str">
        <f t="shared" si="12"/>
        <v/>
      </c>
      <c r="O128" s="2" t="str">
        <f t="shared" ref="O128:S128" si="147">X68</f>
        <v/>
      </c>
      <c r="P128" s="2" t="str">
        <f t="shared" si="147"/>
        <v/>
      </c>
      <c r="Q128" s="2" t="str">
        <f t="shared" si="147"/>
        <v/>
      </c>
      <c r="R128" s="2" t="str">
        <f t="shared" si="147"/>
        <v/>
      </c>
      <c r="S128" s="2" t="str">
        <f t="shared" si="147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31"/>
        <v/>
      </c>
      <c r="C129" s="2" t="str">
        <f t="shared" ref="C129:K129" si="148">M69</f>
        <v/>
      </c>
      <c r="D129" s="2" t="str">
        <f t="shared" si="148"/>
        <v/>
      </c>
      <c r="E129" s="2" t="str">
        <f t="shared" si="148"/>
        <v/>
      </c>
      <c r="F129" s="2" t="str">
        <f t="shared" si="148"/>
        <v/>
      </c>
      <c r="G129" s="2" t="str">
        <f t="shared" si="148"/>
        <v/>
      </c>
      <c r="H129" s="2" t="str">
        <f t="shared" si="148"/>
        <v/>
      </c>
      <c r="I129" s="2" t="str">
        <f t="shared" si="148"/>
        <v/>
      </c>
      <c r="J129" s="2" t="str">
        <f t="shared" si="148"/>
        <v/>
      </c>
      <c r="K129" s="2" t="str">
        <f t="shared" si="148"/>
        <v/>
      </c>
      <c r="L129" s="2" t="str">
        <f t="shared" si="19"/>
        <v/>
      </c>
      <c r="M129" s="2" t="str">
        <f t="shared" si="11"/>
        <v/>
      </c>
      <c r="N129" s="2" t="str">
        <f t="shared" si="12"/>
        <v/>
      </c>
      <c r="O129" s="2" t="str">
        <f t="shared" ref="O129:S129" si="149">X69</f>
        <v/>
      </c>
      <c r="P129" s="2" t="str">
        <f t="shared" si="149"/>
        <v/>
      </c>
      <c r="Q129" s="2" t="str">
        <f t="shared" si="149"/>
        <v/>
      </c>
      <c r="R129" s="2" t="str">
        <f t="shared" si="149"/>
        <v/>
      </c>
      <c r="S129" s="2" t="str">
        <f t="shared" si="149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31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19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31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19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31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19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31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19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31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19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31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si="19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31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19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31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19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31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19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31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19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31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19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31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19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31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19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31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19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31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19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31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19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31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19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31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19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31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19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31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19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31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19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31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19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31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19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31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19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31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19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31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19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31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19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31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19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31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19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31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19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31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19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31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19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31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19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31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19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31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19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31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19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31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19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31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19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31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9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31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9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31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9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31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9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31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9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31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9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31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9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31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9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AB975">
    <cfRule type="containsText" dxfId="2" priority="1" operator="containsText" text="Win">
      <formula>NOT(ISERROR(SEARCH(("Win"),(A1))))</formula>
    </cfRule>
  </conditionalFormatting>
  <conditionalFormatting sqref="A1:AB975">
    <cfRule type="containsText" dxfId="3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  <col hidden="1" min="12" max="12" width="12.63"/>
  </cols>
  <sheetData>
    <row r="1">
      <c r="A1" s="165" t="str">
        <f>'Full Schedule'!M3</f>
        <v>Team E</v>
      </c>
      <c r="B1" s="2"/>
      <c r="C1" s="2"/>
      <c r="D1" s="2"/>
      <c r="E1" s="2" t="s">
        <v>145</v>
      </c>
      <c r="F1" s="166" t="str">
        <f>if(D19&gt;N19, "Win", if(D19&lt;N19, "Loss", ""))</f>
        <v>Loss</v>
      </c>
      <c r="G1" s="2"/>
      <c r="H1" s="17" t="s">
        <v>146</v>
      </c>
      <c r="I1" s="152">
        <f>D19-N19</f>
        <v>-3</v>
      </c>
      <c r="J1" s="167" t="s">
        <v>184</v>
      </c>
      <c r="K1" s="168" t="str">
        <f>'Full Schedule'!N3</f>
        <v>Migos</v>
      </c>
      <c r="L1" s="2"/>
      <c r="M1" s="2"/>
      <c r="N1" s="2"/>
      <c r="O1" s="17" t="s">
        <v>145</v>
      </c>
      <c r="P1" s="166" t="str">
        <f>if(N19&gt;D19, "Win", if(N19&lt;D19, "Loss", ""))</f>
        <v>Win</v>
      </c>
      <c r="Q1" s="2"/>
      <c r="R1" s="17" t="s">
        <v>146</v>
      </c>
      <c r="S1" s="152">
        <f>N19-D19</f>
        <v>3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169" t="s">
        <v>162</v>
      </c>
      <c r="B2" s="170" t="s">
        <v>185</v>
      </c>
      <c r="C2" s="169" t="s">
        <v>186</v>
      </c>
      <c r="D2" s="169" t="s">
        <v>187</v>
      </c>
      <c r="E2" s="169" t="s">
        <v>188</v>
      </c>
      <c r="F2" s="169" t="s">
        <v>189</v>
      </c>
      <c r="G2" s="169" t="s">
        <v>190</v>
      </c>
      <c r="H2" s="169" t="s">
        <v>191</v>
      </c>
      <c r="I2" s="169" t="s">
        <v>170</v>
      </c>
      <c r="J2" s="2"/>
      <c r="K2" s="169" t="s">
        <v>162</v>
      </c>
      <c r="L2" s="170" t="s">
        <v>185</v>
      </c>
      <c r="M2" s="169" t="s">
        <v>186</v>
      </c>
      <c r="N2" s="169" t="s">
        <v>187</v>
      </c>
      <c r="O2" s="169" t="s">
        <v>188</v>
      </c>
      <c r="P2" s="169" t="s">
        <v>189</v>
      </c>
      <c r="Q2" s="169" t="s">
        <v>190</v>
      </c>
      <c r="R2" s="169" t="s">
        <v>191</v>
      </c>
      <c r="S2" s="169" t="s">
        <v>170</v>
      </c>
      <c r="T2" s="2"/>
      <c r="U2" s="2"/>
      <c r="V2" s="2"/>
      <c r="W2" s="2"/>
      <c r="X2" s="2"/>
      <c r="Y2" s="2"/>
      <c r="Z2" s="2"/>
      <c r="AA2" s="2"/>
      <c r="AB2" s="2"/>
    </row>
    <row r="3">
      <c r="A3" s="2" t="str">
        <f t="array" ref="A3">xlookup($A$1, 'General Info'!$F$3:$K$3, 'General Info'!$F4:$K4)</f>
        <v>Guel</v>
      </c>
      <c r="B3" s="24" t="str">
        <f>F1</f>
        <v>Loss</v>
      </c>
      <c r="C3" s="24">
        <v>6.0</v>
      </c>
      <c r="D3" s="152">
        <f t="shared" ref="D3:D17" si="1">if(I3&gt;0, sum(E3:H3), "")</f>
        <v>11</v>
      </c>
      <c r="E3" s="24">
        <v>6.0</v>
      </c>
      <c r="F3" s="24">
        <v>2.0</v>
      </c>
      <c r="G3" s="24">
        <v>3.0</v>
      </c>
      <c r="H3" s="24">
        <v>0.0</v>
      </c>
      <c r="I3" s="24">
        <v>28.0</v>
      </c>
      <c r="J3" s="2"/>
      <c r="K3" s="2" t="str">
        <f t="array" ref="K3">xlookup($K$1, 'General Info'!$F$3:$K$3, 'General Info'!$F4:$K4)</f>
        <v>Arnav</v>
      </c>
      <c r="L3" s="24" t="str">
        <f>P1</f>
        <v>Win</v>
      </c>
      <c r="M3" s="24">
        <v>6.0</v>
      </c>
      <c r="N3" s="152">
        <f t="shared" ref="N3:N17" si="2">if(S3&gt;0, sum(O3:R3), "")</f>
        <v>24</v>
      </c>
      <c r="O3" s="24">
        <v>7.0</v>
      </c>
      <c r="P3" s="24">
        <v>7.0</v>
      </c>
      <c r="Q3" s="24">
        <v>9.0</v>
      </c>
      <c r="R3" s="24">
        <v>1.0</v>
      </c>
      <c r="S3" s="24">
        <v>22.0</v>
      </c>
      <c r="T3" s="2"/>
      <c r="U3" s="2"/>
      <c r="V3" s="2"/>
      <c r="W3" s="2"/>
      <c r="X3" s="2"/>
      <c r="Y3" s="2"/>
      <c r="Z3" s="2"/>
      <c r="AA3" s="2"/>
      <c r="AB3" s="2"/>
    </row>
    <row r="4">
      <c r="A4" s="2" t="str">
        <f t="array" ref="A4">xlookup($A$1, 'General Info'!$F$3:$K$3, 'General Info'!$F5:$K5)</f>
        <v>Pasha</v>
      </c>
      <c r="B4" s="24" t="str">
        <f>F1</f>
        <v>Loss</v>
      </c>
      <c r="C4" s="24">
        <v>2.0</v>
      </c>
      <c r="D4" s="152">
        <f t="shared" si="1"/>
        <v>20</v>
      </c>
      <c r="E4" s="24">
        <v>12.0</v>
      </c>
      <c r="F4" s="24">
        <v>0.0</v>
      </c>
      <c r="G4" s="24">
        <v>8.0</v>
      </c>
      <c r="H4" s="24">
        <v>0.0</v>
      </c>
      <c r="I4" s="24">
        <v>27.0</v>
      </c>
      <c r="J4" s="2"/>
      <c r="K4" s="2" t="str">
        <f t="array" ref="K4">xlookup($K$1, 'General Info'!$F$3:$K$3, 'General Info'!$F5:$K5)</f>
        <v>Brendan</v>
      </c>
      <c r="L4" s="24" t="str">
        <f>P1</f>
        <v>Win</v>
      </c>
      <c r="M4" s="24">
        <v>1.0</v>
      </c>
      <c r="N4" s="152">
        <f t="shared" si="2"/>
        <v>13</v>
      </c>
      <c r="O4" s="24">
        <v>6.0</v>
      </c>
      <c r="P4" s="24">
        <v>1.0</v>
      </c>
      <c r="Q4" s="24">
        <v>3.0</v>
      </c>
      <c r="R4" s="24">
        <v>3.0</v>
      </c>
      <c r="S4" s="24">
        <v>29.0</v>
      </c>
      <c r="T4" s="2"/>
      <c r="U4" s="2"/>
      <c r="V4" s="2"/>
      <c r="W4" s="2"/>
      <c r="X4" s="2"/>
      <c r="Y4" s="2"/>
      <c r="Z4" s="2"/>
      <c r="AA4" s="2"/>
      <c r="AB4" s="2"/>
    </row>
    <row r="5">
      <c r="A5" s="2" t="str">
        <f t="array" ref="A5">xlookup($A$1, 'General Info'!$F$3:$K$3, 'General Info'!$F6:$K6)</f>
        <v>Yost</v>
      </c>
      <c r="B5" s="2" t="str">
        <f>F1</f>
        <v>Loss</v>
      </c>
      <c r="C5" s="24">
        <v>5.0</v>
      </c>
      <c r="D5" s="152">
        <f t="shared" si="1"/>
        <v>14</v>
      </c>
      <c r="E5" s="24">
        <v>6.0</v>
      </c>
      <c r="F5" s="24">
        <v>4.0</v>
      </c>
      <c r="G5" s="24">
        <v>3.0</v>
      </c>
      <c r="H5" s="24">
        <v>1.0</v>
      </c>
      <c r="I5" s="24">
        <v>31.0</v>
      </c>
      <c r="J5" s="2"/>
      <c r="K5" s="2" t="str">
        <f t="array" ref="K5">xlookup($K$1, 'General Info'!$F$3:$K$3, 'General Info'!$F6:$K6)</f>
        <v>Kumbatovic</v>
      </c>
      <c r="L5" s="2" t="str">
        <f>P1</f>
        <v>Win</v>
      </c>
      <c r="M5" s="24"/>
      <c r="N5" s="152" t="str">
        <f t="shared" si="2"/>
        <v/>
      </c>
      <c r="O5" s="24"/>
      <c r="P5" s="24"/>
      <c r="Q5" s="24"/>
      <c r="R5" s="24"/>
      <c r="S5" s="24"/>
      <c r="T5" s="2"/>
      <c r="U5" s="2"/>
      <c r="V5" s="2"/>
      <c r="W5" s="2"/>
      <c r="X5" s="2"/>
      <c r="Y5" s="2"/>
      <c r="Z5" s="2"/>
      <c r="AA5" s="2"/>
      <c r="AB5" s="2"/>
    </row>
    <row r="6">
      <c r="A6" s="2" t="str">
        <f t="array" ref="A6">xlookup($A$1, 'General Info'!$F$3:$K$3, 'General Info'!$F7:$K7)</f>
        <v>Sean</v>
      </c>
      <c r="B6" s="24" t="str">
        <f>F1</f>
        <v>Loss</v>
      </c>
      <c r="C6" s="24"/>
      <c r="D6" s="152" t="str">
        <f t="shared" si="1"/>
        <v/>
      </c>
      <c r="E6" s="24"/>
      <c r="F6" s="24"/>
      <c r="G6" s="24"/>
      <c r="H6" s="24"/>
      <c r="I6" s="24"/>
      <c r="J6" s="2"/>
      <c r="K6" s="2" t="str">
        <f t="array" ref="K6">xlookup($K$1, 'General Info'!$F$3:$K$3, 'General Info'!$F7:$K7)</f>
        <v>Paul</v>
      </c>
      <c r="L6" s="24" t="str">
        <f>P1</f>
        <v>Win</v>
      </c>
      <c r="M6" s="24">
        <v>2.0</v>
      </c>
      <c r="N6" s="152">
        <f t="shared" si="2"/>
        <v>12</v>
      </c>
      <c r="O6" s="24">
        <v>4.0</v>
      </c>
      <c r="P6" s="24">
        <v>1.0</v>
      </c>
      <c r="Q6" s="24">
        <v>6.0</v>
      </c>
      <c r="R6" s="24">
        <v>1.0</v>
      </c>
      <c r="S6" s="24">
        <v>30.0</v>
      </c>
      <c r="T6" s="2"/>
      <c r="U6" s="2"/>
      <c r="V6" s="2"/>
      <c r="W6" s="2"/>
      <c r="X6" s="2"/>
      <c r="Y6" s="2"/>
      <c r="Z6" s="2"/>
      <c r="AA6" s="2"/>
      <c r="AB6" s="2"/>
    </row>
    <row r="7">
      <c r="A7" s="2" t="str">
        <f t="array" ref="A7">xlookup($A$1, 'General Info'!$F$3:$K$3, 'General Info'!$F8:$K8)</f>
        <v>Samos</v>
      </c>
      <c r="B7" s="24" t="str">
        <f>F1</f>
        <v>Loss</v>
      </c>
      <c r="C7" s="24">
        <v>1.0</v>
      </c>
      <c r="D7" s="152">
        <f t="shared" si="1"/>
        <v>18</v>
      </c>
      <c r="E7" s="24">
        <v>0.0</v>
      </c>
      <c r="F7" s="24">
        <v>0.0</v>
      </c>
      <c r="G7" s="24">
        <v>16.0</v>
      </c>
      <c r="H7" s="24">
        <v>2.0</v>
      </c>
      <c r="I7" s="24">
        <v>30.0</v>
      </c>
      <c r="J7" s="2"/>
      <c r="K7" s="2" t="str">
        <f t="array" ref="K7">xlookup($K$1, 'General Info'!$F$3:$K$3, 'General Info'!$F8:$K8)</f>
        <v>Raymond</v>
      </c>
      <c r="L7" s="24" t="str">
        <f>P1</f>
        <v>Win</v>
      </c>
      <c r="M7" s="24">
        <v>4.0</v>
      </c>
      <c r="N7" s="152">
        <f t="shared" si="2"/>
        <v>17</v>
      </c>
      <c r="O7" s="24">
        <v>7.0</v>
      </c>
      <c r="P7" s="24">
        <v>0.0</v>
      </c>
      <c r="Q7" s="24">
        <v>10.0</v>
      </c>
      <c r="R7" s="24">
        <v>0.0</v>
      </c>
      <c r="S7" s="24">
        <v>30.0</v>
      </c>
      <c r="T7" s="2"/>
      <c r="U7" s="2"/>
      <c r="V7" s="2"/>
      <c r="W7" s="2"/>
      <c r="X7" s="2"/>
      <c r="Y7" s="2"/>
      <c r="Z7" s="2"/>
      <c r="AA7" s="2"/>
      <c r="AB7" s="2"/>
    </row>
    <row r="8">
      <c r="A8" s="2" t="str">
        <f t="array" ref="A8">xlookup($A$1, 'General Info'!$F$3:$K$3, 'General Info'!$F9:$K9)</f>
        <v>Soho</v>
      </c>
      <c r="B8" s="24" t="str">
        <f>F1</f>
        <v>Loss</v>
      </c>
      <c r="C8" s="24"/>
      <c r="D8" s="152" t="str">
        <f t="shared" si="1"/>
        <v/>
      </c>
      <c r="E8" s="24"/>
      <c r="F8" s="24"/>
      <c r="G8" s="24"/>
      <c r="H8" s="24"/>
      <c r="I8" s="24"/>
      <c r="J8" s="2"/>
      <c r="K8" s="2" t="str">
        <f t="array" ref="K8">xlookup($K$1, 'General Info'!$F$3:$K$3, 'General Info'!$F9:$K9)</f>
        <v>TC</v>
      </c>
      <c r="L8" s="24" t="str">
        <f>P1</f>
        <v>Win</v>
      </c>
      <c r="M8" s="24">
        <v>5.0</v>
      </c>
      <c r="N8" s="152">
        <f t="shared" si="2"/>
        <v>18</v>
      </c>
      <c r="O8" s="24">
        <v>2.0</v>
      </c>
      <c r="P8" s="24">
        <v>0.0</v>
      </c>
      <c r="Q8" s="24">
        <v>15.0</v>
      </c>
      <c r="R8" s="24">
        <v>1.0</v>
      </c>
      <c r="S8" s="24">
        <v>27.0</v>
      </c>
      <c r="T8" s="2"/>
      <c r="U8" s="2"/>
      <c r="V8" s="2"/>
      <c r="W8" s="2"/>
      <c r="X8" s="2"/>
      <c r="Y8" s="2"/>
      <c r="Z8" s="2"/>
      <c r="AA8" s="2"/>
      <c r="AB8" s="2"/>
    </row>
    <row r="9">
      <c r="A9" s="2" t="str">
        <f t="array" ref="A9">xlookup($A$1, 'General Info'!$F$3:$K$3, 'General Info'!$F10:$K10)</f>
        <v>Haldar</v>
      </c>
      <c r="B9" s="2" t="str">
        <f>F1</f>
        <v>Loss</v>
      </c>
      <c r="C9" s="24">
        <v>4.0</v>
      </c>
      <c r="D9" s="2">
        <f t="shared" si="1"/>
        <v>19</v>
      </c>
      <c r="E9" s="24">
        <v>9.0</v>
      </c>
      <c r="F9" s="24">
        <v>1.0</v>
      </c>
      <c r="G9" s="24">
        <v>7.0</v>
      </c>
      <c r="H9" s="24">
        <v>2.0</v>
      </c>
      <c r="I9" s="24">
        <v>29.0</v>
      </c>
      <c r="J9" s="2"/>
      <c r="K9" s="2" t="str">
        <f t="array" ref="K9">xlookup($K$1, 'General Info'!$F$3:$K$3, 'General Info'!$F10:$K10)</f>
        <v>Kyi</v>
      </c>
      <c r="L9" s="2" t="str">
        <f>P1</f>
        <v>Win</v>
      </c>
      <c r="M9" s="24">
        <v>3.0</v>
      </c>
      <c r="N9" s="2">
        <f t="shared" si="2"/>
        <v>15</v>
      </c>
      <c r="O9" s="24">
        <v>10.0</v>
      </c>
      <c r="P9" s="24">
        <v>0.0</v>
      </c>
      <c r="Q9" s="24">
        <v>4.0</v>
      </c>
      <c r="R9" s="24">
        <v>1.0</v>
      </c>
      <c r="S9" s="24">
        <v>28.0</v>
      </c>
      <c r="T9" s="2"/>
      <c r="U9" s="2"/>
      <c r="V9" s="2"/>
      <c r="W9" s="2"/>
      <c r="X9" s="2"/>
      <c r="Y9" s="2"/>
      <c r="Z9" s="2"/>
      <c r="AA9" s="2"/>
      <c r="AB9" s="2"/>
    </row>
    <row r="10">
      <c r="A10" s="2" t="str">
        <f t="array" ref="A10">xlookup($A$1, 'General Info'!$F$3:$K$3, 'General Info'!$F11:$K11)</f>
        <v>Dji</v>
      </c>
      <c r="B10" s="24" t="str">
        <f>F1</f>
        <v>Loss</v>
      </c>
      <c r="C10" s="24">
        <v>3.0</v>
      </c>
      <c r="D10" s="2">
        <f t="shared" si="1"/>
        <v>13</v>
      </c>
      <c r="E10" s="24">
        <v>5.0</v>
      </c>
      <c r="F10" s="24">
        <v>0.0</v>
      </c>
      <c r="G10" s="24">
        <v>8.0</v>
      </c>
      <c r="H10" s="24">
        <v>0.0</v>
      </c>
      <c r="I10" s="24">
        <v>30.0</v>
      </c>
      <c r="J10" s="2"/>
      <c r="K10" s="2" t="str">
        <f t="array" ref="K10">xlookup($K$1, 'General Info'!$F$3:$K$3, 'General Info'!$F11:$K11)</f>
        <v>Jwu</v>
      </c>
      <c r="L10" s="24" t="str">
        <f>P1</f>
        <v>Win</v>
      </c>
      <c r="M10" s="2"/>
      <c r="N10" s="2" t="str">
        <f t="shared" si="2"/>
        <v/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 t="str">
        <f t="array" ref="A11">xlookup($A$1, 'General Info'!$F$3:$K$3, 'General Info'!$F12:$K12)</f>
        <v>Lubke</v>
      </c>
      <c r="B11" s="2" t="str">
        <f>F1</f>
        <v>Loss</v>
      </c>
      <c r="C11" s="2"/>
      <c r="D11" s="2" t="str">
        <f t="shared" si="1"/>
        <v/>
      </c>
      <c r="E11" s="2"/>
      <c r="F11" s="2"/>
      <c r="G11" s="2"/>
      <c r="H11" s="2"/>
      <c r="I11" s="2"/>
      <c r="J11" s="2"/>
      <c r="K11" s="2" t="str">
        <f t="array" ref="K11">xlookup($K$1, 'General Info'!$F$3:$K$3, 'General Info'!$F12:$K12)</f>
        <v>Parker</v>
      </c>
      <c r="L11" s="2" t="str">
        <f>P1</f>
        <v>Win</v>
      </c>
      <c r="M11" s="2"/>
      <c r="N11" s="2" t="str">
        <f t="shared" si="2"/>
        <v/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" t="str">
        <f t="array" ref="A12">xlookup($A$1, 'General Info'!$F$3:$K$3, 'General Info'!$F13:$K13)</f>
        <v>David (pledge)</v>
      </c>
      <c r="B12" s="2" t="str">
        <f>F1</f>
        <v>Loss</v>
      </c>
      <c r="C12" s="2"/>
      <c r="D12" s="2" t="str">
        <f t="shared" si="1"/>
        <v/>
      </c>
      <c r="E12" s="2"/>
      <c r="F12" s="2"/>
      <c r="G12" s="2"/>
      <c r="H12" s="2"/>
      <c r="I12" s="2"/>
      <c r="J12" s="2"/>
      <c r="K12" s="2" t="str">
        <f t="array" ref="K12">xlookup($K$1, 'General Info'!$F$3:$K$3, 'General Info'!$F13:$K13)</f>
        <v>Henry</v>
      </c>
      <c r="L12" s="2" t="str">
        <f>P1</f>
        <v>Win</v>
      </c>
      <c r="M12" s="2"/>
      <c r="N12" s="2" t="str">
        <f t="shared" si="2"/>
        <v/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tr">
        <f t="array" ref="A13">xlookup($A$1, 'General Info'!$F$3:$K$3, 'General Info'!$F14:$K14)</f>
        <v>Will</v>
      </c>
      <c r="B13" s="2" t="str">
        <f>F1</f>
        <v>Loss</v>
      </c>
      <c r="C13" s="2"/>
      <c r="D13" s="2" t="str">
        <f t="shared" si="1"/>
        <v/>
      </c>
      <c r="E13" s="2"/>
      <c r="F13" s="2"/>
      <c r="G13" s="2"/>
      <c r="H13" s="2"/>
      <c r="I13" s="2"/>
      <c r="J13" s="2"/>
      <c r="K13" s="2" t="str">
        <f t="array" ref="K13">xlookup($K$1, 'General Info'!$F$3:$K$3, 'General Info'!$F14:$K14)</f>
        <v>Ayush</v>
      </c>
      <c r="L13" s="2" t="str">
        <f>P1</f>
        <v>Win</v>
      </c>
      <c r="M13" s="2"/>
      <c r="N13" s="2" t="str">
        <f t="shared" si="2"/>
        <v/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tr">
        <f t="array" ref="A14">xlookup($A$1, 'General Info'!$F$3:$K$3, 'General Info'!$F15:$K15)</f>
        <v/>
      </c>
      <c r="B14" s="2" t="str">
        <f>F1</f>
        <v>Loss</v>
      </c>
      <c r="C14" s="2"/>
      <c r="D14" s="2" t="str">
        <f t="shared" si="1"/>
        <v/>
      </c>
      <c r="E14" s="2"/>
      <c r="F14" s="2"/>
      <c r="G14" s="2"/>
      <c r="H14" s="2"/>
      <c r="I14" s="2"/>
      <c r="J14" s="2"/>
      <c r="K14" s="2" t="str">
        <f t="array" ref="K14">xlookup($K$1, 'General Info'!$F$3:$K$3, 'General Info'!$F15:$K15)</f>
        <v/>
      </c>
      <c r="L14" s="2" t="str">
        <f>P1</f>
        <v>Win</v>
      </c>
      <c r="M14" s="2"/>
      <c r="N14" s="2" t="str">
        <f t="shared" si="2"/>
        <v/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tr">
        <f t="array" ref="A15">xlookup($A$1, 'General Info'!$F$3:$K$3, 'General Info'!$F16:$K16)</f>
        <v/>
      </c>
      <c r="B15" s="2" t="str">
        <f>F1</f>
        <v>Loss</v>
      </c>
      <c r="C15" s="2"/>
      <c r="D15" s="2" t="str">
        <f t="shared" si="1"/>
        <v/>
      </c>
      <c r="E15" s="2"/>
      <c r="F15" s="2"/>
      <c r="G15" s="2"/>
      <c r="H15" s="2"/>
      <c r="I15" s="2"/>
      <c r="J15" s="2"/>
      <c r="K15" s="2" t="str">
        <f t="array" ref="K15">xlookup($K$1, 'General Info'!$F$3:$K$3, 'General Info'!$F16:$K16)</f>
        <v/>
      </c>
      <c r="L15" s="2" t="str">
        <f>P1</f>
        <v>Win</v>
      </c>
      <c r="M15" s="2"/>
      <c r="N15" s="2" t="str">
        <f t="shared" si="2"/>
        <v/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tr">
        <f t="array" ref="A16">xlookup($A$1, 'General Info'!$F$3:$K$3, 'General Info'!$F17:$K17)</f>
        <v/>
      </c>
      <c r="B16" s="2" t="str">
        <f>F1</f>
        <v>Loss</v>
      </c>
      <c r="C16" s="2"/>
      <c r="D16" s="2" t="str">
        <f t="shared" si="1"/>
        <v/>
      </c>
      <c r="E16" s="2"/>
      <c r="F16" s="2"/>
      <c r="G16" s="2"/>
      <c r="H16" s="2"/>
      <c r="I16" s="2"/>
      <c r="J16" s="2"/>
      <c r="K16" s="2" t="str">
        <f t="array" ref="K16">xlookup($K$1, 'General Info'!$F$3:$K$3, 'General Info'!$F17:$K17)</f>
        <v/>
      </c>
      <c r="L16" s="2" t="str">
        <f>P1</f>
        <v>Win</v>
      </c>
      <c r="M16" s="2"/>
      <c r="N16" s="2" t="str">
        <f t="shared" si="2"/>
        <v/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tr">
        <f t="array" ref="A17">xlookup($A$1, 'General Info'!$F$3:$K$3, 'General Info'!$F18:$K18)</f>
        <v/>
      </c>
      <c r="B17" s="2" t="str">
        <f>F1</f>
        <v>Loss</v>
      </c>
      <c r="C17" s="2"/>
      <c r="D17" s="2" t="str">
        <f t="shared" si="1"/>
        <v/>
      </c>
      <c r="E17" s="2"/>
      <c r="F17" s="2"/>
      <c r="G17" s="2"/>
      <c r="H17" s="2"/>
      <c r="I17" s="2"/>
      <c r="J17" s="2"/>
      <c r="K17" s="2" t="str">
        <f t="array" ref="K17">xlookup($K$1, 'General Info'!$F$3:$K$3, 'General Info'!$F18:$K18)</f>
        <v/>
      </c>
      <c r="L17" s="2" t="str">
        <f>P1</f>
        <v>Win</v>
      </c>
      <c r="M17" s="2"/>
      <c r="N17" s="2" t="str">
        <f t="shared" si="2"/>
        <v/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7" t="s">
        <v>192</v>
      </c>
      <c r="B18" s="2"/>
      <c r="C18" s="6"/>
      <c r="D18" s="27">
        <v>2.0</v>
      </c>
      <c r="E18" s="6"/>
      <c r="F18" s="6"/>
      <c r="G18" s="6"/>
      <c r="H18" s="6"/>
      <c r="I18" s="6"/>
      <c r="J18" s="2"/>
      <c r="K18" s="17" t="s">
        <v>192</v>
      </c>
      <c r="L18" s="2"/>
      <c r="M18" s="6"/>
      <c r="N18" s="27">
        <v>1.0</v>
      </c>
      <c r="O18" s="6"/>
      <c r="P18" s="6"/>
      <c r="Q18" s="6"/>
      <c r="R18" s="6"/>
      <c r="S18" s="6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71" t="s">
        <v>152</v>
      </c>
      <c r="B19" s="172"/>
      <c r="C19" s="172"/>
      <c r="D19" s="173">
        <f>sum(D3:D18)</f>
        <v>97</v>
      </c>
      <c r="E19" s="2"/>
      <c r="F19" s="2"/>
      <c r="G19" s="2"/>
      <c r="H19" s="2"/>
      <c r="I19" s="174">
        <f>sum(D3:D17)/(sum(D3:D17)+sum(I3:I17))</f>
        <v>0.3518518519</v>
      </c>
      <c r="J19" s="2"/>
      <c r="K19" s="171" t="s">
        <v>152</v>
      </c>
      <c r="L19" s="172"/>
      <c r="M19" s="172"/>
      <c r="N19" s="173">
        <f>sum(N3:N18)</f>
        <v>100</v>
      </c>
      <c r="O19" s="2"/>
      <c r="P19" s="2"/>
      <c r="Q19" s="2"/>
      <c r="R19" s="2"/>
      <c r="S19" s="174">
        <f>sum(N3:N17)/(sum(N3:N17)+sum(S3:S17))</f>
        <v>0.3735849057</v>
      </c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65" t="str">
        <f>'Full Schedule'!M4</f>
        <v>Candice?</v>
      </c>
      <c r="B21" s="2"/>
      <c r="C21" s="2"/>
      <c r="D21" s="2"/>
      <c r="E21" s="2" t="s">
        <v>145</v>
      </c>
      <c r="F21" s="166" t="str">
        <f>if(D39&gt;N39, "Win", if(D39&lt;N39, "Loss", ""))</f>
        <v>Loss</v>
      </c>
      <c r="G21" s="2"/>
      <c r="H21" s="17" t="s">
        <v>146</v>
      </c>
      <c r="I21" s="152">
        <f>D39-N39</f>
        <v>-9</v>
      </c>
      <c r="J21" s="167" t="s">
        <v>184</v>
      </c>
      <c r="K21" s="165" t="str">
        <f>'Full Schedule'!N4</f>
        <v>Team C</v>
      </c>
      <c r="L21" s="2"/>
      <c r="M21" s="2"/>
      <c r="N21" s="2"/>
      <c r="O21" s="17" t="s">
        <v>145</v>
      </c>
      <c r="P21" s="166" t="str">
        <f>if(N39&gt;D39, "Win", if(N39&lt;D39, "Loss", ""))</f>
        <v>Win</v>
      </c>
      <c r="Q21" s="2"/>
      <c r="R21" s="17" t="s">
        <v>146</v>
      </c>
      <c r="S21" s="152">
        <f>N39-D39</f>
        <v>9</v>
      </c>
      <c r="T21" s="2"/>
      <c r="U21" s="2"/>
      <c r="V21" s="2"/>
      <c r="W21" s="2"/>
      <c r="X21" s="2"/>
      <c r="Y21" s="2"/>
      <c r="Z21" s="2"/>
      <c r="AA21" s="2"/>
      <c r="AB21" s="2"/>
    </row>
    <row r="22">
      <c r="A22" s="169" t="s">
        <v>162</v>
      </c>
      <c r="B22" s="170" t="s">
        <v>185</v>
      </c>
      <c r="C22" s="169" t="s">
        <v>186</v>
      </c>
      <c r="D22" s="169" t="s">
        <v>187</v>
      </c>
      <c r="E22" s="169" t="s">
        <v>188</v>
      </c>
      <c r="F22" s="169" t="s">
        <v>189</v>
      </c>
      <c r="G22" s="169" t="s">
        <v>190</v>
      </c>
      <c r="H22" s="169" t="s">
        <v>191</v>
      </c>
      <c r="I22" s="169" t="s">
        <v>170</v>
      </c>
      <c r="J22" s="2"/>
      <c r="K22" s="169" t="s">
        <v>162</v>
      </c>
      <c r="L22" s="170" t="s">
        <v>185</v>
      </c>
      <c r="M22" s="169" t="s">
        <v>186</v>
      </c>
      <c r="N22" s="169" t="s">
        <v>187</v>
      </c>
      <c r="O22" s="169" t="s">
        <v>188</v>
      </c>
      <c r="P22" s="169" t="s">
        <v>189</v>
      </c>
      <c r="Q22" s="169" t="s">
        <v>190</v>
      </c>
      <c r="R22" s="169" t="s">
        <v>191</v>
      </c>
      <c r="S22" s="169" t="s">
        <v>170</v>
      </c>
      <c r="T22" s="2"/>
      <c r="U22" s="2"/>
      <c r="V22" s="2"/>
      <c r="W22" s="2"/>
      <c r="X22" s="2"/>
      <c r="Y22" s="2"/>
      <c r="Z22" s="2"/>
      <c r="AA22" s="2"/>
      <c r="AB22" s="2"/>
    </row>
    <row r="23">
      <c r="A23" s="2" t="str">
        <f t="array" ref="A23">xlookup($A$21, 'General Info'!$F$3:$K$3, 'General Info'!$F4:$K4)</f>
        <v>John</v>
      </c>
      <c r="B23" s="24" t="str">
        <f>F21</f>
        <v>Loss</v>
      </c>
      <c r="C23" s="2"/>
      <c r="D23" s="152">
        <f t="shared" ref="D23:D37" si="3">if(I23&gt;0, sum(E23:H23), "")</f>
        <v>22</v>
      </c>
      <c r="E23" s="24">
        <v>4.0</v>
      </c>
      <c r="F23" s="24">
        <v>5.0</v>
      </c>
      <c r="G23" s="24">
        <v>11.0</v>
      </c>
      <c r="H23" s="24">
        <v>2.0</v>
      </c>
      <c r="I23" s="24">
        <v>19.0</v>
      </c>
      <c r="J23" s="2"/>
      <c r="K23" s="2" t="str">
        <f t="array" ref="K23">xlookup($K$21, 'General Info'!$F$3:$K$3, 'General Info'!$F4:$K4)</f>
        <v>Du</v>
      </c>
      <c r="L23" s="24" t="str">
        <f>P21</f>
        <v>Win</v>
      </c>
      <c r="M23" s="2"/>
      <c r="N23" s="152">
        <f t="shared" ref="N23:N37" si="4">if(S23&gt;0, sum(O23:R23), "")</f>
        <v>12</v>
      </c>
      <c r="O23" s="24">
        <v>4.0</v>
      </c>
      <c r="P23" s="24">
        <v>0.0</v>
      </c>
      <c r="Q23" s="24">
        <v>8.0</v>
      </c>
      <c r="R23" s="24">
        <v>0.0</v>
      </c>
      <c r="S23" s="24">
        <v>22.0</v>
      </c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tr">
        <f t="array" ref="A24">xlookup($A$21, 'General Info'!$F$3:$K$3, 'General Info'!$F5:$K5)</f>
        <v>Cole</v>
      </c>
      <c r="B24" s="24" t="str">
        <f>F21</f>
        <v>Loss</v>
      </c>
      <c r="C24" s="2"/>
      <c r="D24" s="152">
        <f t="shared" si="3"/>
        <v>26</v>
      </c>
      <c r="E24" s="24">
        <v>11.0</v>
      </c>
      <c r="F24" s="24">
        <v>0.0</v>
      </c>
      <c r="G24" s="24">
        <v>12.0</v>
      </c>
      <c r="H24" s="24">
        <v>3.0</v>
      </c>
      <c r="I24" s="24">
        <v>20.0</v>
      </c>
      <c r="J24" s="2"/>
      <c r="K24" s="2" t="str">
        <f t="array" ref="K24">xlookup($K$21, 'General Info'!$F$3:$K$3, 'General Info'!$F5:$K5)</f>
        <v>Neo</v>
      </c>
      <c r="L24" s="24" t="str">
        <f>P21</f>
        <v>Win</v>
      </c>
      <c r="M24" s="2"/>
      <c r="N24" s="152" t="str">
        <f t="shared" si="4"/>
        <v/>
      </c>
      <c r="O24" s="24"/>
      <c r="P24" s="24"/>
      <c r="Q24" s="24"/>
      <c r="R24" s="24"/>
      <c r="S24" s="24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tr">
        <f t="array" ref="A25">xlookup($A$21, 'General Info'!$F$3:$K$3, 'General Info'!$F6:$K6)</f>
        <v>Dannegger</v>
      </c>
      <c r="B25" s="2" t="str">
        <f>F21</f>
        <v>Loss</v>
      </c>
      <c r="C25" s="2"/>
      <c r="D25" s="2">
        <f t="shared" si="3"/>
        <v>8</v>
      </c>
      <c r="E25" s="24">
        <v>4.0</v>
      </c>
      <c r="F25" s="24">
        <v>0.0</v>
      </c>
      <c r="G25" s="24">
        <v>4.0</v>
      </c>
      <c r="H25" s="24">
        <v>0.0</v>
      </c>
      <c r="I25" s="24">
        <v>21.0</v>
      </c>
      <c r="J25" s="2"/>
      <c r="K25" s="2" t="str">
        <f t="array" ref="K25">xlookup($K$21, 'General Info'!$F$3:$K$3, 'General Info'!$F6:$K6)</f>
        <v>Fritz</v>
      </c>
      <c r="L25" s="2" t="str">
        <f>P21</f>
        <v>Win</v>
      </c>
      <c r="M25" s="2"/>
      <c r="N25" s="2">
        <f t="shared" si="4"/>
        <v>17</v>
      </c>
      <c r="O25" s="24">
        <v>11.0</v>
      </c>
      <c r="P25" s="24">
        <v>2.0</v>
      </c>
      <c r="Q25" s="24">
        <v>2.0</v>
      </c>
      <c r="R25" s="24">
        <v>2.0</v>
      </c>
      <c r="S25" s="24">
        <v>20.0</v>
      </c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tr">
        <f t="array" ref="A26">xlookup($A$21, 'General Info'!$F$3:$K$3, 'General Info'!$F7:$K7)</f>
        <v>KZ</v>
      </c>
      <c r="B26" s="24" t="str">
        <f>F21</f>
        <v>Loss</v>
      </c>
      <c r="C26" s="2"/>
      <c r="D26" s="2">
        <f t="shared" si="3"/>
        <v>7</v>
      </c>
      <c r="E26" s="24">
        <v>3.0</v>
      </c>
      <c r="F26" s="24">
        <v>0.0</v>
      </c>
      <c r="G26" s="24">
        <v>4.0</v>
      </c>
      <c r="H26" s="24">
        <v>0.0</v>
      </c>
      <c r="I26" s="24">
        <v>21.0</v>
      </c>
      <c r="J26" s="2"/>
      <c r="K26" s="2" t="str">
        <f t="array" ref="K26">xlookup($K$21, 'General Info'!$F$3:$K$3, 'General Info'!$F7:$K7)</f>
        <v>Eric</v>
      </c>
      <c r="L26" s="24" t="str">
        <f>P21</f>
        <v>Win</v>
      </c>
      <c r="M26" s="2"/>
      <c r="N26" s="2">
        <f t="shared" si="4"/>
        <v>16</v>
      </c>
      <c r="O26" s="24">
        <v>3.0</v>
      </c>
      <c r="P26" s="24">
        <v>0.0</v>
      </c>
      <c r="Q26" s="24">
        <v>11.0</v>
      </c>
      <c r="R26" s="24">
        <v>2.0</v>
      </c>
      <c r="S26" s="24">
        <v>20.0</v>
      </c>
      <c r="T26" s="2"/>
      <c r="U26" s="2"/>
      <c r="V26" s="2"/>
      <c r="W26" s="2"/>
      <c r="X26" s="2"/>
      <c r="Y26" s="2"/>
      <c r="Z26" s="2"/>
      <c r="AA26" s="2"/>
      <c r="AB26" s="2"/>
    </row>
    <row r="27">
      <c r="A27" s="2" t="str">
        <f t="array" ref="A27">xlookup($A$21, 'General Info'!$F$3:$K$3, 'General Info'!$F8:$K8)</f>
        <v>Adi</v>
      </c>
      <c r="B27" s="24" t="str">
        <f>F21</f>
        <v>Loss</v>
      </c>
      <c r="C27" s="2"/>
      <c r="D27" s="2">
        <f t="shared" si="3"/>
        <v>13</v>
      </c>
      <c r="E27" s="24">
        <v>11.0</v>
      </c>
      <c r="F27" s="24">
        <v>1.0</v>
      </c>
      <c r="G27" s="24">
        <v>1.0</v>
      </c>
      <c r="H27" s="24">
        <v>0.0</v>
      </c>
      <c r="I27" s="24">
        <v>22.0</v>
      </c>
      <c r="J27" s="2"/>
      <c r="K27" s="2" t="str">
        <f t="array" ref="K27">xlookup($K$21, 'General Info'!$F$3:$K$3, 'General Info'!$F8:$K8)</f>
        <v>Ilt</v>
      </c>
      <c r="L27" s="24" t="str">
        <f>P21</f>
        <v>Win</v>
      </c>
      <c r="M27" s="2"/>
      <c r="N27" s="2" t="str">
        <f t="shared" si="4"/>
        <v/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 t="str">
        <f t="array" ref="A28">xlookup($A$21, 'General Info'!$F$3:$K$3, 'General Info'!$F9:$K9)</f>
        <v>Gavin</v>
      </c>
      <c r="B28" s="24" t="str">
        <f>F21</f>
        <v>Loss</v>
      </c>
      <c r="C28" s="2"/>
      <c r="D28" s="152" t="str">
        <f t="shared" si="3"/>
        <v/>
      </c>
      <c r="E28" s="24"/>
      <c r="F28" s="24"/>
      <c r="G28" s="24"/>
      <c r="H28" s="24"/>
      <c r="I28" s="24"/>
      <c r="J28" s="2"/>
      <c r="K28" s="2" t="str">
        <f t="array" ref="K28">xlookup($K$21, 'General Info'!$F$3:$K$3, 'General Info'!$F9:$K9)</f>
        <v>Matvey</v>
      </c>
      <c r="L28" s="24" t="str">
        <f>P21</f>
        <v>Win</v>
      </c>
      <c r="M28" s="2"/>
      <c r="N28" s="152">
        <f t="shared" si="4"/>
        <v>11</v>
      </c>
      <c r="O28" s="24">
        <v>6.0</v>
      </c>
      <c r="P28" s="24">
        <v>0.0</v>
      </c>
      <c r="Q28" s="24">
        <v>4.0</v>
      </c>
      <c r="R28" s="24">
        <v>1.0</v>
      </c>
      <c r="S28" s="24">
        <v>22.0</v>
      </c>
      <c r="T28" s="2"/>
      <c r="U28" s="2"/>
      <c r="V28" s="2"/>
      <c r="W28" s="2"/>
      <c r="X28" s="2"/>
      <c r="Y28" s="2"/>
      <c r="Z28" s="2"/>
      <c r="AA28" s="2"/>
      <c r="AB28" s="2"/>
    </row>
    <row r="29">
      <c r="A29" s="2" t="str">
        <f t="array" ref="A29">xlookup($A$21, 'General Info'!$F$3:$K$3, 'General Info'!$F10:$K10)</f>
        <v>David</v>
      </c>
      <c r="B29" s="2" t="str">
        <f>F21</f>
        <v>Loss</v>
      </c>
      <c r="C29" s="2"/>
      <c r="D29" s="2" t="str">
        <f t="shared" si="3"/>
        <v/>
      </c>
      <c r="E29" s="2"/>
      <c r="F29" s="2"/>
      <c r="G29" s="2"/>
      <c r="H29" s="2"/>
      <c r="I29" s="2"/>
      <c r="J29" s="2"/>
      <c r="K29" s="2" t="str">
        <f t="array" ref="K29">xlookup($K$21, 'General Info'!$F$3:$K$3, 'General Info'!$F10:$K10)</f>
        <v>James</v>
      </c>
      <c r="L29" s="2" t="str">
        <f>P21</f>
        <v>Win</v>
      </c>
      <c r="M29" s="2"/>
      <c r="N29" s="2" t="str">
        <f t="shared" si="4"/>
        <v/>
      </c>
      <c r="O29" s="24"/>
      <c r="P29" s="24"/>
      <c r="Q29" s="24"/>
      <c r="R29" s="24"/>
      <c r="S29" s="24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 t="str">
        <f t="array" ref="A30">xlookup($A$21, 'General Info'!$F$3:$K$3, 'General Info'!$F11:$K11)</f>
        <v>Kento</v>
      </c>
      <c r="B30" s="24" t="str">
        <f>F21</f>
        <v>Loss</v>
      </c>
      <c r="C30" s="2"/>
      <c r="D30" s="152">
        <f t="shared" si="3"/>
        <v>15</v>
      </c>
      <c r="E30" s="24">
        <v>3.0</v>
      </c>
      <c r="F30" s="24">
        <v>0.0</v>
      </c>
      <c r="G30" s="24">
        <v>12.0</v>
      </c>
      <c r="H30" s="24">
        <v>0.0</v>
      </c>
      <c r="I30" s="24">
        <v>20.0</v>
      </c>
      <c r="J30" s="2"/>
      <c r="K30" s="2" t="str">
        <f t="array" ref="K30">xlookup($K$21, 'General Info'!$F$3:$K$3, 'General Info'!$F11:$K11)</f>
        <v>Sebastian</v>
      </c>
      <c r="L30" s="24" t="str">
        <f>P21</f>
        <v>Win</v>
      </c>
      <c r="M30" s="2"/>
      <c r="N30" s="152">
        <f t="shared" si="4"/>
        <v>20</v>
      </c>
      <c r="O30" s="24">
        <v>6.0</v>
      </c>
      <c r="P30" s="24">
        <v>0.0</v>
      </c>
      <c r="Q30" s="24">
        <v>10.0</v>
      </c>
      <c r="R30" s="24">
        <v>4.0</v>
      </c>
      <c r="S30" s="24">
        <v>21.0</v>
      </c>
      <c r="T30" s="2"/>
      <c r="U30" s="2"/>
      <c r="V30" s="2"/>
      <c r="W30" s="2"/>
      <c r="X30" s="2"/>
      <c r="Y30" s="2"/>
      <c r="Z30" s="2"/>
      <c r="AA30" s="2"/>
      <c r="AB30" s="2"/>
    </row>
    <row r="31">
      <c r="A31" s="2" t="str">
        <f t="array" ref="A31">xlookup($A$21, 'General Info'!$F$3:$K$3, 'General Info'!$F12:$K12)</f>
        <v>Jacob</v>
      </c>
      <c r="B31" s="2" t="str">
        <f>F21</f>
        <v>Loss</v>
      </c>
      <c r="C31" s="2"/>
      <c r="D31" s="152" t="str">
        <f t="shared" si="3"/>
        <v/>
      </c>
      <c r="E31" s="2"/>
      <c r="F31" s="2"/>
      <c r="G31" s="2"/>
      <c r="H31" s="2"/>
      <c r="I31" s="2"/>
      <c r="J31" s="2"/>
      <c r="K31" s="2" t="str">
        <f t="array" ref="K31">xlookup($K$21, 'General Info'!$F$3:$K$3, 'General Info'!$F12:$K12)</f>
        <v>Erik</v>
      </c>
      <c r="L31" s="2" t="str">
        <f>P21</f>
        <v>Win</v>
      </c>
      <c r="M31" s="2"/>
      <c r="N31" s="152" t="str">
        <f t="shared" si="4"/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 t="str">
        <f t="array" ref="A32">xlookup($A$21, 'General Info'!$F$3:$K$3, 'General Info'!$F13:$K13)</f>
        <v/>
      </c>
      <c r="B32" s="2" t="str">
        <f>F21</f>
        <v>Loss</v>
      </c>
      <c r="C32" s="2"/>
      <c r="D32" s="152" t="str">
        <f t="shared" si="3"/>
        <v/>
      </c>
      <c r="E32" s="2"/>
      <c r="F32" s="2"/>
      <c r="G32" s="2"/>
      <c r="H32" s="2"/>
      <c r="I32" s="2"/>
      <c r="J32" s="2"/>
      <c r="K32" s="2" t="str">
        <f t="array" ref="K32">xlookup($K$21, 'General Info'!$F$3:$K$3, 'General Info'!$F13:$K13)</f>
        <v>Jack</v>
      </c>
      <c r="L32" s="2" t="str">
        <f>P21</f>
        <v>Win</v>
      </c>
      <c r="M32" s="2"/>
      <c r="N32" s="152" t="str">
        <f t="shared" si="4"/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 t="str">
        <f t="array" ref="A33">xlookup($A$21, 'General Info'!$F$3:$K$3, 'General Info'!$F14:$K14)</f>
        <v/>
      </c>
      <c r="B33" s="2" t="str">
        <f>F21</f>
        <v>Loss</v>
      </c>
      <c r="C33" s="2"/>
      <c r="D33" s="2" t="str">
        <f t="shared" si="3"/>
        <v/>
      </c>
      <c r="E33" s="2"/>
      <c r="F33" s="2"/>
      <c r="G33" s="2"/>
      <c r="H33" s="2"/>
      <c r="I33" s="2"/>
      <c r="J33" s="2"/>
      <c r="K33" s="2" t="str">
        <f t="array" ref="K33">xlookup($K$21, 'General Info'!$F$3:$K$3, 'General Info'!$F14:$K14)</f>
        <v/>
      </c>
      <c r="L33" s="2" t="str">
        <f>P21</f>
        <v>Win</v>
      </c>
      <c r="M33" s="2"/>
      <c r="N33" s="2" t="str">
        <f t="shared" si="4"/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 t="str">
        <f t="array" ref="A34">xlookup($A$21, 'General Info'!$F$3:$K$3, 'General Info'!$F15:$K15)</f>
        <v/>
      </c>
      <c r="B34" s="2" t="str">
        <f>F21</f>
        <v>Loss</v>
      </c>
      <c r="C34" s="2"/>
      <c r="D34" s="2" t="str">
        <f t="shared" si="3"/>
        <v/>
      </c>
      <c r="E34" s="2"/>
      <c r="F34" s="2"/>
      <c r="G34" s="2"/>
      <c r="H34" s="2"/>
      <c r="I34" s="2"/>
      <c r="J34" s="2"/>
      <c r="K34" s="2" t="str">
        <f t="array" ref="K34">xlookup($K$21, 'General Info'!$F$3:$K$3, 'General Info'!$F15:$K15)</f>
        <v/>
      </c>
      <c r="L34" s="2" t="str">
        <f>P21</f>
        <v>Win</v>
      </c>
      <c r="M34" s="2"/>
      <c r="N34" s="2" t="str">
        <f t="shared" si="4"/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 t="str">
        <f t="array" ref="A35">xlookup($A$21, 'General Info'!$F$3:$K$3, 'General Info'!$F16:$K16)</f>
        <v/>
      </c>
      <c r="B35" s="2" t="str">
        <f>F21</f>
        <v>Loss</v>
      </c>
      <c r="C35" s="2"/>
      <c r="D35" s="2" t="str">
        <f t="shared" si="3"/>
        <v/>
      </c>
      <c r="E35" s="2"/>
      <c r="F35" s="2"/>
      <c r="G35" s="2"/>
      <c r="H35" s="2"/>
      <c r="I35" s="2"/>
      <c r="J35" s="2"/>
      <c r="K35" s="2" t="str">
        <f t="array" ref="K35">xlookup($K$21, 'General Info'!$F$3:$K$3, 'General Info'!$F16:$K16)</f>
        <v/>
      </c>
      <c r="L35" s="2" t="str">
        <f>P21</f>
        <v>Win</v>
      </c>
      <c r="M35" s="2"/>
      <c r="N35" s="2" t="str">
        <f t="shared" si="4"/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 t="str">
        <f t="array" ref="A36">xlookup($A$21, 'General Info'!$F$3:$K$3, 'General Info'!$F17:$K17)</f>
        <v/>
      </c>
      <c r="B36" s="2" t="str">
        <f>F21</f>
        <v>Loss</v>
      </c>
      <c r="C36" s="2"/>
      <c r="D36" s="2" t="str">
        <f t="shared" si="3"/>
        <v/>
      </c>
      <c r="E36" s="2"/>
      <c r="F36" s="2"/>
      <c r="G36" s="2"/>
      <c r="H36" s="2"/>
      <c r="I36" s="2"/>
      <c r="J36" s="2"/>
      <c r="K36" s="2" t="str">
        <f t="array" ref="K36">xlookup($K$21, 'General Info'!$F$3:$K$3, 'General Info'!$F17:$K17)</f>
        <v/>
      </c>
      <c r="L36" s="2" t="str">
        <f>P21</f>
        <v>Win</v>
      </c>
      <c r="M36" s="2"/>
      <c r="N36" s="2" t="str">
        <f t="shared" si="4"/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 t="str">
        <f t="array" ref="A37">xlookup($A$21, 'General Info'!$F$3:$K$3, 'General Info'!$F18:$K18)</f>
        <v/>
      </c>
      <c r="B37" s="2" t="str">
        <f>F21</f>
        <v>Loss</v>
      </c>
      <c r="C37" s="2"/>
      <c r="D37" s="2" t="str">
        <f t="shared" si="3"/>
        <v/>
      </c>
      <c r="E37" s="2"/>
      <c r="F37" s="2"/>
      <c r="G37" s="2"/>
      <c r="H37" s="2"/>
      <c r="I37" s="2"/>
      <c r="J37" s="2"/>
      <c r="K37" s="2" t="str">
        <f t="array" ref="K37">xlookup($K$21, 'General Info'!$F$3:$K$3, 'General Info'!$F18:$K18)</f>
        <v/>
      </c>
      <c r="L37" s="2" t="str">
        <f>P21</f>
        <v>Win</v>
      </c>
      <c r="M37" s="2"/>
      <c r="N37" s="2" t="str">
        <f t="shared" si="4"/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7" t="s">
        <v>192</v>
      </c>
      <c r="B38" s="2"/>
      <c r="C38" s="6"/>
      <c r="D38" s="182"/>
      <c r="E38" s="6"/>
      <c r="F38" s="6"/>
      <c r="G38" s="6"/>
      <c r="H38" s="6"/>
      <c r="I38" s="6"/>
      <c r="J38" s="2"/>
      <c r="K38" s="17" t="s">
        <v>192</v>
      </c>
      <c r="L38" s="2"/>
      <c r="M38" s="6"/>
      <c r="N38" s="27">
        <v>24.0</v>
      </c>
      <c r="O38" s="6"/>
      <c r="P38" s="6"/>
      <c r="Q38" s="6"/>
      <c r="R38" s="6"/>
      <c r="S38" s="6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1" t="s">
        <v>152</v>
      </c>
      <c r="B39" s="172"/>
      <c r="C39" s="172"/>
      <c r="D39" s="173">
        <f>sum(D23:D38)</f>
        <v>91</v>
      </c>
      <c r="E39" s="2"/>
      <c r="F39" s="2"/>
      <c r="G39" s="2"/>
      <c r="H39" s="2"/>
      <c r="I39" s="174">
        <f>sum(D23:D37)/(sum(D23:D37)+sum(I23:I37))</f>
        <v>0.4252336449</v>
      </c>
      <c r="J39" s="2"/>
      <c r="K39" s="171" t="s">
        <v>152</v>
      </c>
      <c r="L39" s="172"/>
      <c r="M39" s="172"/>
      <c r="N39" s="173">
        <f>sum(N23:N38)</f>
        <v>100</v>
      </c>
      <c r="O39" s="2"/>
      <c r="P39" s="2"/>
      <c r="Q39" s="2"/>
      <c r="R39" s="2"/>
      <c r="S39" s="174">
        <f>sum(N23:N37)/(sum(N23:N37)+sum(S23:S37))</f>
        <v>0.4198895028</v>
      </c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65" t="str">
        <f>'Full Schedule'!M5</f>
        <v>Gargantuan</v>
      </c>
      <c r="B41" s="2"/>
      <c r="C41" s="2"/>
      <c r="D41" s="2"/>
      <c r="E41" s="2" t="s">
        <v>145</v>
      </c>
      <c r="F41" s="166" t="str">
        <f>if(D59&gt;N59, "Win", if(D59&lt;N59, "Loss", ""))</f>
        <v>Win</v>
      </c>
      <c r="G41" s="2"/>
      <c r="H41" s="17" t="s">
        <v>146</v>
      </c>
      <c r="I41" s="152">
        <f>D59-N59</f>
        <v>1</v>
      </c>
      <c r="J41" s="167" t="s">
        <v>184</v>
      </c>
      <c r="K41" s="165" t="str">
        <f>'Full Schedule'!N5</f>
        <v>Team F</v>
      </c>
      <c r="L41" s="2"/>
      <c r="M41" s="2"/>
      <c r="N41" s="2"/>
      <c r="O41" s="17" t="s">
        <v>145</v>
      </c>
      <c r="P41" s="166" t="str">
        <f>if(N59&gt;D59, "Win", if(N59&lt;D59, "Loss", ""))</f>
        <v>Loss</v>
      </c>
      <c r="Q41" s="2"/>
      <c r="R41" s="17" t="s">
        <v>146</v>
      </c>
      <c r="S41" s="152">
        <f>N59-D59</f>
        <v>-1</v>
      </c>
      <c r="T41" s="2"/>
      <c r="U41" s="2"/>
      <c r="V41" s="2"/>
      <c r="W41" s="2"/>
      <c r="X41" s="2"/>
      <c r="Y41" s="2"/>
      <c r="Z41" s="2"/>
      <c r="AA41" s="2"/>
      <c r="AB41" s="2"/>
    </row>
    <row r="42">
      <c r="A42" s="169" t="s">
        <v>162</v>
      </c>
      <c r="B42" s="170" t="s">
        <v>185</v>
      </c>
      <c r="C42" s="169" t="s">
        <v>186</v>
      </c>
      <c r="D42" s="169" t="s">
        <v>187</v>
      </c>
      <c r="E42" s="169" t="s">
        <v>188</v>
      </c>
      <c r="F42" s="169" t="s">
        <v>189</v>
      </c>
      <c r="G42" s="169" t="s">
        <v>190</v>
      </c>
      <c r="H42" s="169" t="s">
        <v>191</v>
      </c>
      <c r="I42" s="169" t="s">
        <v>170</v>
      </c>
      <c r="J42" s="2"/>
      <c r="K42" s="169" t="s">
        <v>162</v>
      </c>
      <c r="L42" s="170" t="s">
        <v>185</v>
      </c>
      <c r="M42" s="169" t="s">
        <v>186</v>
      </c>
      <c r="N42" s="169" t="s">
        <v>187</v>
      </c>
      <c r="O42" s="169" t="s">
        <v>188</v>
      </c>
      <c r="P42" s="169" t="s">
        <v>189</v>
      </c>
      <c r="Q42" s="169" t="s">
        <v>190</v>
      </c>
      <c r="R42" s="169" t="s">
        <v>191</v>
      </c>
      <c r="S42" s="169" t="s">
        <v>170</v>
      </c>
      <c r="T42" s="2"/>
      <c r="U42" s="2"/>
      <c r="V42" s="2"/>
      <c r="W42" s="2"/>
      <c r="X42" s="2"/>
      <c r="Y42" s="2"/>
      <c r="Z42" s="2"/>
      <c r="AA42" s="2"/>
      <c r="AB42" s="2"/>
    </row>
    <row r="43">
      <c r="A43" s="2" t="str">
        <f t="array" ref="A43">xlookup($A$41, 'General Info'!$F$3:$K$3, 'General Info'!$F4:$K4)</f>
        <v>Tyler</v>
      </c>
      <c r="B43" s="24" t="str">
        <f>F41</f>
        <v>Win</v>
      </c>
      <c r="C43" s="24"/>
      <c r="D43" s="152">
        <f t="shared" ref="D43:D57" si="5">if(I43&gt;0, sum(E43:H43), "")</f>
        <v>10</v>
      </c>
      <c r="E43" s="24">
        <v>2.0</v>
      </c>
      <c r="F43" s="24">
        <v>0.0</v>
      </c>
      <c r="G43" s="24">
        <v>7.0</v>
      </c>
      <c r="H43" s="24">
        <v>1.0</v>
      </c>
      <c r="I43" s="24">
        <v>29.0</v>
      </c>
      <c r="J43" s="2"/>
      <c r="K43" s="2" t="str">
        <f t="array" ref="K43">xlookup($K$41, 'General Info'!$F$3:$K$3, 'General Info'!$F4:$K4)</f>
        <v>Jay</v>
      </c>
      <c r="L43" s="24" t="str">
        <f>P41</f>
        <v>Loss</v>
      </c>
      <c r="M43" s="24"/>
      <c r="N43" s="152">
        <f t="shared" ref="N43:N57" si="6">if(S43&gt;0, sum(O43:R43), "")</f>
        <v>12</v>
      </c>
      <c r="O43" s="24">
        <v>5.0</v>
      </c>
      <c r="P43" s="24">
        <v>2.0</v>
      </c>
      <c r="Q43" s="24">
        <v>5.0</v>
      </c>
      <c r="R43" s="24">
        <v>0.0</v>
      </c>
      <c r="S43" s="24">
        <v>28.0</v>
      </c>
      <c r="T43" s="2"/>
      <c r="U43" s="2"/>
      <c r="V43" s="2"/>
      <c r="W43" s="2"/>
      <c r="X43" s="2"/>
      <c r="Y43" s="2"/>
      <c r="Z43" s="2"/>
      <c r="AA43" s="2"/>
      <c r="AB43" s="2"/>
    </row>
    <row r="44">
      <c r="A44" s="2" t="str">
        <f t="array" ref="A44">xlookup($A$41, 'General Info'!$F$3:$K$3, 'General Info'!$F5:$K5)</f>
        <v>Lucas</v>
      </c>
      <c r="B44" s="24" t="str">
        <f>F41</f>
        <v>Win</v>
      </c>
      <c r="C44" s="24"/>
      <c r="D44" s="152">
        <f t="shared" si="5"/>
        <v>22</v>
      </c>
      <c r="E44" s="24">
        <v>13.0</v>
      </c>
      <c r="F44" s="24">
        <v>3.0</v>
      </c>
      <c r="G44" s="24">
        <v>4.0</v>
      </c>
      <c r="H44" s="24">
        <v>2.0</v>
      </c>
      <c r="I44" s="24">
        <v>28.0</v>
      </c>
      <c r="J44" s="2"/>
      <c r="K44" s="2" t="str">
        <f t="array" ref="K44">xlookup($K$41, 'General Info'!$F$3:$K$3, 'General Info'!$F5:$K5)</f>
        <v>Schmid</v>
      </c>
      <c r="L44" s="24" t="str">
        <f>P41</f>
        <v>Loss</v>
      </c>
      <c r="M44" s="24"/>
      <c r="N44" s="152" t="str">
        <f t="shared" si="6"/>
        <v/>
      </c>
      <c r="O44" s="24"/>
      <c r="P44" s="24"/>
      <c r="Q44" s="24"/>
      <c r="R44" s="24"/>
      <c r="S44" s="24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 t="str">
        <f t="array" ref="A45">xlookup($A$41, 'General Info'!$F$3:$K$3, 'General Info'!$F6:$K6)</f>
        <v>Porco</v>
      </c>
      <c r="B45" s="2" t="str">
        <f>F41</f>
        <v>Win</v>
      </c>
      <c r="C45" s="24"/>
      <c r="D45" s="152" t="str">
        <f t="shared" si="5"/>
        <v/>
      </c>
      <c r="E45" s="24"/>
      <c r="F45" s="24"/>
      <c r="G45" s="24"/>
      <c r="H45" s="24"/>
      <c r="I45" s="24"/>
      <c r="J45" s="2"/>
      <c r="K45" s="2" t="str">
        <f t="array" ref="K45">xlookup($K$41, 'General Info'!$F$3:$K$3, 'General Info'!$F6:$K6)</f>
        <v>DC</v>
      </c>
      <c r="L45" s="2" t="str">
        <f>P41</f>
        <v>Loss</v>
      </c>
      <c r="M45" s="2"/>
      <c r="N45" s="152">
        <f t="shared" si="6"/>
        <v>22</v>
      </c>
      <c r="O45" s="24">
        <v>6.0</v>
      </c>
      <c r="P45" s="24">
        <v>0.0</v>
      </c>
      <c r="Q45" s="24">
        <v>12.0</v>
      </c>
      <c r="R45" s="24">
        <v>4.0</v>
      </c>
      <c r="S45" s="24">
        <v>24.0</v>
      </c>
      <c r="T45" s="2"/>
      <c r="U45" s="2"/>
      <c r="V45" s="2"/>
      <c r="W45" s="2"/>
      <c r="X45" s="2"/>
      <c r="Y45" s="2"/>
      <c r="Z45" s="2"/>
      <c r="AA45" s="2"/>
      <c r="AB45" s="2"/>
    </row>
    <row r="46">
      <c r="A46" s="2" t="str">
        <f t="array" ref="A46">xlookup($A$41, 'General Info'!$F$3:$K$3, 'General Info'!$F7:$K7)</f>
        <v>Andy Yu</v>
      </c>
      <c r="B46" s="24" t="str">
        <f>F41</f>
        <v>Win</v>
      </c>
      <c r="C46" s="24"/>
      <c r="D46" s="152">
        <f t="shared" si="5"/>
        <v>15</v>
      </c>
      <c r="E46" s="24">
        <v>5.0</v>
      </c>
      <c r="F46" s="24">
        <v>1.0</v>
      </c>
      <c r="G46" s="24">
        <v>7.0</v>
      </c>
      <c r="H46" s="24">
        <v>2.0</v>
      </c>
      <c r="I46" s="24">
        <v>27.0</v>
      </c>
      <c r="J46" s="2"/>
      <c r="K46" s="2" t="str">
        <f t="array" ref="K46">xlookup($K$41, 'General Info'!$F$3:$K$3, 'General Info'!$F7:$K7)</f>
        <v>Steven</v>
      </c>
      <c r="L46" s="24" t="str">
        <f>P41</f>
        <v>Loss</v>
      </c>
      <c r="M46" s="24"/>
      <c r="N46" s="152">
        <f t="shared" si="6"/>
        <v>15</v>
      </c>
      <c r="O46" s="24">
        <v>7.0</v>
      </c>
      <c r="P46" s="24">
        <v>1.0</v>
      </c>
      <c r="Q46" s="24">
        <v>7.0</v>
      </c>
      <c r="R46" s="24">
        <v>0.0</v>
      </c>
      <c r="S46" s="24">
        <v>28.0</v>
      </c>
      <c r="T46" s="2"/>
      <c r="U46" s="2"/>
      <c r="V46" s="2"/>
      <c r="W46" s="2"/>
      <c r="X46" s="2"/>
      <c r="Y46" s="2"/>
      <c r="Z46" s="2"/>
      <c r="AA46" s="2"/>
      <c r="AB46" s="2"/>
    </row>
    <row r="47">
      <c r="A47" s="2" t="str">
        <f t="array" ref="A47">xlookup($A$41, 'General Info'!$F$3:$K$3, 'General Info'!$F8:$K8)</f>
        <v>Dli</v>
      </c>
      <c r="B47" s="24" t="str">
        <f>F41</f>
        <v>Win</v>
      </c>
      <c r="C47" s="24"/>
      <c r="D47" s="152">
        <f t="shared" si="5"/>
        <v>13</v>
      </c>
      <c r="E47" s="24">
        <v>4.0</v>
      </c>
      <c r="F47" s="24">
        <v>0.0</v>
      </c>
      <c r="G47" s="24">
        <v>9.0</v>
      </c>
      <c r="H47" s="24">
        <v>0.0</v>
      </c>
      <c r="I47" s="24">
        <v>29.0</v>
      </c>
      <c r="J47" s="2"/>
      <c r="K47" s="2" t="str">
        <f t="array" ref="K47">xlookup($K$41, 'General Info'!$F$3:$K$3, 'General Info'!$F8:$K8)</f>
        <v>Dave</v>
      </c>
      <c r="L47" s="24" t="str">
        <f>P41</f>
        <v>Loss</v>
      </c>
      <c r="M47" s="2"/>
      <c r="N47" s="152">
        <f t="shared" si="6"/>
        <v>15</v>
      </c>
      <c r="O47" s="24">
        <v>11.0</v>
      </c>
      <c r="P47" s="24">
        <v>1.0</v>
      </c>
      <c r="Q47" s="24">
        <v>2.0</v>
      </c>
      <c r="R47" s="24">
        <v>1.0</v>
      </c>
      <c r="S47" s="24">
        <v>28.0</v>
      </c>
      <c r="T47" s="2"/>
      <c r="U47" s="2"/>
      <c r="V47" s="2"/>
      <c r="W47" s="2"/>
      <c r="X47" s="2"/>
      <c r="Y47" s="2"/>
      <c r="Z47" s="2"/>
      <c r="AA47" s="2"/>
      <c r="AB47" s="2"/>
    </row>
    <row r="48">
      <c r="A48" s="2" t="str">
        <f t="array" ref="A48">xlookup($A$41, 'General Info'!$F$3:$K$3, 'General Info'!$F9:$K9)</f>
        <v>Somil</v>
      </c>
      <c r="B48" s="24" t="str">
        <f>F41</f>
        <v>Win</v>
      </c>
      <c r="C48" s="24"/>
      <c r="D48" s="2" t="str">
        <f t="shared" si="5"/>
        <v/>
      </c>
      <c r="E48" s="24"/>
      <c r="F48" s="24"/>
      <c r="G48" s="24"/>
      <c r="H48" s="24"/>
      <c r="I48" s="24"/>
      <c r="J48" s="2"/>
      <c r="K48" s="2" t="str">
        <f t="array" ref="K48">xlookup($K$41, 'General Info'!$F$3:$K$3, 'General Info'!$F9:$K9)</f>
        <v>Lulu</v>
      </c>
      <c r="L48" s="24" t="str">
        <f>P41</f>
        <v>Loss</v>
      </c>
      <c r="M48" s="24"/>
      <c r="N48" s="2" t="str">
        <f t="shared" si="6"/>
        <v/>
      </c>
      <c r="O48" s="24"/>
      <c r="P48" s="24"/>
      <c r="Q48" s="24"/>
      <c r="R48" s="24"/>
      <c r="S48" s="24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 t="str">
        <f t="array" ref="A49">xlookup($A$41, 'General Info'!$F$3:$K$3, 'General Info'!$F10:$K10)</f>
        <v>VIshal</v>
      </c>
      <c r="B49" s="2" t="str">
        <f>F41</f>
        <v>Win</v>
      </c>
      <c r="C49" s="2"/>
      <c r="D49" s="2">
        <f t="shared" si="5"/>
        <v>19</v>
      </c>
      <c r="E49" s="24">
        <v>4.0</v>
      </c>
      <c r="F49" s="24">
        <v>0.0</v>
      </c>
      <c r="G49" s="24">
        <v>12.0</v>
      </c>
      <c r="H49" s="24">
        <v>3.0</v>
      </c>
      <c r="I49" s="24">
        <v>27.0</v>
      </c>
      <c r="J49" s="2"/>
      <c r="K49" s="2" t="str">
        <f t="array" ref="K49">xlookup($K$41, 'General Info'!$F$3:$K$3, 'General Info'!$F10:$K10)</f>
        <v>Will</v>
      </c>
      <c r="L49" s="2" t="str">
        <f>P41</f>
        <v>Loss</v>
      </c>
      <c r="M49" s="24"/>
      <c r="N49" s="2">
        <f t="shared" si="6"/>
        <v>13</v>
      </c>
      <c r="O49" s="24">
        <v>5.0</v>
      </c>
      <c r="P49" s="24">
        <v>1.0</v>
      </c>
      <c r="Q49" s="24">
        <v>7.0</v>
      </c>
      <c r="R49" s="24">
        <v>0.0</v>
      </c>
      <c r="S49" s="24">
        <v>28.0</v>
      </c>
      <c r="T49" s="2"/>
      <c r="U49" s="2"/>
      <c r="V49" s="2"/>
      <c r="W49" s="2"/>
      <c r="X49" s="2"/>
      <c r="Y49" s="2"/>
      <c r="Z49" s="2"/>
      <c r="AA49" s="2"/>
      <c r="AB49" s="2"/>
    </row>
    <row r="50">
      <c r="A50" s="2" t="str">
        <f t="array" ref="A50">xlookup($A$41, 'General Info'!$F$3:$K$3, 'General Info'!$F11:$K11)</f>
        <v>Sam</v>
      </c>
      <c r="B50" s="24" t="str">
        <f>F41</f>
        <v>Win</v>
      </c>
      <c r="C50" s="2"/>
      <c r="D50" s="152">
        <f t="shared" si="5"/>
        <v>21</v>
      </c>
      <c r="E50" s="24">
        <v>10.0</v>
      </c>
      <c r="F50" s="24">
        <v>2.0</v>
      </c>
      <c r="G50" s="24">
        <v>5.0</v>
      </c>
      <c r="H50" s="24">
        <v>4.0</v>
      </c>
      <c r="I50" s="24">
        <v>26.0</v>
      </c>
      <c r="J50" s="2"/>
      <c r="K50" s="2" t="str">
        <f t="array" ref="K50">xlookup($K$41, 'General Info'!$F$3:$K$3, 'General Info'!$F11:$K11)</f>
        <v>Hershey</v>
      </c>
      <c r="L50" s="24" t="str">
        <f>P41</f>
        <v>Loss</v>
      </c>
      <c r="M50" s="24"/>
      <c r="N50" s="152">
        <f t="shared" si="6"/>
        <v>20</v>
      </c>
      <c r="O50" s="24">
        <v>5.0</v>
      </c>
      <c r="P50" s="24">
        <v>0.0</v>
      </c>
      <c r="Q50" s="24">
        <v>15.0</v>
      </c>
      <c r="R50" s="24">
        <v>0.0</v>
      </c>
      <c r="S50" s="24">
        <v>26.0</v>
      </c>
      <c r="T50" s="2"/>
      <c r="U50" s="2"/>
      <c r="V50" s="2"/>
      <c r="W50" s="2"/>
      <c r="X50" s="2"/>
      <c r="Y50" s="2"/>
      <c r="Z50" s="2"/>
      <c r="AA50" s="2"/>
      <c r="AB50" s="2"/>
    </row>
    <row r="51">
      <c r="A51" s="2" t="str">
        <f t="array" ref="A51">xlookup($A$41, 'General Info'!$F$3:$K$3, 'General Info'!$F12:$K12)</f>
        <v>Charlie</v>
      </c>
      <c r="B51" s="2" t="str">
        <f>F41</f>
        <v>Win</v>
      </c>
      <c r="C51" s="2"/>
      <c r="D51" s="2" t="str">
        <f t="shared" si="5"/>
        <v/>
      </c>
      <c r="E51" s="2"/>
      <c r="F51" s="2"/>
      <c r="G51" s="2"/>
      <c r="H51" s="2"/>
      <c r="I51" s="2"/>
      <c r="J51" s="2"/>
      <c r="K51" s="2" t="str">
        <f t="array" ref="K51">xlookup($K$41, 'General Info'!$F$3:$K$3, 'General Info'!$F12:$K12)</f>
        <v>Byun</v>
      </c>
      <c r="L51" s="2" t="str">
        <f>P41</f>
        <v>Loss</v>
      </c>
      <c r="M51" s="2"/>
      <c r="N51" s="2" t="str">
        <f t="shared" si="6"/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 t="str">
        <f t="array" ref="A52">xlookup($A$41, 'General Info'!$F$3:$K$3, 'General Info'!$F13:$K13)</f>
        <v>Daniel</v>
      </c>
      <c r="B52" s="2" t="str">
        <f>F41</f>
        <v>Win</v>
      </c>
      <c r="C52" s="2"/>
      <c r="D52" s="2" t="str">
        <f t="shared" si="5"/>
        <v/>
      </c>
      <c r="E52" s="2"/>
      <c r="F52" s="2"/>
      <c r="G52" s="2"/>
      <c r="H52" s="2"/>
      <c r="I52" s="2"/>
      <c r="J52" s="2"/>
      <c r="K52" s="2" t="str">
        <f t="array" ref="K52">xlookup($K$41, 'General Info'!$F$3:$K$3, 'General Info'!$F13:$K13)</f>
        <v>Ted</v>
      </c>
      <c r="L52" s="2" t="str">
        <f>P41</f>
        <v>Loss</v>
      </c>
      <c r="M52" s="2"/>
      <c r="N52" s="2" t="str">
        <f t="shared" si="6"/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 t="str">
        <f t="array" ref="A53">xlookup($A$41, 'General Info'!$F$3:$K$3, 'General Info'!$F14:$K14)</f>
        <v/>
      </c>
      <c r="B53" s="2" t="str">
        <f>F41</f>
        <v>Win</v>
      </c>
      <c r="C53" s="2"/>
      <c r="D53" s="2" t="str">
        <f t="shared" si="5"/>
        <v/>
      </c>
      <c r="E53" s="2"/>
      <c r="F53" s="2"/>
      <c r="G53" s="2"/>
      <c r="H53" s="2"/>
      <c r="I53" s="2"/>
      <c r="J53" s="2"/>
      <c r="K53" s="2" t="str">
        <f t="array" ref="K53">xlookup($K$41, 'General Info'!$F$3:$K$3, 'General Info'!$F14:$K14)</f>
        <v>Gio</v>
      </c>
      <c r="L53" s="2" t="str">
        <f>P41</f>
        <v>Loss</v>
      </c>
      <c r="M53" s="2"/>
      <c r="N53" s="2" t="str">
        <f t="shared" si="6"/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 t="str">
        <f t="array" ref="A54">xlookup($A$41, 'General Info'!$F$3:$K$3, 'General Info'!$F15:$K15)</f>
        <v/>
      </c>
      <c r="B54" s="2" t="str">
        <f>F41</f>
        <v>Win</v>
      </c>
      <c r="C54" s="2"/>
      <c r="D54" s="2" t="str">
        <f t="shared" si="5"/>
        <v/>
      </c>
      <c r="E54" s="2"/>
      <c r="F54" s="2"/>
      <c r="G54" s="2"/>
      <c r="H54" s="2"/>
      <c r="I54" s="2"/>
      <c r="J54" s="2"/>
      <c r="K54" s="2" t="str">
        <f t="array" ref="K54">xlookup($K$41, 'General Info'!$F$3:$K$3, 'General Info'!$F15:$K15)</f>
        <v/>
      </c>
      <c r="L54" s="2" t="str">
        <f>P41</f>
        <v>Loss</v>
      </c>
      <c r="M54" s="2"/>
      <c r="N54" s="2" t="str">
        <f t="shared" si="6"/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 t="str">
        <f t="array" ref="A55">xlookup($A$41, 'General Info'!$F$3:$K$3, 'General Info'!$F16:$K16)</f>
        <v/>
      </c>
      <c r="B55" s="2" t="str">
        <f>F41</f>
        <v>Win</v>
      </c>
      <c r="C55" s="2"/>
      <c r="D55" s="2" t="str">
        <f t="shared" si="5"/>
        <v/>
      </c>
      <c r="E55" s="2"/>
      <c r="F55" s="2"/>
      <c r="G55" s="2"/>
      <c r="H55" s="2"/>
      <c r="I55" s="2"/>
      <c r="J55" s="2"/>
      <c r="K55" s="2" t="str">
        <f t="array" ref="K55">xlookup($K$41, 'General Info'!$F$3:$K$3, 'General Info'!$F16:$K16)</f>
        <v/>
      </c>
      <c r="L55" s="2" t="str">
        <f>P41</f>
        <v>Loss</v>
      </c>
      <c r="M55" s="2"/>
      <c r="N55" s="2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 t="str">
        <f t="array" ref="A56">xlookup($A$41, 'General Info'!$F$3:$K$3, 'General Info'!$F17:$K17)</f>
        <v/>
      </c>
      <c r="B56" s="2" t="str">
        <f>F41</f>
        <v>Win</v>
      </c>
      <c r="C56" s="2"/>
      <c r="D56" s="2" t="str">
        <f t="shared" si="5"/>
        <v/>
      </c>
      <c r="E56" s="2"/>
      <c r="F56" s="2"/>
      <c r="G56" s="2"/>
      <c r="H56" s="2"/>
      <c r="I56" s="2"/>
      <c r="J56" s="2"/>
      <c r="K56" s="2" t="str">
        <f t="array" ref="K56">xlookup($K$41, 'General Info'!$F$3:$K$3, 'General Info'!$F17:$K17)</f>
        <v/>
      </c>
      <c r="L56" s="2" t="str">
        <f>P41</f>
        <v>Loss</v>
      </c>
      <c r="M56" s="2"/>
      <c r="N56" s="2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 t="str">
        <f t="array" ref="A57">xlookup($A$41, 'General Info'!$F$3:$K$3, 'General Info'!$F18:$K18)</f>
        <v/>
      </c>
      <c r="B57" s="2" t="str">
        <f>F41</f>
        <v>Win</v>
      </c>
      <c r="C57" s="2"/>
      <c r="D57" s="2" t="str">
        <f t="shared" si="5"/>
        <v/>
      </c>
      <c r="E57" s="2"/>
      <c r="F57" s="2"/>
      <c r="G57" s="2"/>
      <c r="H57" s="2"/>
      <c r="I57" s="2"/>
      <c r="J57" s="2"/>
      <c r="K57" s="2" t="str">
        <f t="array" ref="K57">xlookup($K$41, 'General Info'!$F$3:$K$3, 'General Info'!$F18:$K18)</f>
        <v/>
      </c>
      <c r="L57" s="2" t="str">
        <f>P41</f>
        <v>Loss</v>
      </c>
      <c r="M57" s="2"/>
      <c r="N57" s="2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7" t="s">
        <v>192</v>
      </c>
      <c r="B58" s="2"/>
      <c r="C58" s="6"/>
      <c r="D58" s="182"/>
      <c r="E58" s="6"/>
      <c r="F58" s="6"/>
      <c r="G58" s="6"/>
      <c r="H58" s="6"/>
      <c r="I58" s="6"/>
      <c r="J58" s="2"/>
      <c r="K58" s="17" t="s">
        <v>192</v>
      </c>
      <c r="L58" s="2"/>
      <c r="M58" s="6"/>
      <c r="N58" s="27">
        <v>2.0</v>
      </c>
      <c r="O58" s="6"/>
      <c r="P58" s="6"/>
      <c r="Q58" s="6"/>
      <c r="R58" s="6"/>
      <c r="S58" s="6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71" t="s">
        <v>152</v>
      </c>
      <c r="B59" s="172"/>
      <c r="C59" s="172"/>
      <c r="D59" s="173">
        <f>sum(D43:D58)</f>
        <v>100</v>
      </c>
      <c r="E59" s="2"/>
      <c r="F59" s="2"/>
      <c r="G59" s="2"/>
      <c r="H59" s="2"/>
      <c r="I59" s="174">
        <f>sum(D43:D57)/(sum(D43:D57)+sum(I43:I57))</f>
        <v>0.3759398496</v>
      </c>
      <c r="J59" s="2"/>
      <c r="K59" s="171" t="s">
        <v>152</v>
      </c>
      <c r="L59" s="172"/>
      <c r="M59" s="172"/>
      <c r="N59" s="173">
        <f>sum(N43:N58)</f>
        <v>99</v>
      </c>
      <c r="O59" s="2"/>
      <c r="P59" s="2"/>
      <c r="Q59" s="2"/>
      <c r="R59" s="2"/>
      <c r="S59" s="174">
        <f>sum(N43:N57)/(sum(N43:N57)+sum(S43:S57))</f>
        <v>0.3745173745</v>
      </c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idden="1">
      <c r="A61" s="176" t="str">
        <f t="shared" ref="A61:A129" si="9">K1</f>
        <v>Migos</v>
      </c>
      <c r="B61" s="2"/>
      <c r="C61" s="2" t="str">
        <f t="shared" ref="C61:K61" si="7">M1</f>
        <v/>
      </c>
      <c r="D61" s="2" t="str">
        <f t="shared" si="7"/>
        <v/>
      </c>
      <c r="E61" s="176" t="str">
        <f t="shared" si="7"/>
        <v>Result</v>
      </c>
      <c r="F61" s="177" t="str">
        <f t="shared" si="7"/>
        <v>Win</v>
      </c>
      <c r="G61" s="2" t="str">
        <f t="shared" si="7"/>
        <v/>
      </c>
      <c r="H61" s="176" t="str">
        <f t="shared" si="7"/>
        <v>Margin</v>
      </c>
      <c r="I61" s="129">
        <f t="shared" si="7"/>
        <v>3</v>
      </c>
      <c r="J61" s="2" t="str">
        <f t="shared" si="7"/>
        <v/>
      </c>
      <c r="K61" s="2" t="str">
        <f t="shared" si="7"/>
        <v/>
      </c>
      <c r="L61" s="2"/>
      <c r="M61" s="2" t="str">
        <f t="shared" ref="M61:M129" si="11">V1</f>
        <v/>
      </c>
      <c r="N61" s="2" t="str">
        <f t="shared" ref="N61:N129" si="12">X1</f>
        <v/>
      </c>
      <c r="O61" s="2" t="str">
        <f t="shared" ref="O61:T61" si="8">X1</f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 t="str">
        <f t="shared" si="8"/>
        <v/>
      </c>
      <c r="T61" s="2" t="str">
        <f t="shared" si="8"/>
        <v/>
      </c>
      <c r="U61" s="2"/>
      <c r="V61" s="2"/>
      <c r="W61" s="2"/>
      <c r="X61" s="2"/>
      <c r="Y61" s="2"/>
      <c r="Z61" s="2"/>
      <c r="AA61" s="2"/>
      <c r="AB61" s="2"/>
    </row>
    <row r="62" hidden="1">
      <c r="A62" s="176" t="str">
        <f t="shared" si="9"/>
        <v>Name</v>
      </c>
      <c r="B62" s="176"/>
      <c r="C62" s="176" t="str">
        <f t="shared" ref="C62:K62" si="10">M2</f>
        <v>Shot Order</v>
      </c>
      <c r="D62" s="176" t="str">
        <f t="shared" si="10"/>
        <v>Total Cups</v>
      </c>
      <c r="E62" s="176" t="str">
        <f t="shared" si="10"/>
        <v>Tops</v>
      </c>
      <c r="F62" s="176" t="str">
        <f t="shared" si="10"/>
        <v>Top Isos</v>
      </c>
      <c r="G62" s="176" t="str">
        <f t="shared" si="10"/>
        <v>Bottoms</v>
      </c>
      <c r="H62" s="176" t="str">
        <f t="shared" si="10"/>
        <v>Bottom Isos</v>
      </c>
      <c r="I62" s="176" t="str">
        <f t="shared" si="10"/>
        <v>Misses</v>
      </c>
      <c r="J62" s="2" t="str">
        <f t="shared" si="10"/>
        <v/>
      </c>
      <c r="K62" s="2" t="str">
        <f t="shared" si="10"/>
        <v/>
      </c>
      <c r="L62" s="176"/>
      <c r="M62" s="2" t="str">
        <f t="shared" si="11"/>
        <v/>
      </c>
      <c r="N62" s="176" t="str">
        <f t="shared" si="12"/>
        <v/>
      </c>
      <c r="O62" s="2" t="str">
        <f t="shared" ref="O62:S62" si="13">X2</f>
        <v/>
      </c>
      <c r="P62" s="2" t="str">
        <f t="shared" si="13"/>
        <v/>
      </c>
      <c r="Q62" s="2" t="str">
        <f t="shared" si="13"/>
        <v/>
      </c>
      <c r="R62" s="2" t="str">
        <f t="shared" si="13"/>
        <v/>
      </c>
      <c r="S62" s="2" t="str">
        <f t="shared" si="13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hidden="1">
      <c r="A63" s="176" t="str">
        <f t="shared" si="9"/>
        <v>Arnav</v>
      </c>
      <c r="B63" s="178" t="str">
        <f t="shared" ref="B63:K63" si="14">L3</f>
        <v>Win</v>
      </c>
      <c r="C63" s="2">
        <f t="shared" si="14"/>
        <v>6</v>
      </c>
      <c r="D63" s="152">
        <f t="shared" si="14"/>
        <v>24</v>
      </c>
      <c r="E63" s="2">
        <f t="shared" si="14"/>
        <v>7</v>
      </c>
      <c r="F63" s="2">
        <f t="shared" si="14"/>
        <v>7</v>
      </c>
      <c r="G63" s="2">
        <f t="shared" si="14"/>
        <v>9</v>
      </c>
      <c r="H63" s="2">
        <f t="shared" si="14"/>
        <v>1</v>
      </c>
      <c r="I63" s="2">
        <f t="shared" si="14"/>
        <v>22</v>
      </c>
      <c r="J63" s="2" t="str">
        <f t="shared" si="14"/>
        <v/>
      </c>
      <c r="K63" s="2" t="str">
        <f t="shared" si="14"/>
        <v/>
      </c>
      <c r="L63" s="2"/>
      <c r="M63" s="2" t="str">
        <f t="shared" si="11"/>
        <v/>
      </c>
      <c r="N63" s="152" t="str">
        <f t="shared" si="12"/>
        <v/>
      </c>
      <c r="O63" s="2" t="str">
        <f t="shared" ref="O63:S63" si="15">X3</f>
        <v/>
      </c>
      <c r="P63" s="2" t="str">
        <f t="shared" si="15"/>
        <v/>
      </c>
      <c r="Q63" s="2" t="str">
        <f t="shared" si="15"/>
        <v/>
      </c>
      <c r="R63" s="2" t="str">
        <f t="shared" si="15"/>
        <v/>
      </c>
      <c r="S63" s="2" t="str">
        <f t="shared" si="15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hidden="1">
      <c r="A64" s="2" t="str">
        <f t="shared" si="9"/>
        <v>Brendan</v>
      </c>
      <c r="B64" s="178" t="str">
        <f t="shared" ref="B64:K64" si="16">L4</f>
        <v>Win</v>
      </c>
      <c r="C64" s="2">
        <f t="shared" si="16"/>
        <v>1</v>
      </c>
      <c r="D64" s="152">
        <f t="shared" si="16"/>
        <v>13</v>
      </c>
      <c r="E64" s="2">
        <f t="shared" si="16"/>
        <v>6</v>
      </c>
      <c r="F64" s="2">
        <f t="shared" si="16"/>
        <v>1</v>
      </c>
      <c r="G64" s="2">
        <f t="shared" si="16"/>
        <v>3</v>
      </c>
      <c r="H64" s="2">
        <f t="shared" si="16"/>
        <v>3</v>
      </c>
      <c r="I64" s="2">
        <f t="shared" si="16"/>
        <v>29</v>
      </c>
      <c r="J64" s="2" t="str">
        <f t="shared" si="16"/>
        <v/>
      </c>
      <c r="K64" s="2" t="str">
        <f t="shared" si="16"/>
        <v/>
      </c>
      <c r="L64" s="2" t="str">
        <f t="shared" ref="L64:L175" si="19">W4</f>
        <v/>
      </c>
      <c r="M64" s="2" t="str">
        <f t="shared" si="11"/>
        <v/>
      </c>
      <c r="N64" s="152" t="str">
        <f t="shared" si="12"/>
        <v/>
      </c>
      <c r="O64" s="2" t="str">
        <f t="shared" ref="O64:S64" si="17">X4</f>
        <v/>
      </c>
      <c r="P64" s="2" t="str">
        <f t="shared" si="17"/>
        <v/>
      </c>
      <c r="Q64" s="2" t="str">
        <f t="shared" si="17"/>
        <v/>
      </c>
      <c r="R64" s="2" t="str">
        <f t="shared" si="17"/>
        <v/>
      </c>
      <c r="S64" s="2" t="str">
        <f t="shared" si="17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hidden="1">
      <c r="A65" s="176" t="str">
        <f t="shared" si="9"/>
        <v>Kumbatovic</v>
      </c>
      <c r="B65" s="178" t="str">
        <f t="shared" ref="B65:K65" si="18">L5</f>
        <v>Win</v>
      </c>
      <c r="C65" s="2" t="str">
        <f t="shared" si="18"/>
        <v/>
      </c>
      <c r="D65" s="152" t="str">
        <f t="shared" si="18"/>
        <v/>
      </c>
      <c r="E65" s="2" t="str">
        <f t="shared" si="18"/>
        <v/>
      </c>
      <c r="F65" s="2" t="str">
        <f t="shared" si="18"/>
        <v/>
      </c>
      <c r="G65" s="2" t="str">
        <f t="shared" si="18"/>
        <v/>
      </c>
      <c r="H65" s="2" t="str">
        <f t="shared" si="18"/>
        <v/>
      </c>
      <c r="I65" s="2" t="str">
        <f t="shared" si="18"/>
        <v/>
      </c>
      <c r="J65" s="2" t="str">
        <f t="shared" si="18"/>
        <v/>
      </c>
      <c r="K65" s="2" t="str">
        <f t="shared" si="18"/>
        <v/>
      </c>
      <c r="L65" s="2" t="str">
        <f t="shared" si="19"/>
        <v/>
      </c>
      <c r="M65" s="2" t="str">
        <f t="shared" si="11"/>
        <v/>
      </c>
      <c r="N65" s="152" t="str">
        <f t="shared" si="12"/>
        <v/>
      </c>
      <c r="O65" s="2" t="str">
        <f t="shared" ref="O65:S65" si="20">X5</f>
        <v/>
      </c>
      <c r="P65" s="2" t="str">
        <f t="shared" si="20"/>
        <v/>
      </c>
      <c r="Q65" s="2" t="str">
        <f t="shared" si="20"/>
        <v/>
      </c>
      <c r="R65" s="2" t="str">
        <f t="shared" si="20"/>
        <v/>
      </c>
      <c r="S65" s="2" t="str">
        <f t="shared" si="20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hidden="1">
      <c r="A66" s="2" t="str">
        <f t="shared" si="9"/>
        <v>Paul</v>
      </c>
      <c r="B66" s="178" t="str">
        <f t="shared" ref="B66:K66" si="21">L6</f>
        <v>Win</v>
      </c>
      <c r="C66" s="2">
        <f t="shared" si="21"/>
        <v>2</v>
      </c>
      <c r="D66" s="152">
        <f t="shared" si="21"/>
        <v>12</v>
      </c>
      <c r="E66" s="2">
        <f t="shared" si="21"/>
        <v>4</v>
      </c>
      <c r="F66" s="2">
        <f t="shared" si="21"/>
        <v>1</v>
      </c>
      <c r="G66" s="2">
        <f t="shared" si="21"/>
        <v>6</v>
      </c>
      <c r="H66" s="2">
        <f t="shared" si="21"/>
        <v>1</v>
      </c>
      <c r="I66" s="2">
        <f t="shared" si="21"/>
        <v>30</v>
      </c>
      <c r="J66" s="2" t="str">
        <f t="shared" si="21"/>
        <v/>
      </c>
      <c r="K66" s="2" t="str">
        <f t="shared" si="21"/>
        <v/>
      </c>
      <c r="L66" s="2" t="str">
        <f t="shared" si="19"/>
        <v/>
      </c>
      <c r="M66" s="2" t="str">
        <f t="shared" si="11"/>
        <v/>
      </c>
      <c r="N66" s="152" t="str">
        <f t="shared" si="12"/>
        <v/>
      </c>
      <c r="O66" s="2" t="str">
        <f t="shared" ref="O66:S66" si="22">X6</f>
        <v/>
      </c>
      <c r="P66" s="2" t="str">
        <f t="shared" si="22"/>
        <v/>
      </c>
      <c r="Q66" s="2" t="str">
        <f t="shared" si="22"/>
        <v/>
      </c>
      <c r="R66" s="2" t="str">
        <f t="shared" si="22"/>
        <v/>
      </c>
      <c r="S66" s="2" t="str">
        <f t="shared" si="22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hidden="1">
      <c r="A67" s="2" t="str">
        <f t="shared" si="9"/>
        <v>Raymond</v>
      </c>
      <c r="B67" s="178" t="str">
        <f t="shared" ref="B67:K67" si="23">L7</f>
        <v>Win</v>
      </c>
      <c r="C67" s="2">
        <f t="shared" si="23"/>
        <v>4</v>
      </c>
      <c r="D67" s="152">
        <f t="shared" si="23"/>
        <v>17</v>
      </c>
      <c r="E67" s="2">
        <f t="shared" si="23"/>
        <v>7</v>
      </c>
      <c r="F67" s="2">
        <f t="shared" si="23"/>
        <v>0</v>
      </c>
      <c r="G67" s="2">
        <f t="shared" si="23"/>
        <v>10</v>
      </c>
      <c r="H67" s="2">
        <f t="shared" si="23"/>
        <v>0</v>
      </c>
      <c r="I67" s="2">
        <f t="shared" si="23"/>
        <v>30</v>
      </c>
      <c r="J67" s="2" t="str">
        <f t="shared" si="23"/>
        <v/>
      </c>
      <c r="K67" s="2" t="str">
        <f t="shared" si="23"/>
        <v/>
      </c>
      <c r="L67" s="2" t="str">
        <f t="shared" si="19"/>
        <v/>
      </c>
      <c r="M67" s="2" t="str">
        <f t="shared" si="11"/>
        <v/>
      </c>
      <c r="N67" s="152" t="str">
        <f t="shared" si="12"/>
        <v/>
      </c>
      <c r="O67" s="2" t="str">
        <f t="shared" ref="O67:S67" si="24">X7</f>
        <v/>
      </c>
      <c r="P67" s="2" t="str">
        <f t="shared" si="24"/>
        <v/>
      </c>
      <c r="Q67" s="2" t="str">
        <f t="shared" si="24"/>
        <v/>
      </c>
      <c r="R67" s="2" t="str">
        <f t="shared" si="24"/>
        <v/>
      </c>
      <c r="S67" s="2" t="str">
        <f t="shared" si="2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hidden="1">
      <c r="A68" s="2" t="str">
        <f t="shared" si="9"/>
        <v>TC</v>
      </c>
      <c r="B68" s="178" t="str">
        <f t="shared" ref="B68:K68" si="25">L8</f>
        <v>Win</v>
      </c>
      <c r="C68" s="2">
        <f t="shared" si="25"/>
        <v>5</v>
      </c>
      <c r="D68" s="152">
        <f t="shared" si="25"/>
        <v>18</v>
      </c>
      <c r="E68" s="2">
        <f t="shared" si="25"/>
        <v>2</v>
      </c>
      <c r="F68" s="2">
        <f t="shared" si="25"/>
        <v>0</v>
      </c>
      <c r="G68" s="2">
        <f t="shared" si="25"/>
        <v>15</v>
      </c>
      <c r="H68" s="2">
        <f t="shared" si="25"/>
        <v>1</v>
      </c>
      <c r="I68" s="2">
        <f t="shared" si="25"/>
        <v>27</v>
      </c>
      <c r="J68" s="2" t="str">
        <f t="shared" si="25"/>
        <v/>
      </c>
      <c r="K68" s="2" t="str">
        <f t="shared" si="25"/>
        <v/>
      </c>
      <c r="L68" s="2" t="str">
        <f t="shared" si="19"/>
        <v/>
      </c>
      <c r="M68" s="2" t="str">
        <f t="shared" si="11"/>
        <v/>
      </c>
      <c r="N68" s="152" t="str">
        <f t="shared" si="12"/>
        <v/>
      </c>
      <c r="O68" s="2" t="str">
        <f t="shared" ref="O68:S68" si="26">X8</f>
        <v/>
      </c>
      <c r="P68" s="2" t="str">
        <f t="shared" si="26"/>
        <v/>
      </c>
      <c r="Q68" s="2" t="str">
        <f t="shared" si="26"/>
        <v/>
      </c>
      <c r="R68" s="2" t="str">
        <f t="shared" si="26"/>
        <v/>
      </c>
      <c r="S68" s="2" t="str">
        <f t="shared" si="26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hidden="1">
      <c r="A69" s="2" t="str">
        <f t="shared" si="9"/>
        <v>Kyi</v>
      </c>
      <c r="B69" s="178" t="str">
        <f t="shared" ref="B69:K69" si="27">L9</f>
        <v>Win</v>
      </c>
      <c r="C69" s="2">
        <f t="shared" si="27"/>
        <v>3</v>
      </c>
      <c r="D69" s="152">
        <f t="shared" si="27"/>
        <v>15</v>
      </c>
      <c r="E69" s="2">
        <f t="shared" si="27"/>
        <v>10</v>
      </c>
      <c r="F69" s="2">
        <f t="shared" si="27"/>
        <v>0</v>
      </c>
      <c r="G69" s="2">
        <f t="shared" si="27"/>
        <v>4</v>
      </c>
      <c r="H69" s="2">
        <f t="shared" si="27"/>
        <v>1</v>
      </c>
      <c r="I69" s="2">
        <f t="shared" si="27"/>
        <v>28</v>
      </c>
      <c r="J69" s="2" t="str">
        <f t="shared" si="27"/>
        <v/>
      </c>
      <c r="K69" s="2" t="str">
        <f t="shared" si="27"/>
        <v/>
      </c>
      <c r="L69" s="2" t="str">
        <f t="shared" si="19"/>
        <v/>
      </c>
      <c r="M69" s="2" t="str">
        <f t="shared" si="11"/>
        <v/>
      </c>
      <c r="N69" s="152" t="str">
        <f t="shared" si="12"/>
        <v/>
      </c>
      <c r="O69" s="2" t="str">
        <f t="shared" ref="O69:S69" si="28">X9</f>
        <v/>
      </c>
      <c r="P69" s="2" t="str">
        <f t="shared" si="28"/>
        <v/>
      </c>
      <c r="Q69" s="2" t="str">
        <f t="shared" si="28"/>
        <v/>
      </c>
      <c r="R69" s="2" t="str">
        <f t="shared" si="28"/>
        <v/>
      </c>
      <c r="S69" s="2" t="str">
        <f t="shared" si="28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hidden="1">
      <c r="A70" s="2" t="str">
        <f t="shared" si="9"/>
        <v>Jwu</v>
      </c>
      <c r="B70" s="178" t="str">
        <f t="shared" ref="B70:K70" si="29">L10</f>
        <v>Win</v>
      </c>
      <c r="C70" s="2" t="str">
        <f t="shared" si="29"/>
        <v/>
      </c>
      <c r="D70" s="2" t="str">
        <f t="shared" si="29"/>
        <v/>
      </c>
      <c r="E70" s="2" t="str">
        <f t="shared" si="29"/>
        <v/>
      </c>
      <c r="F70" s="2" t="str">
        <f t="shared" si="29"/>
        <v/>
      </c>
      <c r="G70" s="2" t="str">
        <f t="shared" si="29"/>
        <v/>
      </c>
      <c r="H70" s="2" t="str">
        <f t="shared" si="29"/>
        <v/>
      </c>
      <c r="I70" s="2" t="str">
        <f t="shared" si="29"/>
        <v/>
      </c>
      <c r="J70" s="2" t="str">
        <f t="shared" si="29"/>
        <v/>
      </c>
      <c r="K70" s="2" t="str">
        <f t="shared" si="29"/>
        <v/>
      </c>
      <c r="L70" s="2" t="str">
        <f t="shared" si="19"/>
        <v/>
      </c>
      <c r="M70" s="2" t="str">
        <f t="shared" si="11"/>
        <v/>
      </c>
      <c r="N70" s="2" t="str">
        <f t="shared" si="12"/>
        <v/>
      </c>
      <c r="O70" s="2" t="str">
        <f t="shared" ref="O70:S70" si="30">X10</f>
        <v/>
      </c>
      <c r="P70" s="2" t="str">
        <f t="shared" si="30"/>
        <v/>
      </c>
      <c r="Q70" s="2" t="str">
        <f t="shared" si="30"/>
        <v/>
      </c>
      <c r="R70" s="2" t="str">
        <f t="shared" si="30"/>
        <v/>
      </c>
      <c r="S70" s="2" t="str">
        <f t="shared" si="30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hidden="1">
      <c r="A71" s="2" t="str">
        <f t="shared" si="9"/>
        <v>Parker</v>
      </c>
      <c r="B71" s="178" t="str">
        <f t="shared" ref="B71:K71" si="31">L11</f>
        <v>Win</v>
      </c>
      <c r="C71" s="2" t="str">
        <f t="shared" si="31"/>
        <v/>
      </c>
      <c r="D71" s="2" t="str">
        <f t="shared" si="31"/>
        <v/>
      </c>
      <c r="E71" s="2" t="str">
        <f t="shared" si="31"/>
        <v/>
      </c>
      <c r="F71" s="2" t="str">
        <f t="shared" si="31"/>
        <v/>
      </c>
      <c r="G71" s="2" t="str">
        <f t="shared" si="31"/>
        <v/>
      </c>
      <c r="H71" s="2" t="str">
        <f t="shared" si="31"/>
        <v/>
      </c>
      <c r="I71" s="2" t="str">
        <f t="shared" si="31"/>
        <v/>
      </c>
      <c r="J71" s="2" t="str">
        <f t="shared" si="31"/>
        <v/>
      </c>
      <c r="K71" s="2" t="str">
        <f t="shared" si="31"/>
        <v/>
      </c>
      <c r="L71" s="2" t="str">
        <f t="shared" si="19"/>
        <v/>
      </c>
      <c r="M71" s="2" t="str">
        <f t="shared" si="11"/>
        <v/>
      </c>
      <c r="N71" s="2" t="str">
        <f t="shared" si="12"/>
        <v/>
      </c>
      <c r="O71" s="2" t="str">
        <f t="shared" ref="O71:S71" si="32">X11</f>
        <v/>
      </c>
      <c r="P71" s="2" t="str">
        <f t="shared" si="32"/>
        <v/>
      </c>
      <c r="Q71" s="2" t="str">
        <f t="shared" si="32"/>
        <v/>
      </c>
      <c r="R71" s="2" t="str">
        <f t="shared" si="32"/>
        <v/>
      </c>
      <c r="S71" s="2" t="str">
        <f t="shared" si="32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hidden="1">
      <c r="A72" s="176" t="str">
        <f t="shared" si="9"/>
        <v>Henry</v>
      </c>
      <c r="B72" s="178" t="str">
        <f t="shared" ref="B72:K72" si="33">L12</f>
        <v>Win</v>
      </c>
      <c r="C72" s="2" t="str">
        <f t="shared" si="33"/>
        <v/>
      </c>
      <c r="D72" s="2" t="str">
        <f t="shared" si="33"/>
        <v/>
      </c>
      <c r="E72" s="2" t="str">
        <f t="shared" si="33"/>
        <v/>
      </c>
      <c r="F72" s="2" t="str">
        <f t="shared" si="33"/>
        <v/>
      </c>
      <c r="G72" s="2" t="str">
        <f t="shared" si="33"/>
        <v/>
      </c>
      <c r="H72" s="2" t="str">
        <f t="shared" si="33"/>
        <v/>
      </c>
      <c r="I72" s="2" t="str">
        <f t="shared" si="33"/>
        <v/>
      </c>
      <c r="J72" s="2" t="str">
        <f t="shared" si="33"/>
        <v/>
      </c>
      <c r="K72" s="2" t="str">
        <f t="shared" si="33"/>
        <v/>
      </c>
      <c r="L72" s="2" t="str">
        <f t="shared" si="19"/>
        <v/>
      </c>
      <c r="M72" s="2" t="str">
        <f t="shared" si="11"/>
        <v/>
      </c>
      <c r="N72" s="2" t="str">
        <f t="shared" si="12"/>
        <v/>
      </c>
      <c r="O72" s="2" t="str">
        <f t="shared" ref="O72:S72" si="34">X12</f>
        <v/>
      </c>
      <c r="P72" s="2" t="str">
        <f t="shared" si="34"/>
        <v/>
      </c>
      <c r="Q72" s="2" t="str">
        <f t="shared" si="34"/>
        <v/>
      </c>
      <c r="R72" s="2" t="str">
        <f t="shared" si="34"/>
        <v/>
      </c>
      <c r="S72" s="2" t="str">
        <f t="shared" si="3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hidden="1">
      <c r="A73" s="2" t="str">
        <f t="shared" si="9"/>
        <v>Ayush</v>
      </c>
      <c r="B73" s="178" t="str">
        <f t="shared" ref="B73:K73" si="35">L13</f>
        <v>Win</v>
      </c>
      <c r="C73" s="2" t="str">
        <f t="shared" si="35"/>
        <v/>
      </c>
      <c r="D73" s="2" t="str">
        <f t="shared" si="35"/>
        <v/>
      </c>
      <c r="E73" s="2" t="str">
        <f t="shared" si="35"/>
        <v/>
      </c>
      <c r="F73" s="2" t="str">
        <f t="shared" si="35"/>
        <v/>
      </c>
      <c r="G73" s="2" t="str">
        <f t="shared" si="35"/>
        <v/>
      </c>
      <c r="H73" s="2" t="str">
        <f t="shared" si="35"/>
        <v/>
      </c>
      <c r="I73" s="2" t="str">
        <f t="shared" si="35"/>
        <v/>
      </c>
      <c r="J73" s="2" t="str">
        <f t="shared" si="35"/>
        <v/>
      </c>
      <c r="K73" s="2" t="str">
        <f t="shared" si="35"/>
        <v/>
      </c>
      <c r="L73" s="2" t="str">
        <f t="shared" si="19"/>
        <v/>
      </c>
      <c r="M73" s="2" t="str">
        <f t="shared" si="11"/>
        <v/>
      </c>
      <c r="N73" s="2" t="str">
        <f t="shared" si="12"/>
        <v/>
      </c>
      <c r="O73" s="2" t="str">
        <f t="shared" ref="O73:S73" si="36">X13</f>
        <v/>
      </c>
      <c r="P73" s="2" t="str">
        <f t="shared" si="36"/>
        <v/>
      </c>
      <c r="Q73" s="2" t="str">
        <f t="shared" si="36"/>
        <v/>
      </c>
      <c r="R73" s="2" t="str">
        <f t="shared" si="36"/>
        <v/>
      </c>
      <c r="S73" s="2" t="str">
        <f t="shared" si="36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hidden="1">
      <c r="A74" s="2" t="str">
        <f t="shared" si="9"/>
        <v/>
      </c>
      <c r="B74" s="178" t="str">
        <f t="shared" ref="B74:K74" si="37">L14</f>
        <v>Win</v>
      </c>
      <c r="C74" s="2" t="str">
        <f t="shared" si="37"/>
        <v/>
      </c>
      <c r="D74" s="2" t="str">
        <f t="shared" si="37"/>
        <v/>
      </c>
      <c r="E74" s="2" t="str">
        <f t="shared" si="37"/>
        <v/>
      </c>
      <c r="F74" s="2" t="str">
        <f t="shared" si="37"/>
        <v/>
      </c>
      <c r="G74" s="2" t="str">
        <f t="shared" si="37"/>
        <v/>
      </c>
      <c r="H74" s="2" t="str">
        <f t="shared" si="37"/>
        <v/>
      </c>
      <c r="I74" s="2" t="str">
        <f t="shared" si="37"/>
        <v/>
      </c>
      <c r="J74" s="2" t="str">
        <f t="shared" si="37"/>
        <v/>
      </c>
      <c r="K74" s="2" t="str">
        <f t="shared" si="37"/>
        <v/>
      </c>
      <c r="L74" s="2" t="str">
        <f t="shared" si="19"/>
        <v/>
      </c>
      <c r="M74" s="2" t="str">
        <f t="shared" si="11"/>
        <v/>
      </c>
      <c r="N74" s="2" t="str">
        <f t="shared" si="12"/>
        <v/>
      </c>
      <c r="O74" s="2" t="str">
        <f t="shared" ref="O74:S74" si="38">X14</f>
        <v/>
      </c>
      <c r="P74" s="2" t="str">
        <f t="shared" si="38"/>
        <v/>
      </c>
      <c r="Q74" s="2" t="str">
        <f t="shared" si="38"/>
        <v/>
      </c>
      <c r="R74" s="2" t="str">
        <f t="shared" si="38"/>
        <v/>
      </c>
      <c r="S74" s="2" t="str">
        <f t="shared" si="38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hidden="1">
      <c r="A75" s="2" t="str">
        <f t="shared" si="9"/>
        <v/>
      </c>
      <c r="B75" s="178" t="str">
        <f t="shared" ref="B75:K75" si="39">L15</f>
        <v>Win</v>
      </c>
      <c r="C75" s="2" t="str">
        <f t="shared" si="39"/>
        <v/>
      </c>
      <c r="D75" s="2" t="str">
        <f t="shared" si="39"/>
        <v/>
      </c>
      <c r="E75" s="2" t="str">
        <f t="shared" si="39"/>
        <v/>
      </c>
      <c r="F75" s="2" t="str">
        <f t="shared" si="39"/>
        <v/>
      </c>
      <c r="G75" s="2" t="str">
        <f t="shared" si="39"/>
        <v/>
      </c>
      <c r="H75" s="2" t="str">
        <f t="shared" si="39"/>
        <v/>
      </c>
      <c r="I75" s="2" t="str">
        <f t="shared" si="39"/>
        <v/>
      </c>
      <c r="J75" s="2" t="str">
        <f t="shared" si="39"/>
        <v/>
      </c>
      <c r="K75" s="2" t="str">
        <f t="shared" si="39"/>
        <v/>
      </c>
      <c r="L75" s="2" t="str">
        <f t="shared" si="19"/>
        <v/>
      </c>
      <c r="M75" s="2" t="str">
        <f t="shared" si="11"/>
        <v/>
      </c>
      <c r="N75" s="2" t="str">
        <f t="shared" si="12"/>
        <v/>
      </c>
      <c r="O75" s="2" t="str">
        <f t="shared" ref="O75:S75" si="40">X15</f>
        <v/>
      </c>
      <c r="P75" s="2" t="str">
        <f t="shared" si="40"/>
        <v/>
      </c>
      <c r="Q75" s="2" t="str">
        <f t="shared" si="40"/>
        <v/>
      </c>
      <c r="R75" s="2" t="str">
        <f t="shared" si="40"/>
        <v/>
      </c>
      <c r="S75" s="2" t="str">
        <f t="shared" si="40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hidden="1">
      <c r="A76" s="2" t="str">
        <f t="shared" si="9"/>
        <v/>
      </c>
      <c r="B76" s="178" t="str">
        <f t="shared" ref="B76:K76" si="41">L16</f>
        <v>Win</v>
      </c>
      <c r="C76" s="2" t="str">
        <f t="shared" si="41"/>
        <v/>
      </c>
      <c r="D76" s="2" t="str">
        <f t="shared" si="41"/>
        <v/>
      </c>
      <c r="E76" s="2" t="str">
        <f t="shared" si="41"/>
        <v/>
      </c>
      <c r="F76" s="2" t="str">
        <f t="shared" si="41"/>
        <v/>
      </c>
      <c r="G76" s="2" t="str">
        <f t="shared" si="41"/>
        <v/>
      </c>
      <c r="H76" s="2" t="str">
        <f t="shared" si="41"/>
        <v/>
      </c>
      <c r="I76" s="2" t="str">
        <f t="shared" si="41"/>
        <v/>
      </c>
      <c r="J76" s="2" t="str">
        <f t="shared" si="41"/>
        <v/>
      </c>
      <c r="K76" s="2" t="str">
        <f t="shared" si="41"/>
        <v/>
      </c>
      <c r="L76" s="2" t="str">
        <f t="shared" si="19"/>
        <v/>
      </c>
      <c r="M76" s="2" t="str">
        <f t="shared" si="11"/>
        <v/>
      </c>
      <c r="N76" s="2" t="str">
        <f t="shared" si="12"/>
        <v/>
      </c>
      <c r="O76" s="2" t="str">
        <f t="shared" ref="O76:S76" si="42">X16</f>
        <v/>
      </c>
      <c r="P76" s="2" t="str">
        <f t="shared" si="42"/>
        <v/>
      </c>
      <c r="Q76" s="2" t="str">
        <f t="shared" si="42"/>
        <v/>
      </c>
      <c r="R76" s="2" t="str">
        <f t="shared" si="42"/>
        <v/>
      </c>
      <c r="S76" s="2" t="str">
        <f t="shared" si="42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hidden="1">
      <c r="A77" s="2" t="str">
        <f t="shared" si="9"/>
        <v/>
      </c>
      <c r="B77" s="178" t="str">
        <f t="shared" ref="B77:K77" si="43">L17</f>
        <v>Win</v>
      </c>
      <c r="C77" s="2" t="str">
        <f t="shared" si="43"/>
        <v/>
      </c>
      <c r="D77" s="2" t="str">
        <f t="shared" si="43"/>
        <v/>
      </c>
      <c r="E77" s="2" t="str">
        <f t="shared" si="43"/>
        <v/>
      </c>
      <c r="F77" s="2" t="str">
        <f t="shared" si="43"/>
        <v/>
      </c>
      <c r="G77" s="2" t="str">
        <f t="shared" si="43"/>
        <v/>
      </c>
      <c r="H77" s="2" t="str">
        <f t="shared" si="43"/>
        <v/>
      </c>
      <c r="I77" s="2" t="str">
        <f t="shared" si="43"/>
        <v/>
      </c>
      <c r="J77" s="2" t="str">
        <f t="shared" si="43"/>
        <v/>
      </c>
      <c r="K77" s="2" t="str">
        <f t="shared" si="43"/>
        <v/>
      </c>
      <c r="L77" s="2" t="str">
        <f t="shared" si="19"/>
        <v/>
      </c>
      <c r="M77" s="2" t="str">
        <f t="shared" si="11"/>
        <v/>
      </c>
      <c r="N77" s="2" t="str">
        <f t="shared" si="12"/>
        <v/>
      </c>
      <c r="O77" s="2" t="str">
        <f t="shared" ref="O77:S77" si="44">X17</f>
        <v/>
      </c>
      <c r="P77" s="2" t="str">
        <f t="shared" si="44"/>
        <v/>
      </c>
      <c r="Q77" s="2" t="str">
        <f t="shared" si="44"/>
        <v/>
      </c>
      <c r="R77" s="2" t="str">
        <f t="shared" si="44"/>
        <v/>
      </c>
      <c r="S77" s="2" t="str">
        <f t="shared" si="4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hidden="1">
      <c r="A78" s="176" t="str">
        <f t="shared" si="9"/>
        <v>Pulled Cups</v>
      </c>
      <c r="B78" s="178" t="str">
        <f t="shared" ref="B78:K78" si="45">L18</f>
        <v/>
      </c>
      <c r="C78" s="2" t="str">
        <f t="shared" si="45"/>
        <v/>
      </c>
      <c r="D78" s="2">
        <f t="shared" si="45"/>
        <v>1</v>
      </c>
      <c r="E78" s="2" t="str">
        <f t="shared" si="45"/>
        <v/>
      </c>
      <c r="F78" s="2" t="str">
        <f t="shared" si="45"/>
        <v/>
      </c>
      <c r="G78" s="2" t="str">
        <f t="shared" si="45"/>
        <v/>
      </c>
      <c r="H78" s="2" t="str">
        <f t="shared" si="45"/>
        <v/>
      </c>
      <c r="I78" s="2" t="str">
        <f t="shared" si="45"/>
        <v/>
      </c>
      <c r="J78" s="2" t="str">
        <f t="shared" si="45"/>
        <v/>
      </c>
      <c r="K78" s="2" t="str">
        <f t="shared" si="45"/>
        <v/>
      </c>
      <c r="L78" s="2" t="str">
        <f t="shared" si="19"/>
        <v/>
      </c>
      <c r="M78" s="2" t="str">
        <f t="shared" si="11"/>
        <v/>
      </c>
      <c r="N78" s="2" t="str">
        <f t="shared" si="12"/>
        <v/>
      </c>
      <c r="O78" s="2" t="str">
        <f t="shared" ref="O78:S78" si="46">X18</f>
        <v/>
      </c>
      <c r="P78" s="2" t="str">
        <f t="shared" si="46"/>
        <v/>
      </c>
      <c r="Q78" s="2" t="str">
        <f t="shared" si="46"/>
        <v/>
      </c>
      <c r="R78" s="2" t="str">
        <f t="shared" si="46"/>
        <v/>
      </c>
      <c r="S78" s="2" t="str">
        <f t="shared" si="46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hidden="1">
      <c r="A79" s="176" t="str">
        <f t="shared" si="9"/>
        <v>Total</v>
      </c>
      <c r="B79" s="178" t="str">
        <f t="shared" ref="B79:K79" si="47">L19</f>
        <v/>
      </c>
      <c r="C79" s="2" t="str">
        <f t="shared" si="47"/>
        <v/>
      </c>
      <c r="D79" s="129">
        <f t="shared" si="47"/>
        <v>100</v>
      </c>
      <c r="E79" s="2" t="str">
        <f t="shared" si="47"/>
        <v/>
      </c>
      <c r="F79" s="2" t="str">
        <f t="shared" si="47"/>
        <v/>
      </c>
      <c r="G79" s="2" t="str">
        <f t="shared" si="47"/>
        <v/>
      </c>
      <c r="H79" s="2" t="str">
        <f t="shared" si="47"/>
        <v/>
      </c>
      <c r="I79" s="128">
        <f t="shared" si="47"/>
        <v>0.3735849057</v>
      </c>
      <c r="J79" s="2" t="str">
        <f t="shared" si="47"/>
        <v/>
      </c>
      <c r="K79" s="2" t="str">
        <f t="shared" si="47"/>
        <v/>
      </c>
      <c r="L79" s="2" t="str">
        <f t="shared" si="19"/>
        <v/>
      </c>
      <c r="M79" s="2" t="str">
        <f t="shared" si="11"/>
        <v/>
      </c>
      <c r="N79" s="129" t="str">
        <f t="shared" si="12"/>
        <v/>
      </c>
      <c r="O79" s="2" t="str">
        <f t="shared" ref="O79:S79" si="48">X19</f>
        <v/>
      </c>
      <c r="P79" s="2" t="str">
        <f t="shared" si="48"/>
        <v/>
      </c>
      <c r="Q79" s="2" t="str">
        <f t="shared" si="48"/>
        <v/>
      </c>
      <c r="R79" s="2" t="str">
        <f t="shared" si="48"/>
        <v/>
      </c>
      <c r="S79" s="2" t="str">
        <f t="shared" si="48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hidden="1">
      <c r="A80" s="2" t="str">
        <f t="shared" si="9"/>
        <v/>
      </c>
      <c r="B80" s="178" t="str">
        <f t="shared" ref="B80:K80" si="49">L20</f>
        <v/>
      </c>
      <c r="C80" s="2" t="str">
        <f t="shared" si="49"/>
        <v/>
      </c>
      <c r="D80" s="2" t="str">
        <f t="shared" si="49"/>
        <v/>
      </c>
      <c r="E80" s="2" t="str">
        <f t="shared" si="49"/>
        <v/>
      </c>
      <c r="F80" s="2" t="str">
        <f t="shared" si="49"/>
        <v/>
      </c>
      <c r="G80" s="2" t="str">
        <f t="shared" si="49"/>
        <v/>
      </c>
      <c r="H80" s="2" t="str">
        <f t="shared" si="49"/>
        <v/>
      </c>
      <c r="I80" s="2" t="str">
        <f t="shared" si="49"/>
        <v/>
      </c>
      <c r="J80" s="2" t="str">
        <f t="shared" si="49"/>
        <v/>
      </c>
      <c r="K80" s="2" t="str">
        <f t="shared" si="49"/>
        <v/>
      </c>
      <c r="L80" s="2" t="str">
        <f t="shared" si="19"/>
        <v/>
      </c>
      <c r="M80" s="2" t="str">
        <f t="shared" si="11"/>
        <v/>
      </c>
      <c r="N80" s="2" t="str">
        <f t="shared" si="12"/>
        <v/>
      </c>
      <c r="O80" s="2" t="str">
        <f t="shared" ref="O80:S80" si="50">X20</f>
        <v/>
      </c>
      <c r="P80" s="2" t="str">
        <f t="shared" si="50"/>
        <v/>
      </c>
      <c r="Q80" s="2" t="str">
        <f t="shared" si="50"/>
        <v/>
      </c>
      <c r="R80" s="2" t="str">
        <f t="shared" si="50"/>
        <v/>
      </c>
      <c r="S80" s="2" t="str">
        <f t="shared" si="50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hidden="1">
      <c r="A81" s="176" t="str">
        <f t="shared" si="9"/>
        <v>Team C</v>
      </c>
      <c r="B81" s="178" t="str">
        <f t="shared" ref="B81:K81" si="51">L21</f>
        <v/>
      </c>
      <c r="C81" s="2" t="str">
        <f t="shared" si="51"/>
        <v/>
      </c>
      <c r="D81" s="2" t="str">
        <f t="shared" si="51"/>
        <v/>
      </c>
      <c r="E81" s="176" t="str">
        <f t="shared" si="51"/>
        <v>Result</v>
      </c>
      <c r="F81" s="166" t="str">
        <f t="shared" si="51"/>
        <v>Win</v>
      </c>
      <c r="G81" s="2" t="str">
        <f t="shared" si="51"/>
        <v/>
      </c>
      <c r="H81" s="176" t="str">
        <f t="shared" si="51"/>
        <v>Margin</v>
      </c>
      <c r="I81" s="129">
        <f t="shared" si="51"/>
        <v>9</v>
      </c>
      <c r="J81" s="2" t="str">
        <f t="shared" si="51"/>
        <v/>
      </c>
      <c r="K81" s="2" t="str">
        <f t="shared" si="51"/>
        <v/>
      </c>
      <c r="L81" s="2" t="str">
        <f t="shared" si="19"/>
        <v/>
      </c>
      <c r="M81" s="2" t="str">
        <f t="shared" si="11"/>
        <v/>
      </c>
      <c r="N81" s="2" t="str">
        <f t="shared" si="12"/>
        <v/>
      </c>
      <c r="O81" s="2" t="str">
        <f t="shared" ref="O81:S81" si="52">X21</f>
        <v/>
      </c>
      <c r="P81" s="2" t="str">
        <f t="shared" si="52"/>
        <v/>
      </c>
      <c r="Q81" s="2" t="str">
        <f t="shared" si="52"/>
        <v/>
      </c>
      <c r="R81" s="2" t="str">
        <f t="shared" si="52"/>
        <v/>
      </c>
      <c r="S81" s="2" t="str">
        <f t="shared" si="52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hidden="1">
      <c r="A82" s="176" t="str">
        <f t="shared" si="9"/>
        <v>Name</v>
      </c>
      <c r="B82" s="178" t="str">
        <f t="shared" ref="B82:K82" si="53">L22</f>
        <v>W/L?</v>
      </c>
      <c r="C82" s="176" t="str">
        <f t="shared" si="53"/>
        <v>Shot Order</v>
      </c>
      <c r="D82" s="176" t="str">
        <f t="shared" si="53"/>
        <v>Total Cups</v>
      </c>
      <c r="E82" s="176" t="str">
        <f t="shared" si="53"/>
        <v>Tops</v>
      </c>
      <c r="F82" s="176" t="str">
        <f t="shared" si="53"/>
        <v>Top Isos</v>
      </c>
      <c r="G82" s="176" t="str">
        <f t="shared" si="53"/>
        <v>Bottoms</v>
      </c>
      <c r="H82" s="176" t="str">
        <f t="shared" si="53"/>
        <v>Bottom Isos</v>
      </c>
      <c r="I82" s="176" t="str">
        <f t="shared" si="53"/>
        <v>Misses</v>
      </c>
      <c r="J82" s="2" t="str">
        <f t="shared" si="53"/>
        <v/>
      </c>
      <c r="K82" s="2" t="str">
        <f t="shared" si="53"/>
        <v/>
      </c>
      <c r="L82" s="2" t="str">
        <f t="shared" si="19"/>
        <v/>
      </c>
      <c r="M82" s="2" t="str">
        <f t="shared" si="11"/>
        <v/>
      </c>
      <c r="N82" s="176" t="str">
        <f t="shared" si="12"/>
        <v/>
      </c>
      <c r="O82" s="2" t="str">
        <f t="shared" ref="O82:S82" si="54">X22</f>
        <v/>
      </c>
      <c r="P82" s="2" t="str">
        <f t="shared" si="54"/>
        <v/>
      </c>
      <c r="Q82" s="2" t="str">
        <f t="shared" si="54"/>
        <v/>
      </c>
      <c r="R82" s="2" t="str">
        <f t="shared" si="54"/>
        <v/>
      </c>
      <c r="S82" s="2" t="str">
        <f t="shared" si="5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hidden="1">
      <c r="A83" s="176" t="str">
        <f t="shared" si="9"/>
        <v>Du</v>
      </c>
      <c r="B83" s="178" t="str">
        <f t="shared" ref="B83:K83" si="55">L23</f>
        <v>Win</v>
      </c>
      <c r="C83" s="2" t="str">
        <f t="shared" si="55"/>
        <v/>
      </c>
      <c r="D83" s="152">
        <f t="shared" si="55"/>
        <v>12</v>
      </c>
      <c r="E83" s="2">
        <f t="shared" si="55"/>
        <v>4</v>
      </c>
      <c r="F83" s="2">
        <f t="shared" si="55"/>
        <v>0</v>
      </c>
      <c r="G83" s="2">
        <f t="shared" si="55"/>
        <v>8</v>
      </c>
      <c r="H83" s="2">
        <f t="shared" si="55"/>
        <v>0</v>
      </c>
      <c r="I83" s="2">
        <f t="shared" si="55"/>
        <v>22</v>
      </c>
      <c r="J83" s="2" t="str">
        <f t="shared" si="55"/>
        <v/>
      </c>
      <c r="K83" s="2" t="str">
        <f t="shared" si="55"/>
        <v/>
      </c>
      <c r="L83" s="2" t="str">
        <f t="shared" si="19"/>
        <v/>
      </c>
      <c r="M83" s="2" t="str">
        <f t="shared" si="11"/>
        <v/>
      </c>
      <c r="N83" s="152" t="str">
        <f t="shared" si="12"/>
        <v/>
      </c>
      <c r="O83" s="2" t="str">
        <f t="shared" ref="O83:S83" si="56">X23</f>
        <v/>
      </c>
      <c r="P83" s="2" t="str">
        <f t="shared" si="56"/>
        <v/>
      </c>
      <c r="Q83" s="2" t="str">
        <f t="shared" si="56"/>
        <v/>
      </c>
      <c r="R83" s="2" t="str">
        <f t="shared" si="56"/>
        <v/>
      </c>
      <c r="S83" s="2" t="str">
        <f t="shared" si="56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hidden="1">
      <c r="A84" s="2" t="str">
        <f t="shared" si="9"/>
        <v>Neo</v>
      </c>
      <c r="B84" s="178" t="str">
        <f t="shared" ref="B84:K84" si="57">L24</f>
        <v>Win</v>
      </c>
      <c r="C84" s="2" t="str">
        <f t="shared" si="57"/>
        <v/>
      </c>
      <c r="D84" s="152" t="str">
        <f t="shared" si="57"/>
        <v/>
      </c>
      <c r="E84" s="2" t="str">
        <f t="shared" si="57"/>
        <v/>
      </c>
      <c r="F84" s="2" t="str">
        <f t="shared" si="57"/>
        <v/>
      </c>
      <c r="G84" s="2" t="str">
        <f t="shared" si="57"/>
        <v/>
      </c>
      <c r="H84" s="2" t="str">
        <f t="shared" si="57"/>
        <v/>
      </c>
      <c r="I84" s="2" t="str">
        <f t="shared" si="57"/>
        <v/>
      </c>
      <c r="J84" s="2" t="str">
        <f t="shared" si="57"/>
        <v/>
      </c>
      <c r="K84" s="2" t="str">
        <f t="shared" si="57"/>
        <v/>
      </c>
      <c r="L84" s="2" t="str">
        <f t="shared" si="19"/>
        <v/>
      </c>
      <c r="M84" s="2" t="str">
        <f t="shared" si="11"/>
        <v/>
      </c>
      <c r="N84" s="152" t="str">
        <f t="shared" si="12"/>
        <v/>
      </c>
      <c r="O84" s="2" t="str">
        <f t="shared" ref="O84:S84" si="58">X24</f>
        <v/>
      </c>
      <c r="P84" s="2" t="str">
        <f t="shared" si="58"/>
        <v/>
      </c>
      <c r="Q84" s="2" t="str">
        <f t="shared" si="58"/>
        <v/>
      </c>
      <c r="R84" s="2" t="str">
        <f t="shared" si="58"/>
        <v/>
      </c>
      <c r="S84" s="2" t="str">
        <f t="shared" si="58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hidden="1">
      <c r="A85" s="176" t="str">
        <f t="shared" si="9"/>
        <v>Fritz</v>
      </c>
      <c r="B85" s="178" t="str">
        <f t="shared" ref="B85:K85" si="59">L25</f>
        <v>Win</v>
      </c>
      <c r="C85" s="2" t="str">
        <f t="shared" si="59"/>
        <v/>
      </c>
      <c r="D85" s="152">
        <f t="shared" si="59"/>
        <v>17</v>
      </c>
      <c r="E85" s="2">
        <f t="shared" si="59"/>
        <v>11</v>
      </c>
      <c r="F85" s="2">
        <f t="shared" si="59"/>
        <v>2</v>
      </c>
      <c r="G85" s="2">
        <f t="shared" si="59"/>
        <v>2</v>
      </c>
      <c r="H85" s="2">
        <f t="shared" si="59"/>
        <v>2</v>
      </c>
      <c r="I85" s="2">
        <f t="shared" si="59"/>
        <v>20</v>
      </c>
      <c r="J85" s="2" t="str">
        <f t="shared" si="59"/>
        <v/>
      </c>
      <c r="K85" s="2" t="str">
        <f t="shared" si="59"/>
        <v/>
      </c>
      <c r="L85" s="2" t="str">
        <f t="shared" si="19"/>
        <v/>
      </c>
      <c r="M85" s="2" t="str">
        <f t="shared" si="11"/>
        <v/>
      </c>
      <c r="N85" s="152" t="str">
        <f t="shared" si="12"/>
        <v/>
      </c>
      <c r="O85" s="2" t="str">
        <f t="shared" ref="O85:S85" si="60">X25</f>
        <v/>
      </c>
      <c r="P85" s="2" t="str">
        <f t="shared" si="60"/>
        <v/>
      </c>
      <c r="Q85" s="2" t="str">
        <f t="shared" si="60"/>
        <v/>
      </c>
      <c r="R85" s="2" t="str">
        <f t="shared" si="60"/>
        <v/>
      </c>
      <c r="S85" s="2" t="str">
        <f t="shared" si="60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hidden="1">
      <c r="A86" s="176" t="str">
        <f t="shared" si="9"/>
        <v>Eric</v>
      </c>
      <c r="B86" s="178" t="str">
        <f t="shared" ref="B86:K86" si="61">L26</f>
        <v>Win</v>
      </c>
      <c r="C86" s="2" t="str">
        <f t="shared" si="61"/>
        <v/>
      </c>
      <c r="D86" s="152">
        <f t="shared" si="61"/>
        <v>16</v>
      </c>
      <c r="E86" s="2">
        <f t="shared" si="61"/>
        <v>3</v>
      </c>
      <c r="F86" s="2">
        <f t="shared" si="61"/>
        <v>0</v>
      </c>
      <c r="G86" s="2">
        <f t="shared" si="61"/>
        <v>11</v>
      </c>
      <c r="H86" s="2">
        <f t="shared" si="61"/>
        <v>2</v>
      </c>
      <c r="I86" s="2">
        <f t="shared" si="61"/>
        <v>20</v>
      </c>
      <c r="J86" s="2" t="str">
        <f t="shared" si="61"/>
        <v/>
      </c>
      <c r="K86" s="2" t="str">
        <f t="shared" si="61"/>
        <v/>
      </c>
      <c r="L86" s="2" t="str">
        <f t="shared" si="19"/>
        <v/>
      </c>
      <c r="M86" s="2" t="str">
        <f t="shared" si="11"/>
        <v/>
      </c>
      <c r="N86" s="152" t="str">
        <f t="shared" si="12"/>
        <v/>
      </c>
      <c r="O86" s="2" t="str">
        <f t="shared" ref="O86:S86" si="62">X26</f>
        <v/>
      </c>
      <c r="P86" s="2" t="str">
        <f t="shared" si="62"/>
        <v/>
      </c>
      <c r="Q86" s="2" t="str">
        <f t="shared" si="62"/>
        <v/>
      </c>
      <c r="R86" s="2" t="str">
        <f t="shared" si="62"/>
        <v/>
      </c>
      <c r="S86" s="2" t="str">
        <f t="shared" si="62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hidden="1">
      <c r="A87" s="2" t="str">
        <f t="shared" si="9"/>
        <v>Ilt</v>
      </c>
      <c r="B87" s="178" t="str">
        <f t="shared" ref="B87:K87" si="63">L27</f>
        <v>Win</v>
      </c>
      <c r="C87" s="2" t="str">
        <f t="shared" si="63"/>
        <v/>
      </c>
      <c r="D87" s="152" t="str">
        <f t="shared" si="63"/>
        <v/>
      </c>
      <c r="E87" s="2" t="str">
        <f t="shared" si="63"/>
        <v/>
      </c>
      <c r="F87" s="2" t="str">
        <f t="shared" si="63"/>
        <v/>
      </c>
      <c r="G87" s="2" t="str">
        <f t="shared" si="63"/>
        <v/>
      </c>
      <c r="H87" s="2" t="str">
        <f t="shared" si="63"/>
        <v/>
      </c>
      <c r="I87" s="2" t="str">
        <f t="shared" si="63"/>
        <v/>
      </c>
      <c r="J87" s="2" t="str">
        <f t="shared" si="63"/>
        <v/>
      </c>
      <c r="K87" s="2" t="str">
        <f t="shared" si="63"/>
        <v/>
      </c>
      <c r="L87" s="2" t="str">
        <f t="shared" si="19"/>
        <v/>
      </c>
      <c r="M87" s="2" t="str">
        <f t="shared" si="11"/>
        <v/>
      </c>
      <c r="N87" s="152" t="str">
        <f t="shared" si="12"/>
        <v/>
      </c>
      <c r="O87" s="2" t="str">
        <f t="shared" ref="O87:S87" si="64">X27</f>
        <v/>
      </c>
      <c r="P87" s="2" t="str">
        <f t="shared" si="64"/>
        <v/>
      </c>
      <c r="Q87" s="2" t="str">
        <f t="shared" si="64"/>
        <v/>
      </c>
      <c r="R87" s="2" t="str">
        <f t="shared" si="64"/>
        <v/>
      </c>
      <c r="S87" s="2" t="str">
        <f t="shared" si="6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hidden="1">
      <c r="A88" s="2" t="str">
        <f t="shared" si="9"/>
        <v>Matvey</v>
      </c>
      <c r="B88" s="178" t="str">
        <f t="shared" ref="B88:K88" si="65">L28</f>
        <v>Win</v>
      </c>
      <c r="C88" s="2" t="str">
        <f t="shared" si="65"/>
        <v/>
      </c>
      <c r="D88" s="152">
        <f t="shared" si="65"/>
        <v>11</v>
      </c>
      <c r="E88" s="2">
        <f t="shared" si="65"/>
        <v>6</v>
      </c>
      <c r="F88" s="2">
        <f t="shared" si="65"/>
        <v>0</v>
      </c>
      <c r="G88" s="2">
        <f t="shared" si="65"/>
        <v>4</v>
      </c>
      <c r="H88" s="2">
        <f t="shared" si="65"/>
        <v>1</v>
      </c>
      <c r="I88" s="2">
        <f t="shared" si="65"/>
        <v>22</v>
      </c>
      <c r="J88" s="2" t="str">
        <f t="shared" si="65"/>
        <v/>
      </c>
      <c r="K88" s="2" t="str">
        <f t="shared" si="65"/>
        <v/>
      </c>
      <c r="L88" s="2" t="str">
        <f t="shared" si="19"/>
        <v/>
      </c>
      <c r="M88" s="2" t="str">
        <f t="shared" si="11"/>
        <v/>
      </c>
      <c r="N88" s="152" t="str">
        <f t="shared" si="12"/>
        <v/>
      </c>
      <c r="O88" s="2" t="str">
        <f t="shared" ref="O88:S88" si="66">X28</f>
        <v/>
      </c>
      <c r="P88" s="2" t="str">
        <f t="shared" si="66"/>
        <v/>
      </c>
      <c r="Q88" s="2" t="str">
        <f t="shared" si="66"/>
        <v/>
      </c>
      <c r="R88" s="2" t="str">
        <f t="shared" si="66"/>
        <v/>
      </c>
      <c r="S88" s="2" t="str">
        <f t="shared" si="66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hidden="1">
      <c r="A89" s="2" t="str">
        <f t="shared" si="9"/>
        <v>James</v>
      </c>
      <c r="B89" s="178" t="str">
        <f t="shared" ref="B89:K89" si="67">L29</f>
        <v>Win</v>
      </c>
      <c r="C89" s="2" t="str">
        <f t="shared" si="67"/>
        <v/>
      </c>
      <c r="D89" s="152" t="str">
        <f t="shared" si="67"/>
        <v/>
      </c>
      <c r="E89" s="2" t="str">
        <f t="shared" si="67"/>
        <v/>
      </c>
      <c r="F89" s="2" t="str">
        <f t="shared" si="67"/>
        <v/>
      </c>
      <c r="G89" s="2" t="str">
        <f t="shared" si="67"/>
        <v/>
      </c>
      <c r="H89" s="2" t="str">
        <f t="shared" si="67"/>
        <v/>
      </c>
      <c r="I89" s="2" t="str">
        <f t="shared" si="67"/>
        <v/>
      </c>
      <c r="J89" s="2" t="str">
        <f t="shared" si="67"/>
        <v/>
      </c>
      <c r="K89" s="2" t="str">
        <f t="shared" si="67"/>
        <v/>
      </c>
      <c r="L89" s="2" t="str">
        <f t="shared" si="19"/>
        <v/>
      </c>
      <c r="M89" s="2" t="str">
        <f t="shared" si="11"/>
        <v/>
      </c>
      <c r="N89" s="152" t="str">
        <f t="shared" si="12"/>
        <v/>
      </c>
      <c r="O89" s="2" t="str">
        <f t="shared" ref="O89:S89" si="68">X29</f>
        <v/>
      </c>
      <c r="P89" s="2" t="str">
        <f t="shared" si="68"/>
        <v/>
      </c>
      <c r="Q89" s="2" t="str">
        <f t="shared" si="68"/>
        <v/>
      </c>
      <c r="R89" s="2" t="str">
        <f t="shared" si="68"/>
        <v/>
      </c>
      <c r="S89" s="2" t="str">
        <f t="shared" si="68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hidden="1">
      <c r="A90" s="2" t="str">
        <f t="shared" si="9"/>
        <v>Sebastian</v>
      </c>
      <c r="B90" s="178" t="str">
        <f t="shared" ref="B90:K90" si="69">L30</f>
        <v>Win</v>
      </c>
      <c r="C90" s="2" t="str">
        <f t="shared" si="69"/>
        <v/>
      </c>
      <c r="D90" s="152">
        <f t="shared" si="69"/>
        <v>20</v>
      </c>
      <c r="E90" s="2">
        <f t="shared" si="69"/>
        <v>6</v>
      </c>
      <c r="F90" s="2">
        <f t="shared" si="69"/>
        <v>0</v>
      </c>
      <c r="G90" s="2">
        <f t="shared" si="69"/>
        <v>10</v>
      </c>
      <c r="H90" s="2">
        <f t="shared" si="69"/>
        <v>4</v>
      </c>
      <c r="I90" s="2">
        <f t="shared" si="69"/>
        <v>21</v>
      </c>
      <c r="J90" s="2" t="str">
        <f t="shared" si="69"/>
        <v/>
      </c>
      <c r="K90" s="2" t="str">
        <f t="shared" si="69"/>
        <v/>
      </c>
      <c r="L90" s="2" t="str">
        <f t="shared" si="19"/>
        <v/>
      </c>
      <c r="M90" s="2" t="str">
        <f t="shared" si="11"/>
        <v/>
      </c>
      <c r="N90" s="152" t="str">
        <f t="shared" si="12"/>
        <v/>
      </c>
      <c r="O90" s="2" t="str">
        <f t="shared" ref="O90:S90" si="70">X30</f>
        <v/>
      </c>
      <c r="P90" s="2" t="str">
        <f t="shared" si="70"/>
        <v/>
      </c>
      <c r="Q90" s="2" t="str">
        <f t="shared" si="70"/>
        <v/>
      </c>
      <c r="R90" s="2" t="str">
        <f t="shared" si="70"/>
        <v/>
      </c>
      <c r="S90" s="2" t="str">
        <f t="shared" si="70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hidden="1">
      <c r="A91" s="2" t="str">
        <f t="shared" si="9"/>
        <v>Erik</v>
      </c>
      <c r="B91" s="178" t="str">
        <f t="shared" ref="B91:K91" si="71">L31</f>
        <v>Win</v>
      </c>
      <c r="C91" s="2" t="str">
        <f t="shared" si="71"/>
        <v/>
      </c>
      <c r="D91" s="152" t="str">
        <f t="shared" si="71"/>
        <v/>
      </c>
      <c r="E91" s="2" t="str">
        <f t="shared" si="71"/>
        <v/>
      </c>
      <c r="F91" s="2" t="str">
        <f t="shared" si="71"/>
        <v/>
      </c>
      <c r="G91" s="2" t="str">
        <f t="shared" si="71"/>
        <v/>
      </c>
      <c r="H91" s="2" t="str">
        <f t="shared" si="71"/>
        <v/>
      </c>
      <c r="I91" s="2" t="str">
        <f t="shared" si="71"/>
        <v/>
      </c>
      <c r="J91" s="2" t="str">
        <f t="shared" si="71"/>
        <v/>
      </c>
      <c r="K91" s="2" t="str">
        <f t="shared" si="71"/>
        <v/>
      </c>
      <c r="L91" s="2" t="str">
        <f t="shared" si="19"/>
        <v/>
      </c>
      <c r="M91" s="2" t="str">
        <f t="shared" si="11"/>
        <v/>
      </c>
      <c r="N91" s="152" t="str">
        <f t="shared" si="12"/>
        <v/>
      </c>
      <c r="O91" s="2" t="str">
        <f t="shared" ref="O91:S91" si="72">X31</f>
        <v/>
      </c>
      <c r="P91" s="2" t="str">
        <f t="shared" si="72"/>
        <v/>
      </c>
      <c r="Q91" s="2" t="str">
        <f t="shared" si="72"/>
        <v/>
      </c>
      <c r="R91" s="2" t="str">
        <f t="shared" si="72"/>
        <v/>
      </c>
      <c r="S91" s="2" t="str">
        <f t="shared" si="72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hidden="1">
      <c r="A92" s="176" t="str">
        <f t="shared" si="9"/>
        <v>Jack</v>
      </c>
      <c r="B92" s="178" t="str">
        <f t="shared" ref="B92:K92" si="73">L32</f>
        <v>Win</v>
      </c>
      <c r="C92" s="2" t="str">
        <f t="shared" si="73"/>
        <v/>
      </c>
      <c r="D92" s="152" t="str">
        <f t="shared" si="73"/>
        <v/>
      </c>
      <c r="E92" s="2" t="str">
        <f t="shared" si="73"/>
        <v/>
      </c>
      <c r="F92" s="2" t="str">
        <f t="shared" si="73"/>
        <v/>
      </c>
      <c r="G92" s="2" t="str">
        <f t="shared" si="73"/>
        <v/>
      </c>
      <c r="H92" s="2" t="str">
        <f t="shared" si="73"/>
        <v/>
      </c>
      <c r="I92" s="2" t="str">
        <f t="shared" si="73"/>
        <v/>
      </c>
      <c r="J92" s="2" t="str">
        <f t="shared" si="73"/>
        <v/>
      </c>
      <c r="K92" s="2" t="str">
        <f t="shared" si="73"/>
        <v/>
      </c>
      <c r="L92" s="2" t="str">
        <f t="shared" si="19"/>
        <v/>
      </c>
      <c r="M92" s="2" t="str">
        <f t="shared" si="11"/>
        <v/>
      </c>
      <c r="N92" s="152" t="str">
        <f t="shared" si="12"/>
        <v/>
      </c>
      <c r="O92" s="2" t="str">
        <f t="shared" ref="O92:S92" si="74">X32</f>
        <v/>
      </c>
      <c r="P92" s="2" t="str">
        <f t="shared" si="74"/>
        <v/>
      </c>
      <c r="Q92" s="2" t="str">
        <f t="shared" si="74"/>
        <v/>
      </c>
      <c r="R92" s="2" t="str">
        <f t="shared" si="74"/>
        <v/>
      </c>
      <c r="S92" s="2" t="str">
        <f t="shared" si="74"/>
        <v/>
      </c>
      <c r="T92" s="2"/>
      <c r="U92" s="2"/>
      <c r="V92" s="2"/>
      <c r="W92" s="2"/>
      <c r="X92" s="2"/>
      <c r="Y92" s="2"/>
      <c r="Z92" s="2"/>
      <c r="AA92" s="2"/>
      <c r="AB92" s="2"/>
    </row>
    <row r="93" hidden="1">
      <c r="A93" s="2" t="str">
        <f t="shared" si="9"/>
        <v/>
      </c>
      <c r="B93" s="178" t="str">
        <f t="shared" ref="B93:K93" si="75">L33</f>
        <v>Win</v>
      </c>
      <c r="C93" s="2" t="str">
        <f t="shared" si="75"/>
        <v/>
      </c>
      <c r="D93" s="152" t="str">
        <f t="shared" si="75"/>
        <v/>
      </c>
      <c r="E93" s="2" t="str">
        <f t="shared" si="75"/>
        <v/>
      </c>
      <c r="F93" s="2" t="str">
        <f t="shared" si="75"/>
        <v/>
      </c>
      <c r="G93" s="2" t="str">
        <f t="shared" si="75"/>
        <v/>
      </c>
      <c r="H93" s="2" t="str">
        <f t="shared" si="75"/>
        <v/>
      </c>
      <c r="I93" s="2" t="str">
        <f t="shared" si="75"/>
        <v/>
      </c>
      <c r="J93" s="2" t="str">
        <f t="shared" si="75"/>
        <v/>
      </c>
      <c r="K93" s="2" t="str">
        <f t="shared" si="75"/>
        <v/>
      </c>
      <c r="L93" s="2" t="str">
        <f t="shared" si="19"/>
        <v/>
      </c>
      <c r="M93" s="2" t="str">
        <f t="shared" si="11"/>
        <v/>
      </c>
      <c r="N93" s="152" t="str">
        <f t="shared" si="12"/>
        <v/>
      </c>
      <c r="O93" s="2" t="str">
        <f t="shared" ref="O93:S93" si="76">X33</f>
        <v/>
      </c>
      <c r="P93" s="2" t="str">
        <f t="shared" si="76"/>
        <v/>
      </c>
      <c r="Q93" s="2" t="str">
        <f t="shared" si="76"/>
        <v/>
      </c>
      <c r="R93" s="2" t="str">
        <f t="shared" si="76"/>
        <v/>
      </c>
      <c r="S93" s="2" t="str">
        <f t="shared" si="76"/>
        <v/>
      </c>
      <c r="T93" s="2"/>
      <c r="U93" s="2"/>
      <c r="V93" s="2"/>
      <c r="W93" s="2"/>
      <c r="X93" s="2"/>
      <c r="Y93" s="2"/>
      <c r="Z93" s="2"/>
      <c r="AA93" s="2"/>
      <c r="AB93" s="2"/>
    </row>
    <row r="94" hidden="1">
      <c r="A94" s="2" t="str">
        <f t="shared" si="9"/>
        <v/>
      </c>
      <c r="B94" s="178" t="str">
        <f t="shared" ref="B94:K94" si="77">L34</f>
        <v>Win</v>
      </c>
      <c r="C94" s="2" t="str">
        <f t="shared" si="77"/>
        <v/>
      </c>
      <c r="D94" s="152" t="str">
        <f t="shared" si="77"/>
        <v/>
      </c>
      <c r="E94" s="2" t="str">
        <f t="shared" si="77"/>
        <v/>
      </c>
      <c r="F94" s="2" t="str">
        <f t="shared" si="77"/>
        <v/>
      </c>
      <c r="G94" s="2" t="str">
        <f t="shared" si="77"/>
        <v/>
      </c>
      <c r="H94" s="2" t="str">
        <f t="shared" si="77"/>
        <v/>
      </c>
      <c r="I94" s="2" t="str">
        <f t="shared" si="77"/>
        <v/>
      </c>
      <c r="J94" s="2" t="str">
        <f t="shared" si="77"/>
        <v/>
      </c>
      <c r="K94" s="2" t="str">
        <f t="shared" si="77"/>
        <v/>
      </c>
      <c r="L94" s="2" t="str">
        <f t="shared" si="19"/>
        <v/>
      </c>
      <c r="M94" s="2" t="str">
        <f t="shared" si="11"/>
        <v/>
      </c>
      <c r="N94" s="152" t="str">
        <f t="shared" si="12"/>
        <v/>
      </c>
      <c r="O94" s="2" t="str">
        <f t="shared" ref="O94:S94" si="78">X34</f>
        <v/>
      </c>
      <c r="P94" s="2" t="str">
        <f t="shared" si="78"/>
        <v/>
      </c>
      <c r="Q94" s="2" t="str">
        <f t="shared" si="78"/>
        <v/>
      </c>
      <c r="R94" s="2" t="str">
        <f t="shared" si="78"/>
        <v/>
      </c>
      <c r="S94" s="2" t="str">
        <f t="shared" si="78"/>
        <v/>
      </c>
      <c r="T94" s="2"/>
      <c r="U94" s="2"/>
      <c r="V94" s="2"/>
      <c r="W94" s="2"/>
      <c r="X94" s="2"/>
      <c r="Y94" s="2"/>
      <c r="Z94" s="2"/>
      <c r="AA94" s="2"/>
      <c r="AB94" s="2"/>
    </row>
    <row r="95" hidden="1">
      <c r="A95" s="2" t="str">
        <f t="shared" si="9"/>
        <v/>
      </c>
      <c r="B95" s="178" t="str">
        <f t="shared" ref="B95:K95" si="79">L35</f>
        <v>Win</v>
      </c>
      <c r="C95" s="2" t="str">
        <f t="shared" si="79"/>
        <v/>
      </c>
      <c r="D95" s="152" t="str">
        <f t="shared" si="79"/>
        <v/>
      </c>
      <c r="E95" s="2" t="str">
        <f t="shared" si="79"/>
        <v/>
      </c>
      <c r="F95" s="2" t="str">
        <f t="shared" si="79"/>
        <v/>
      </c>
      <c r="G95" s="2" t="str">
        <f t="shared" si="79"/>
        <v/>
      </c>
      <c r="H95" s="2" t="str">
        <f t="shared" si="79"/>
        <v/>
      </c>
      <c r="I95" s="2" t="str">
        <f t="shared" si="79"/>
        <v/>
      </c>
      <c r="J95" s="2" t="str">
        <f t="shared" si="79"/>
        <v/>
      </c>
      <c r="K95" s="2" t="str">
        <f t="shared" si="79"/>
        <v/>
      </c>
      <c r="L95" s="2" t="str">
        <f t="shared" si="19"/>
        <v/>
      </c>
      <c r="M95" s="2" t="str">
        <f t="shared" si="11"/>
        <v/>
      </c>
      <c r="N95" s="152" t="str">
        <f t="shared" si="12"/>
        <v/>
      </c>
      <c r="O95" s="2" t="str">
        <f t="shared" ref="O95:S95" si="80">X35</f>
        <v/>
      </c>
      <c r="P95" s="2" t="str">
        <f t="shared" si="80"/>
        <v/>
      </c>
      <c r="Q95" s="2" t="str">
        <f t="shared" si="80"/>
        <v/>
      </c>
      <c r="R95" s="2" t="str">
        <f t="shared" si="80"/>
        <v/>
      </c>
      <c r="S95" s="2" t="str">
        <f t="shared" si="80"/>
        <v/>
      </c>
      <c r="T95" s="2"/>
      <c r="U95" s="2"/>
      <c r="V95" s="2"/>
      <c r="W95" s="2"/>
      <c r="X95" s="2"/>
      <c r="Y95" s="2"/>
      <c r="Z95" s="2"/>
      <c r="AA95" s="2"/>
      <c r="AB95" s="2"/>
    </row>
    <row r="96" hidden="1">
      <c r="A96" s="2" t="str">
        <f t="shared" si="9"/>
        <v/>
      </c>
      <c r="B96" s="178" t="str">
        <f t="shared" ref="B96:K96" si="81">L36</f>
        <v>Win</v>
      </c>
      <c r="C96" s="2" t="str">
        <f t="shared" si="81"/>
        <v/>
      </c>
      <c r="D96" s="152" t="str">
        <f t="shared" si="81"/>
        <v/>
      </c>
      <c r="E96" s="2" t="str">
        <f t="shared" si="81"/>
        <v/>
      </c>
      <c r="F96" s="2" t="str">
        <f t="shared" si="81"/>
        <v/>
      </c>
      <c r="G96" s="2" t="str">
        <f t="shared" si="81"/>
        <v/>
      </c>
      <c r="H96" s="2" t="str">
        <f t="shared" si="81"/>
        <v/>
      </c>
      <c r="I96" s="2" t="str">
        <f t="shared" si="81"/>
        <v/>
      </c>
      <c r="J96" s="2" t="str">
        <f t="shared" si="81"/>
        <v/>
      </c>
      <c r="K96" s="2" t="str">
        <f t="shared" si="81"/>
        <v/>
      </c>
      <c r="L96" s="2" t="str">
        <f t="shared" si="19"/>
        <v/>
      </c>
      <c r="M96" s="2" t="str">
        <f t="shared" si="11"/>
        <v/>
      </c>
      <c r="N96" s="152" t="str">
        <f t="shared" si="12"/>
        <v/>
      </c>
      <c r="O96" s="2" t="str">
        <f t="shared" ref="O96:S96" si="82">X36</f>
        <v/>
      </c>
      <c r="P96" s="2" t="str">
        <f t="shared" si="82"/>
        <v/>
      </c>
      <c r="Q96" s="2" t="str">
        <f t="shared" si="82"/>
        <v/>
      </c>
      <c r="R96" s="2" t="str">
        <f t="shared" si="82"/>
        <v/>
      </c>
      <c r="S96" s="2" t="str">
        <f t="shared" si="82"/>
        <v/>
      </c>
      <c r="T96" s="2"/>
      <c r="U96" s="2"/>
      <c r="V96" s="2"/>
      <c r="W96" s="2"/>
      <c r="X96" s="2"/>
      <c r="Y96" s="2"/>
      <c r="Z96" s="2"/>
      <c r="AA96" s="2"/>
      <c r="AB96" s="2"/>
    </row>
    <row r="97" hidden="1">
      <c r="A97" s="2" t="str">
        <f t="shared" si="9"/>
        <v/>
      </c>
      <c r="B97" s="178" t="str">
        <f t="shared" ref="B97:K97" si="83">L37</f>
        <v>Win</v>
      </c>
      <c r="C97" s="2" t="str">
        <f t="shared" si="83"/>
        <v/>
      </c>
      <c r="D97" s="152" t="str">
        <f t="shared" si="83"/>
        <v/>
      </c>
      <c r="E97" s="2" t="str">
        <f t="shared" si="83"/>
        <v/>
      </c>
      <c r="F97" s="2" t="str">
        <f t="shared" si="83"/>
        <v/>
      </c>
      <c r="G97" s="2" t="str">
        <f t="shared" si="83"/>
        <v/>
      </c>
      <c r="H97" s="2" t="str">
        <f t="shared" si="83"/>
        <v/>
      </c>
      <c r="I97" s="2" t="str">
        <f t="shared" si="83"/>
        <v/>
      </c>
      <c r="J97" s="2" t="str">
        <f t="shared" si="83"/>
        <v/>
      </c>
      <c r="K97" s="2" t="str">
        <f t="shared" si="83"/>
        <v/>
      </c>
      <c r="L97" s="2" t="str">
        <f t="shared" si="19"/>
        <v/>
      </c>
      <c r="M97" s="2" t="str">
        <f t="shared" si="11"/>
        <v/>
      </c>
      <c r="N97" s="152" t="str">
        <f t="shared" si="12"/>
        <v/>
      </c>
      <c r="O97" s="2" t="str">
        <f t="shared" ref="O97:S97" si="84">X37</f>
        <v/>
      </c>
      <c r="P97" s="2" t="str">
        <f t="shared" si="84"/>
        <v/>
      </c>
      <c r="Q97" s="2" t="str">
        <f t="shared" si="84"/>
        <v/>
      </c>
      <c r="R97" s="2" t="str">
        <f t="shared" si="84"/>
        <v/>
      </c>
      <c r="S97" s="2" t="str">
        <f t="shared" si="84"/>
        <v/>
      </c>
      <c r="T97" s="2"/>
      <c r="U97" s="2"/>
      <c r="V97" s="2"/>
      <c r="W97" s="2"/>
      <c r="X97" s="2"/>
      <c r="Y97" s="2"/>
      <c r="Z97" s="2"/>
      <c r="AA97" s="2"/>
      <c r="AB97" s="2"/>
    </row>
    <row r="98" hidden="1">
      <c r="A98" s="176" t="str">
        <f t="shared" si="9"/>
        <v>Pulled Cups</v>
      </c>
      <c r="B98" s="178" t="str">
        <f t="shared" ref="B98:K98" si="85">L38</f>
        <v/>
      </c>
      <c r="C98" s="2" t="str">
        <f t="shared" si="85"/>
        <v/>
      </c>
      <c r="D98" s="152">
        <f t="shared" si="85"/>
        <v>24</v>
      </c>
      <c r="E98" s="2" t="str">
        <f t="shared" si="85"/>
        <v/>
      </c>
      <c r="F98" s="2" t="str">
        <f t="shared" si="85"/>
        <v/>
      </c>
      <c r="G98" s="2" t="str">
        <f t="shared" si="85"/>
        <v/>
      </c>
      <c r="H98" s="2" t="str">
        <f t="shared" si="85"/>
        <v/>
      </c>
      <c r="I98" s="2" t="str">
        <f t="shared" si="85"/>
        <v/>
      </c>
      <c r="J98" s="2" t="str">
        <f t="shared" si="85"/>
        <v/>
      </c>
      <c r="K98" s="2" t="str">
        <f t="shared" si="85"/>
        <v/>
      </c>
      <c r="L98" s="2" t="str">
        <f t="shared" si="19"/>
        <v/>
      </c>
      <c r="M98" s="2" t="str">
        <f t="shared" si="11"/>
        <v/>
      </c>
      <c r="N98" s="152" t="str">
        <f t="shared" si="12"/>
        <v/>
      </c>
      <c r="O98" s="2" t="str">
        <f t="shared" ref="O98:S98" si="86">X38</f>
        <v/>
      </c>
      <c r="P98" s="2" t="str">
        <f t="shared" si="86"/>
        <v/>
      </c>
      <c r="Q98" s="2" t="str">
        <f t="shared" si="86"/>
        <v/>
      </c>
      <c r="R98" s="2" t="str">
        <f t="shared" si="86"/>
        <v/>
      </c>
      <c r="S98" s="2" t="str">
        <f t="shared" si="86"/>
        <v/>
      </c>
      <c r="T98" s="2"/>
      <c r="U98" s="2"/>
      <c r="V98" s="2"/>
      <c r="W98" s="2"/>
      <c r="X98" s="2"/>
      <c r="Y98" s="2"/>
      <c r="Z98" s="2"/>
      <c r="AA98" s="2"/>
      <c r="AB98" s="2"/>
    </row>
    <row r="99" hidden="1">
      <c r="A99" s="176" t="str">
        <f t="shared" si="9"/>
        <v>Total</v>
      </c>
      <c r="B99" s="178" t="str">
        <f t="shared" ref="B99:K99" si="87">L39</f>
        <v/>
      </c>
      <c r="C99" s="2" t="str">
        <f t="shared" si="87"/>
        <v/>
      </c>
      <c r="D99" s="129">
        <f t="shared" si="87"/>
        <v>100</v>
      </c>
      <c r="E99" s="2" t="str">
        <f t="shared" si="87"/>
        <v/>
      </c>
      <c r="F99" s="2" t="str">
        <f t="shared" si="87"/>
        <v/>
      </c>
      <c r="G99" s="2" t="str">
        <f t="shared" si="87"/>
        <v/>
      </c>
      <c r="H99" s="2" t="str">
        <f t="shared" si="87"/>
        <v/>
      </c>
      <c r="I99" s="128">
        <f t="shared" si="87"/>
        <v>0.4198895028</v>
      </c>
      <c r="J99" s="2" t="str">
        <f t="shared" si="87"/>
        <v/>
      </c>
      <c r="K99" s="2" t="str">
        <f t="shared" si="87"/>
        <v/>
      </c>
      <c r="L99" s="2" t="str">
        <f t="shared" si="19"/>
        <v/>
      </c>
      <c r="M99" s="2" t="str">
        <f t="shared" si="11"/>
        <v/>
      </c>
      <c r="N99" s="129" t="str">
        <f t="shared" si="12"/>
        <v/>
      </c>
      <c r="O99" s="2" t="str">
        <f t="shared" ref="O99:S99" si="88">X39</f>
        <v/>
      </c>
      <c r="P99" s="2" t="str">
        <f t="shared" si="88"/>
        <v/>
      </c>
      <c r="Q99" s="2" t="str">
        <f t="shared" si="88"/>
        <v/>
      </c>
      <c r="R99" s="2" t="str">
        <f t="shared" si="88"/>
        <v/>
      </c>
      <c r="S99" s="2" t="str">
        <f t="shared" si="88"/>
        <v/>
      </c>
      <c r="T99" s="2"/>
      <c r="U99" s="2"/>
      <c r="V99" s="2"/>
      <c r="W99" s="2"/>
      <c r="X99" s="2"/>
      <c r="Y99" s="2"/>
      <c r="Z99" s="2"/>
      <c r="AA99" s="2"/>
      <c r="AB99" s="2"/>
    </row>
    <row r="100" hidden="1">
      <c r="A100" s="2" t="str">
        <f t="shared" si="9"/>
        <v/>
      </c>
      <c r="B100" s="178" t="str">
        <f t="shared" ref="B100:K100" si="89">L40</f>
        <v/>
      </c>
      <c r="C100" s="2" t="str">
        <f t="shared" si="89"/>
        <v/>
      </c>
      <c r="D100" s="2" t="str">
        <f t="shared" si="89"/>
        <v/>
      </c>
      <c r="E100" s="2" t="str">
        <f t="shared" si="89"/>
        <v/>
      </c>
      <c r="F100" s="2" t="str">
        <f t="shared" si="89"/>
        <v/>
      </c>
      <c r="G100" s="2" t="str">
        <f t="shared" si="89"/>
        <v/>
      </c>
      <c r="H100" s="2" t="str">
        <f t="shared" si="89"/>
        <v/>
      </c>
      <c r="I100" s="2" t="str">
        <f t="shared" si="89"/>
        <v/>
      </c>
      <c r="J100" s="2" t="str">
        <f t="shared" si="89"/>
        <v/>
      </c>
      <c r="K100" s="2" t="str">
        <f t="shared" si="89"/>
        <v/>
      </c>
      <c r="L100" s="2" t="str">
        <f t="shared" si="19"/>
        <v/>
      </c>
      <c r="M100" s="2" t="str">
        <f t="shared" si="11"/>
        <v/>
      </c>
      <c r="N100" s="2" t="str">
        <f t="shared" si="12"/>
        <v/>
      </c>
      <c r="O100" s="2" t="str">
        <f t="shared" ref="O100:S100" si="90">X40</f>
        <v/>
      </c>
      <c r="P100" s="2" t="str">
        <f t="shared" si="90"/>
        <v/>
      </c>
      <c r="Q100" s="2" t="str">
        <f t="shared" si="90"/>
        <v/>
      </c>
      <c r="R100" s="2" t="str">
        <f t="shared" si="90"/>
        <v/>
      </c>
      <c r="S100" s="2" t="str">
        <f t="shared" si="90"/>
        <v/>
      </c>
      <c r="T100" s="2"/>
      <c r="U100" s="2"/>
      <c r="V100" s="2"/>
      <c r="W100" s="2"/>
      <c r="X100" s="2"/>
      <c r="Y100" s="2"/>
      <c r="Z100" s="2"/>
      <c r="AA100" s="2"/>
      <c r="AB100" s="2"/>
    </row>
    <row r="101" hidden="1">
      <c r="A101" s="176" t="str">
        <f t="shared" si="9"/>
        <v>Team F</v>
      </c>
      <c r="B101" s="178" t="str">
        <f t="shared" ref="B101:K101" si="91">L41</f>
        <v/>
      </c>
      <c r="C101" s="2" t="str">
        <f t="shared" si="91"/>
        <v/>
      </c>
      <c r="D101" s="2" t="str">
        <f t="shared" si="91"/>
        <v/>
      </c>
      <c r="E101" s="176" t="str">
        <f t="shared" si="91"/>
        <v>Result</v>
      </c>
      <c r="F101" s="166" t="str">
        <f t="shared" si="91"/>
        <v>Loss</v>
      </c>
      <c r="G101" s="2" t="str">
        <f t="shared" si="91"/>
        <v/>
      </c>
      <c r="H101" s="176" t="str">
        <f t="shared" si="91"/>
        <v>Margin</v>
      </c>
      <c r="I101" s="129">
        <f t="shared" si="91"/>
        <v>-1</v>
      </c>
      <c r="J101" s="2" t="str">
        <f t="shared" si="91"/>
        <v/>
      </c>
      <c r="K101" s="2" t="str">
        <f t="shared" si="91"/>
        <v/>
      </c>
      <c r="L101" s="2" t="str">
        <f t="shared" si="19"/>
        <v/>
      </c>
      <c r="M101" s="2" t="str">
        <f t="shared" si="11"/>
        <v/>
      </c>
      <c r="N101" s="2" t="str">
        <f t="shared" si="12"/>
        <v/>
      </c>
      <c r="O101" s="2" t="str">
        <f t="shared" ref="O101:S101" si="92">X41</f>
        <v/>
      </c>
      <c r="P101" s="2" t="str">
        <f t="shared" si="92"/>
        <v/>
      </c>
      <c r="Q101" s="2" t="str">
        <f t="shared" si="92"/>
        <v/>
      </c>
      <c r="R101" s="2" t="str">
        <f t="shared" si="92"/>
        <v/>
      </c>
      <c r="S101" s="2" t="str">
        <f t="shared" si="92"/>
        <v/>
      </c>
      <c r="T101" s="2"/>
      <c r="U101" s="2"/>
      <c r="V101" s="2"/>
      <c r="W101" s="2"/>
      <c r="X101" s="2"/>
      <c r="Y101" s="2"/>
      <c r="Z101" s="2"/>
      <c r="AA101" s="2"/>
      <c r="AB101" s="2"/>
    </row>
    <row r="102" hidden="1">
      <c r="A102" s="176" t="str">
        <f t="shared" si="9"/>
        <v>Name</v>
      </c>
      <c r="B102" s="178" t="str">
        <f t="shared" ref="B102:K102" si="93">L42</f>
        <v>W/L?</v>
      </c>
      <c r="C102" s="176" t="str">
        <f t="shared" si="93"/>
        <v>Shot Order</v>
      </c>
      <c r="D102" s="176" t="str">
        <f t="shared" si="93"/>
        <v>Total Cups</v>
      </c>
      <c r="E102" s="176" t="str">
        <f t="shared" si="93"/>
        <v>Tops</v>
      </c>
      <c r="F102" s="176" t="str">
        <f t="shared" si="93"/>
        <v>Top Isos</v>
      </c>
      <c r="G102" s="176" t="str">
        <f t="shared" si="93"/>
        <v>Bottoms</v>
      </c>
      <c r="H102" s="176" t="str">
        <f t="shared" si="93"/>
        <v>Bottom Isos</v>
      </c>
      <c r="I102" s="176" t="str">
        <f t="shared" si="93"/>
        <v>Misses</v>
      </c>
      <c r="J102" s="2" t="str">
        <f t="shared" si="93"/>
        <v/>
      </c>
      <c r="K102" s="2" t="str">
        <f t="shared" si="93"/>
        <v/>
      </c>
      <c r="L102" s="2" t="str">
        <f t="shared" si="19"/>
        <v/>
      </c>
      <c r="M102" s="2" t="str">
        <f t="shared" si="11"/>
        <v/>
      </c>
      <c r="N102" s="176" t="str">
        <f t="shared" si="12"/>
        <v/>
      </c>
      <c r="O102" s="2" t="str">
        <f t="shared" ref="O102:S102" si="94">X42</f>
        <v/>
      </c>
      <c r="P102" s="2" t="str">
        <f t="shared" si="94"/>
        <v/>
      </c>
      <c r="Q102" s="2" t="str">
        <f t="shared" si="94"/>
        <v/>
      </c>
      <c r="R102" s="2" t="str">
        <f t="shared" si="94"/>
        <v/>
      </c>
      <c r="S102" s="2" t="str">
        <f t="shared" si="94"/>
        <v/>
      </c>
      <c r="T102" s="2"/>
      <c r="U102" s="2"/>
      <c r="V102" s="2"/>
      <c r="W102" s="2"/>
      <c r="X102" s="2"/>
      <c r="Y102" s="2"/>
      <c r="Z102" s="2"/>
      <c r="AA102" s="2"/>
      <c r="AB102" s="2"/>
    </row>
    <row r="103" hidden="1">
      <c r="A103" s="176" t="str">
        <f t="shared" si="9"/>
        <v>Jay</v>
      </c>
      <c r="B103" s="178" t="str">
        <f t="shared" ref="B103:K103" si="95">L43</f>
        <v>Loss</v>
      </c>
      <c r="C103" s="2" t="str">
        <f t="shared" si="95"/>
        <v/>
      </c>
      <c r="D103" s="152">
        <f t="shared" si="95"/>
        <v>12</v>
      </c>
      <c r="E103" s="2">
        <f t="shared" si="95"/>
        <v>5</v>
      </c>
      <c r="F103" s="2">
        <f t="shared" si="95"/>
        <v>2</v>
      </c>
      <c r="G103" s="2">
        <f t="shared" si="95"/>
        <v>5</v>
      </c>
      <c r="H103" s="2">
        <f t="shared" si="95"/>
        <v>0</v>
      </c>
      <c r="I103" s="2">
        <f t="shared" si="95"/>
        <v>28</v>
      </c>
      <c r="J103" s="2" t="str">
        <f t="shared" si="95"/>
        <v/>
      </c>
      <c r="K103" s="2" t="str">
        <f t="shared" si="95"/>
        <v/>
      </c>
      <c r="L103" s="2" t="str">
        <f t="shared" si="19"/>
        <v/>
      </c>
      <c r="M103" s="2" t="str">
        <f t="shared" si="11"/>
        <v/>
      </c>
      <c r="N103" s="152" t="str">
        <f t="shared" si="12"/>
        <v/>
      </c>
      <c r="O103" s="2" t="str">
        <f t="shared" ref="O103:S103" si="96">X43</f>
        <v/>
      </c>
      <c r="P103" s="2" t="str">
        <f t="shared" si="96"/>
        <v/>
      </c>
      <c r="Q103" s="2" t="str">
        <f t="shared" si="96"/>
        <v/>
      </c>
      <c r="R103" s="2" t="str">
        <f t="shared" si="96"/>
        <v/>
      </c>
      <c r="S103" s="2" t="str">
        <f t="shared" si="96"/>
        <v/>
      </c>
      <c r="T103" s="2"/>
      <c r="U103" s="2"/>
      <c r="V103" s="2"/>
      <c r="W103" s="2"/>
      <c r="X103" s="2"/>
      <c r="Y103" s="2"/>
      <c r="Z103" s="2"/>
      <c r="AA103" s="2"/>
      <c r="AB103" s="2"/>
    </row>
    <row r="104" hidden="1">
      <c r="A104" s="2" t="str">
        <f t="shared" si="9"/>
        <v>Schmid</v>
      </c>
      <c r="B104" s="178" t="str">
        <f t="shared" ref="B104:K104" si="97">L44</f>
        <v>Loss</v>
      </c>
      <c r="C104" s="2" t="str">
        <f t="shared" si="97"/>
        <v/>
      </c>
      <c r="D104" s="152" t="str">
        <f t="shared" si="97"/>
        <v/>
      </c>
      <c r="E104" s="2" t="str">
        <f t="shared" si="97"/>
        <v/>
      </c>
      <c r="F104" s="2" t="str">
        <f t="shared" si="97"/>
        <v/>
      </c>
      <c r="G104" s="2" t="str">
        <f t="shared" si="97"/>
        <v/>
      </c>
      <c r="H104" s="2" t="str">
        <f t="shared" si="97"/>
        <v/>
      </c>
      <c r="I104" s="2" t="str">
        <f t="shared" si="97"/>
        <v/>
      </c>
      <c r="J104" s="2" t="str">
        <f t="shared" si="97"/>
        <v/>
      </c>
      <c r="K104" s="2" t="str">
        <f t="shared" si="97"/>
        <v/>
      </c>
      <c r="L104" s="2" t="str">
        <f t="shared" si="19"/>
        <v/>
      </c>
      <c r="M104" s="2" t="str">
        <f t="shared" si="11"/>
        <v/>
      </c>
      <c r="N104" s="152" t="str">
        <f t="shared" si="12"/>
        <v/>
      </c>
      <c r="O104" s="2" t="str">
        <f t="shared" ref="O104:S104" si="98">X44</f>
        <v/>
      </c>
      <c r="P104" s="2" t="str">
        <f t="shared" si="98"/>
        <v/>
      </c>
      <c r="Q104" s="2" t="str">
        <f t="shared" si="98"/>
        <v/>
      </c>
      <c r="R104" s="2" t="str">
        <f t="shared" si="98"/>
        <v/>
      </c>
      <c r="S104" s="2" t="str">
        <f t="shared" si="98"/>
        <v/>
      </c>
      <c r="T104" s="2"/>
      <c r="U104" s="2"/>
      <c r="V104" s="2"/>
      <c r="W104" s="2"/>
      <c r="X104" s="2"/>
      <c r="Y104" s="2"/>
      <c r="Z104" s="2"/>
      <c r="AA104" s="2"/>
      <c r="AB104" s="2"/>
    </row>
    <row r="105" hidden="1">
      <c r="A105" s="176" t="str">
        <f t="shared" si="9"/>
        <v>DC</v>
      </c>
      <c r="B105" s="178" t="str">
        <f t="shared" ref="B105:K105" si="99">L45</f>
        <v>Loss</v>
      </c>
      <c r="C105" s="2" t="str">
        <f t="shared" si="99"/>
        <v/>
      </c>
      <c r="D105" s="152">
        <f t="shared" si="99"/>
        <v>22</v>
      </c>
      <c r="E105" s="2">
        <f t="shared" si="99"/>
        <v>6</v>
      </c>
      <c r="F105" s="2">
        <f t="shared" si="99"/>
        <v>0</v>
      </c>
      <c r="G105" s="2">
        <f t="shared" si="99"/>
        <v>12</v>
      </c>
      <c r="H105" s="2">
        <f t="shared" si="99"/>
        <v>4</v>
      </c>
      <c r="I105" s="2">
        <f t="shared" si="99"/>
        <v>24</v>
      </c>
      <c r="J105" s="2" t="str">
        <f t="shared" si="99"/>
        <v/>
      </c>
      <c r="K105" s="2" t="str">
        <f t="shared" si="99"/>
        <v/>
      </c>
      <c r="L105" s="2" t="str">
        <f t="shared" si="19"/>
        <v/>
      </c>
      <c r="M105" s="2" t="str">
        <f t="shared" si="11"/>
        <v/>
      </c>
      <c r="N105" s="152" t="str">
        <f t="shared" si="12"/>
        <v/>
      </c>
      <c r="O105" s="2" t="str">
        <f t="shared" ref="O105:S105" si="100">X45</f>
        <v/>
      </c>
      <c r="P105" s="2" t="str">
        <f t="shared" si="100"/>
        <v/>
      </c>
      <c r="Q105" s="2" t="str">
        <f t="shared" si="100"/>
        <v/>
      </c>
      <c r="R105" s="2" t="str">
        <f t="shared" si="100"/>
        <v/>
      </c>
      <c r="S105" s="2" t="str">
        <f t="shared" si="100"/>
        <v/>
      </c>
      <c r="T105" s="2"/>
      <c r="U105" s="2"/>
      <c r="V105" s="2"/>
      <c r="W105" s="2"/>
      <c r="X105" s="2"/>
      <c r="Y105" s="2"/>
      <c r="Z105" s="2"/>
      <c r="AA105" s="2"/>
      <c r="AB105" s="2"/>
    </row>
    <row r="106" hidden="1">
      <c r="A106" s="176" t="str">
        <f t="shared" si="9"/>
        <v>Steven</v>
      </c>
      <c r="B106" s="178" t="str">
        <f t="shared" ref="B106:K106" si="101">L46</f>
        <v>Loss</v>
      </c>
      <c r="C106" s="2" t="str">
        <f t="shared" si="101"/>
        <v/>
      </c>
      <c r="D106" s="152">
        <f t="shared" si="101"/>
        <v>15</v>
      </c>
      <c r="E106" s="2">
        <f t="shared" si="101"/>
        <v>7</v>
      </c>
      <c r="F106" s="2">
        <f t="shared" si="101"/>
        <v>1</v>
      </c>
      <c r="G106" s="2">
        <f t="shared" si="101"/>
        <v>7</v>
      </c>
      <c r="H106" s="2">
        <f t="shared" si="101"/>
        <v>0</v>
      </c>
      <c r="I106" s="2">
        <f t="shared" si="101"/>
        <v>28</v>
      </c>
      <c r="J106" s="2" t="str">
        <f t="shared" si="101"/>
        <v/>
      </c>
      <c r="K106" s="2" t="str">
        <f t="shared" si="101"/>
        <v/>
      </c>
      <c r="L106" s="2" t="str">
        <f t="shared" si="19"/>
        <v/>
      </c>
      <c r="M106" s="2" t="str">
        <f t="shared" si="11"/>
        <v/>
      </c>
      <c r="N106" s="152" t="str">
        <f t="shared" si="12"/>
        <v/>
      </c>
      <c r="O106" s="2" t="str">
        <f t="shared" ref="O106:S106" si="102">X46</f>
        <v/>
      </c>
      <c r="P106" s="2" t="str">
        <f t="shared" si="102"/>
        <v/>
      </c>
      <c r="Q106" s="2" t="str">
        <f t="shared" si="102"/>
        <v/>
      </c>
      <c r="R106" s="2" t="str">
        <f t="shared" si="102"/>
        <v/>
      </c>
      <c r="S106" s="2" t="str">
        <f t="shared" si="102"/>
        <v/>
      </c>
      <c r="T106" s="2"/>
      <c r="U106" s="2"/>
      <c r="V106" s="2"/>
      <c r="W106" s="2"/>
      <c r="X106" s="2"/>
      <c r="Y106" s="2"/>
      <c r="Z106" s="2"/>
      <c r="AA106" s="2"/>
      <c r="AB106" s="2"/>
    </row>
    <row r="107" hidden="1">
      <c r="A107" s="2" t="str">
        <f t="shared" si="9"/>
        <v>Dave</v>
      </c>
      <c r="B107" s="178" t="str">
        <f t="shared" ref="B107:K107" si="103">L47</f>
        <v>Loss</v>
      </c>
      <c r="C107" s="2" t="str">
        <f t="shared" si="103"/>
        <v/>
      </c>
      <c r="D107" s="152">
        <f t="shared" si="103"/>
        <v>15</v>
      </c>
      <c r="E107" s="2">
        <f t="shared" si="103"/>
        <v>11</v>
      </c>
      <c r="F107" s="2">
        <f t="shared" si="103"/>
        <v>1</v>
      </c>
      <c r="G107" s="2">
        <f t="shared" si="103"/>
        <v>2</v>
      </c>
      <c r="H107" s="2">
        <f t="shared" si="103"/>
        <v>1</v>
      </c>
      <c r="I107" s="2">
        <f t="shared" si="103"/>
        <v>28</v>
      </c>
      <c r="J107" s="2" t="str">
        <f t="shared" si="103"/>
        <v/>
      </c>
      <c r="K107" s="2" t="str">
        <f t="shared" si="103"/>
        <v/>
      </c>
      <c r="L107" s="2" t="str">
        <f t="shared" si="19"/>
        <v/>
      </c>
      <c r="M107" s="2" t="str">
        <f t="shared" si="11"/>
        <v/>
      </c>
      <c r="N107" s="152" t="str">
        <f t="shared" si="12"/>
        <v/>
      </c>
      <c r="O107" s="2" t="str">
        <f t="shared" ref="O107:S107" si="104">X47</f>
        <v/>
      </c>
      <c r="P107" s="2" t="str">
        <f t="shared" si="104"/>
        <v/>
      </c>
      <c r="Q107" s="2" t="str">
        <f t="shared" si="104"/>
        <v/>
      </c>
      <c r="R107" s="2" t="str">
        <f t="shared" si="104"/>
        <v/>
      </c>
      <c r="S107" s="2" t="str">
        <f t="shared" si="104"/>
        <v/>
      </c>
      <c r="T107" s="2"/>
      <c r="U107" s="2"/>
      <c r="V107" s="2"/>
      <c r="W107" s="2"/>
      <c r="X107" s="2"/>
      <c r="Y107" s="2"/>
      <c r="Z107" s="2"/>
      <c r="AA107" s="2"/>
      <c r="AB107" s="2"/>
    </row>
    <row r="108" hidden="1">
      <c r="A108" s="2" t="str">
        <f t="shared" si="9"/>
        <v>Lulu</v>
      </c>
      <c r="B108" s="178" t="str">
        <f t="shared" ref="B108:K108" si="105">L48</f>
        <v>Loss</v>
      </c>
      <c r="C108" s="2" t="str">
        <f t="shared" si="105"/>
        <v/>
      </c>
      <c r="D108" s="152" t="str">
        <f t="shared" si="105"/>
        <v/>
      </c>
      <c r="E108" s="2" t="str">
        <f t="shared" si="105"/>
        <v/>
      </c>
      <c r="F108" s="2" t="str">
        <f t="shared" si="105"/>
        <v/>
      </c>
      <c r="G108" s="2" t="str">
        <f t="shared" si="105"/>
        <v/>
      </c>
      <c r="H108" s="2" t="str">
        <f t="shared" si="105"/>
        <v/>
      </c>
      <c r="I108" s="2" t="str">
        <f t="shared" si="105"/>
        <v/>
      </c>
      <c r="J108" s="2" t="str">
        <f t="shared" si="105"/>
        <v/>
      </c>
      <c r="K108" s="2" t="str">
        <f t="shared" si="105"/>
        <v/>
      </c>
      <c r="L108" s="2" t="str">
        <f t="shared" si="19"/>
        <v/>
      </c>
      <c r="M108" s="2" t="str">
        <f t="shared" si="11"/>
        <v/>
      </c>
      <c r="N108" s="152" t="str">
        <f t="shared" si="12"/>
        <v/>
      </c>
      <c r="O108" s="2" t="str">
        <f t="shared" ref="O108:S108" si="106">X48</f>
        <v/>
      </c>
      <c r="P108" s="2" t="str">
        <f t="shared" si="106"/>
        <v/>
      </c>
      <c r="Q108" s="2" t="str">
        <f t="shared" si="106"/>
        <v/>
      </c>
      <c r="R108" s="2" t="str">
        <f t="shared" si="106"/>
        <v/>
      </c>
      <c r="S108" s="2" t="str">
        <f t="shared" si="106"/>
        <v/>
      </c>
      <c r="T108" s="2"/>
      <c r="U108" s="2"/>
      <c r="V108" s="2"/>
      <c r="W108" s="2"/>
      <c r="X108" s="2"/>
      <c r="Y108" s="2"/>
      <c r="Z108" s="2"/>
      <c r="AA108" s="2"/>
      <c r="AB108" s="2"/>
    </row>
    <row r="109" hidden="1">
      <c r="A109" s="2" t="str">
        <f t="shared" si="9"/>
        <v>Will</v>
      </c>
      <c r="B109" s="178" t="str">
        <f t="shared" ref="B109:K109" si="107">L49</f>
        <v>Loss</v>
      </c>
      <c r="C109" s="2" t="str">
        <f t="shared" si="107"/>
        <v/>
      </c>
      <c r="D109" s="152">
        <f t="shared" si="107"/>
        <v>13</v>
      </c>
      <c r="E109" s="2">
        <f t="shared" si="107"/>
        <v>5</v>
      </c>
      <c r="F109" s="2">
        <f t="shared" si="107"/>
        <v>1</v>
      </c>
      <c r="G109" s="2">
        <f t="shared" si="107"/>
        <v>7</v>
      </c>
      <c r="H109" s="2">
        <f t="shared" si="107"/>
        <v>0</v>
      </c>
      <c r="I109" s="2">
        <f t="shared" si="107"/>
        <v>28</v>
      </c>
      <c r="J109" s="2" t="str">
        <f t="shared" si="107"/>
        <v/>
      </c>
      <c r="K109" s="2" t="str">
        <f t="shared" si="107"/>
        <v/>
      </c>
      <c r="L109" s="2" t="str">
        <f t="shared" si="19"/>
        <v/>
      </c>
      <c r="M109" s="2" t="str">
        <f t="shared" si="11"/>
        <v/>
      </c>
      <c r="N109" s="152" t="str">
        <f t="shared" si="12"/>
        <v/>
      </c>
      <c r="O109" s="2" t="str">
        <f t="shared" ref="O109:S109" si="108">X49</f>
        <v/>
      </c>
      <c r="P109" s="2" t="str">
        <f t="shared" si="108"/>
        <v/>
      </c>
      <c r="Q109" s="2" t="str">
        <f t="shared" si="108"/>
        <v/>
      </c>
      <c r="R109" s="2" t="str">
        <f t="shared" si="108"/>
        <v/>
      </c>
      <c r="S109" s="2" t="str">
        <f t="shared" si="108"/>
        <v/>
      </c>
      <c r="T109" s="2"/>
      <c r="U109" s="2"/>
      <c r="V109" s="2"/>
      <c r="W109" s="2"/>
      <c r="X109" s="2"/>
      <c r="Y109" s="2"/>
      <c r="Z109" s="2"/>
      <c r="AA109" s="2"/>
      <c r="AB109" s="2"/>
    </row>
    <row r="110" hidden="1">
      <c r="A110" s="2" t="str">
        <f t="shared" si="9"/>
        <v>Hershey</v>
      </c>
      <c r="B110" s="178" t="str">
        <f t="shared" ref="B110:K110" si="109">L50</f>
        <v>Loss</v>
      </c>
      <c r="C110" s="2" t="str">
        <f t="shared" si="109"/>
        <v/>
      </c>
      <c r="D110" s="152">
        <f t="shared" si="109"/>
        <v>20</v>
      </c>
      <c r="E110" s="2">
        <f t="shared" si="109"/>
        <v>5</v>
      </c>
      <c r="F110" s="2">
        <f t="shared" si="109"/>
        <v>0</v>
      </c>
      <c r="G110" s="2">
        <f t="shared" si="109"/>
        <v>15</v>
      </c>
      <c r="H110" s="2">
        <f t="shared" si="109"/>
        <v>0</v>
      </c>
      <c r="I110" s="2">
        <f t="shared" si="109"/>
        <v>26</v>
      </c>
      <c r="J110" s="2" t="str">
        <f t="shared" si="109"/>
        <v/>
      </c>
      <c r="K110" s="2" t="str">
        <f t="shared" si="109"/>
        <v/>
      </c>
      <c r="L110" s="2" t="str">
        <f t="shared" si="19"/>
        <v/>
      </c>
      <c r="M110" s="2" t="str">
        <f t="shared" si="11"/>
        <v/>
      </c>
      <c r="N110" s="152" t="str">
        <f t="shared" si="12"/>
        <v/>
      </c>
      <c r="O110" s="2" t="str">
        <f t="shared" ref="O110:S110" si="110">X50</f>
        <v/>
      </c>
      <c r="P110" s="2" t="str">
        <f t="shared" si="110"/>
        <v/>
      </c>
      <c r="Q110" s="2" t="str">
        <f t="shared" si="110"/>
        <v/>
      </c>
      <c r="R110" s="2" t="str">
        <f t="shared" si="110"/>
        <v/>
      </c>
      <c r="S110" s="2" t="str">
        <f t="shared" si="110"/>
        <v/>
      </c>
      <c r="T110" s="2"/>
      <c r="U110" s="2"/>
      <c r="V110" s="2"/>
      <c r="W110" s="2"/>
      <c r="X110" s="2"/>
      <c r="Y110" s="2"/>
      <c r="Z110" s="2"/>
      <c r="AA110" s="2"/>
      <c r="AB110" s="2"/>
    </row>
    <row r="111" hidden="1">
      <c r="A111" s="2" t="str">
        <f t="shared" si="9"/>
        <v>Byun</v>
      </c>
      <c r="B111" s="178" t="str">
        <f t="shared" ref="B111:K111" si="111">L51</f>
        <v>Loss</v>
      </c>
      <c r="C111" s="2" t="str">
        <f t="shared" si="111"/>
        <v/>
      </c>
      <c r="D111" s="152" t="str">
        <f t="shared" si="111"/>
        <v/>
      </c>
      <c r="E111" s="2" t="str">
        <f t="shared" si="111"/>
        <v/>
      </c>
      <c r="F111" s="2" t="str">
        <f t="shared" si="111"/>
        <v/>
      </c>
      <c r="G111" s="2" t="str">
        <f t="shared" si="111"/>
        <v/>
      </c>
      <c r="H111" s="2" t="str">
        <f t="shared" si="111"/>
        <v/>
      </c>
      <c r="I111" s="2" t="str">
        <f t="shared" si="111"/>
        <v/>
      </c>
      <c r="J111" s="2" t="str">
        <f t="shared" si="111"/>
        <v/>
      </c>
      <c r="K111" s="2" t="str">
        <f t="shared" si="111"/>
        <v/>
      </c>
      <c r="L111" s="2" t="str">
        <f t="shared" si="19"/>
        <v/>
      </c>
      <c r="M111" s="2" t="str">
        <f t="shared" si="11"/>
        <v/>
      </c>
      <c r="N111" s="152" t="str">
        <f t="shared" si="12"/>
        <v/>
      </c>
      <c r="O111" s="2" t="str">
        <f t="shared" ref="O111:S111" si="112">X51</f>
        <v/>
      </c>
      <c r="P111" s="2" t="str">
        <f t="shared" si="112"/>
        <v/>
      </c>
      <c r="Q111" s="2" t="str">
        <f t="shared" si="112"/>
        <v/>
      </c>
      <c r="R111" s="2" t="str">
        <f t="shared" si="112"/>
        <v/>
      </c>
      <c r="S111" s="2" t="str">
        <f t="shared" si="112"/>
        <v/>
      </c>
      <c r="T111" s="2"/>
      <c r="U111" s="2"/>
      <c r="V111" s="2"/>
      <c r="W111" s="2"/>
      <c r="X111" s="2"/>
      <c r="Y111" s="2"/>
      <c r="Z111" s="2"/>
      <c r="AA111" s="2"/>
      <c r="AB111" s="2"/>
    </row>
    <row r="112" hidden="1">
      <c r="A112" s="176" t="str">
        <f t="shared" si="9"/>
        <v>Ted</v>
      </c>
      <c r="B112" s="178" t="str">
        <f t="shared" ref="B112:K112" si="113">L52</f>
        <v>Loss</v>
      </c>
      <c r="C112" s="2" t="str">
        <f t="shared" si="113"/>
        <v/>
      </c>
      <c r="D112" s="152" t="str">
        <f t="shared" si="113"/>
        <v/>
      </c>
      <c r="E112" s="2" t="str">
        <f t="shared" si="113"/>
        <v/>
      </c>
      <c r="F112" s="2" t="str">
        <f t="shared" si="113"/>
        <v/>
      </c>
      <c r="G112" s="2" t="str">
        <f t="shared" si="113"/>
        <v/>
      </c>
      <c r="H112" s="2" t="str">
        <f t="shared" si="113"/>
        <v/>
      </c>
      <c r="I112" s="2" t="str">
        <f t="shared" si="113"/>
        <v/>
      </c>
      <c r="J112" s="2" t="str">
        <f t="shared" si="113"/>
        <v/>
      </c>
      <c r="K112" s="2" t="str">
        <f t="shared" si="113"/>
        <v/>
      </c>
      <c r="L112" s="2" t="str">
        <f t="shared" si="19"/>
        <v/>
      </c>
      <c r="M112" s="2" t="str">
        <f t="shared" si="11"/>
        <v/>
      </c>
      <c r="N112" s="152" t="str">
        <f t="shared" si="12"/>
        <v/>
      </c>
      <c r="O112" s="2" t="str">
        <f t="shared" ref="O112:S112" si="114">X52</f>
        <v/>
      </c>
      <c r="P112" s="2" t="str">
        <f t="shared" si="114"/>
        <v/>
      </c>
      <c r="Q112" s="2" t="str">
        <f t="shared" si="114"/>
        <v/>
      </c>
      <c r="R112" s="2" t="str">
        <f t="shared" si="114"/>
        <v/>
      </c>
      <c r="S112" s="2" t="str">
        <f t="shared" si="114"/>
        <v/>
      </c>
      <c r="T112" s="2"/>
      <c r="U112" s="2"/>
      <c r="V112" s="2"/>
      <c r="W112" s="2"/>
      <c r="X112" s="2"/>
      <c r="Y112" s="2"/>
      <c r="Z112" s="2"/>
      <c r="AA112" s="2"/>
      <c r="AB112" s="2"/>
    </row>
    <row r="113" hidden="1">
      <c r="A113" s="2" t="str">
        <f t="shared" si="9"/>
        <v>Gio</v>
      </c>
      <c r="B113" s="178" t="str">
        <f t="shared" ref="B113:K113" si="115">L53</f>
        <v>Loss</v>
      </c>
      <c r="C113" s="2" t="str">
        <f t="shared" si="115"/>
        <v/>
      </c>
      <c r="D113" s="152" t="str">
        <f t="shared" si="115"/>
        <v/>
      </c>
      <c r="E113" s="2" t="str">
        <f t="shared" si="115"/>
        <v/>
      </c>
      <c r="F113" s="2" t="str">
        <f t="shared" si="115"/>
        <v/>
      </c>
      <c r="G113" s="2" t="str">
        <f t="shared" si="115"/>
        <v/>
      </c>
      <c r="H113" s="2" t="str">
        <f t="shared" si="115"/>
        <v/>
      </c>
      <c r="I113" s="2" t="str">
        <f t="shared" si="115"/>
        <v/>
      </c>
      <c r="J113" s="2" t="str">
        <f t="shared" si="115"/>
        <v/>
      </c>
      <c r="K113" s="2" t="str">
        <f t="shared" si="115"/>
        <v/>
      </c>
      <c r="L113" s="2" t="str">
        <f t="shared" si="19"/>
        <v/>
      </c>
      <c r="M113" s="2" t="str">
        <f t="shared" si="11"/>
        <v/>
      </c>
      <c r="N113" s="152" t="str">
        <f t="shared" si="12"/>
        <v/>
      </c>
      <c r="O113" s="2" t="str">
        <f t="shared" ref="O113:S113" si="116">X53</f>
        <v/>
      </c>
      <c r="P113" s="2" t="str">
        <f t="shared" si="116"/>
        <v/>
      </c>
      <c r="Q113" s="2" t="str">
        <f t="shared" si="116"/>
        <v/>
      </c>
      <c r="R113" s="2" t="str">
        <f t="shared" si="116"/>
        <v/>
      </c>
      <c r="S113" s="2" t="str">
        <f t="shared" si="116"/>
        <v/>
      </c>
      <c r="T113" s="2"/>
      <c r="U113" s="2"/>
      <c r="V113" s="2"/>
      <c r="W113" s="2"/>
      <c r="X113" s="2"/>
      <c r="Y113" s="2"/>
      <c r="Z113" s="2"/>
      <c r="AA113" s="2"/>
      <c r="AB113" s="2"/>
    </row>
    <row r="114" hidden="1">
      <c r="A114" s="2" t="str">
        <f t="shared" si="9"/>
        <v/>
      </c>
      <c r="B114" s="178" t="str">
        <f t="shared" ref="B114:K114" si="117">L54</f>
        <v>Loss</v>
      </c>
      <c r="C114" s="2" t="str">
        <f t="shared" si="117"/>
        <v/>
      </c>
      <c r="D114" s="152" t="str">
        <f t="shared" si="117"/>
        <v/>
      </c>
      <c r="E114" s="2" t="str">
        <f t="shared" si="117"/>
        <v/>
      </c>
      <c r="F114" s="2" t="str">
        <f t="shared" si="117"/>
        <v/>
      </c>
      <c r="G114" s="2" t="str">
        <f t="shared" si="117"/>
        <v/>
      </c>
      <c r="H114" s="2" t="str">
        <f t="shared" si="117"/>
        <v/>
      </c>
      <c r="I114" s="2" t="str">
        <f t="shared" si="117"/>
        <v/>
      </c>
      <c r="J114" s="2" t="str">
        <f t="shared" si="117"/>
        <v/>
      </c>
      <c r="K114" s="2" t="str">
        <f t="shared" si="117"/>
        <v/>
      </c>
      <c r="L114" s="2" t="str">
        <f t="shared" si="19"/>
        <v/>
      </c>
      <c r="M114" s="2" t="str">
        <f t="shared" si="11"/>
        <v/>
      </c>
      <c r="N114" s="152" t="str">
        <f t="shared" si="12"/>
        <v/>
      </c>
      <c r="O114" s="2" t="str">
        <f t="shared" ref="O114:S114" si="118">X54</f>
        <v/>
      </c>
      <c r="P114" s="2" t="str">
        <f t="shared" si="118"/>
        <v/>
      </c>
      <c r="Q114" s="2" t="str">
        <f t="shared" si="118"/>
        <v/>
      </c>
      <c r="R114" s="2" t="str">
        <f t="shared" si="118"/>
        <v/>
      </c>
      <c r="S114" s="2" t="str">
        <f t="shared" si="118"/>
        <v/>
      </c>
      <c r="T114" s="2"/>
      <c r="U114" s="2"/>
      <c r="V114" s="2"/>
      <c r="W114" s="2"/>
      <c r="X114" s="2"/>
      <c r="Y114" s="2"/>
      <c r="Z114" s="2"/>
      <c r="AA114" s="2"/>
      <c r="AB114" s="2"/>
    </row>
    <row r="115" hidden="1">
      <c r="A115" s="2" t="str">
        <f t="shared" si="9"/>
        <v/>
      </c>
      <c r="B115" s="178" t="str">
        <f t="shared" ref="B115:K115" si="119">L55</f>
        <v>Loss</v>
      </c>
      <c r="C115" s="2" t="str">
        <f t="shared" si="119"/>
        <v/>
      </c>
      <c r="D115" s="152" t="str">
        <f t="shared" si="119"/>
        <v/>
      </c>
      <c r="E115" s="2" t="str">
        <f t="shared" si="119"/>
        <v/>
      </c>
      <c r="F115" s="2" t="str">
        <f t="shared" si="119"/>
        <v/>
      </c>
      <c r="G115" s="2" t="str">
        <f t="shared" si="119"/>
        <v/>
      </c>
      <c r="H115" s="2" t="str">
        <f t="shared" si="119"/>
        <v/>
      </c>
      <c r="I115" s="2" t="str">
        <f t="shared" si="119"/>
        <v/>
      </c>
      <c r="J115" s="2" t="str">
        <f t="shared" si="119"/>
        <v/>
      </c>
      <c r="K115" s="2" t="str">
        <f t="shared" si="119"/>
        <v/>
      </c>
      <c r="L115" s="2" t="str">
        <f t="shared" si="19"/>
        <v/>
      </c>
      <c r="M115" s="2" t="str">
        <f t="shared" si="11"/>
        <v/>
      </c>
      <c r="N115" s="152" t="str">
        <f t="shared" si="12"/>
        <v/>
      </c>
      <c r="O115" s="2" t="str">
        <f t="shared" ref="O115:S115" si="120">X55</f>
        <v/>
      </c>
      <c r="P115" s="2" t="str">
        <f t="shared" si="120"/>
        <v/>
      </c>
      <c r="Q115" s="2" t="str">
        <f t="shared" si="120"/>
        <v/>
      </c>
      <c r="R115" s="2" t="str">
        <f t="shared" si="120"/>
        <v/>
      </c>
      <c r="S115" s="2" t="str">
        <f t="shared" si="120"/>
        <v/>
      </c>
      <c r="T115" s="2"/>
      <c r="U115" s="2"/>
      <c r="V115" s="2"/>
      <c r="W115" s="2"/>
      <c r="X115" s="2"/>
      <c r="Y115" s="2"/>
      <c r="Z115" s="2"/>
      <c r="AA115" s="2"/>
      <c r="AB115" s="2"/>
    </row>
    <row r="116" hidden="1">
      <c r="A116" s="2" t="str">
        <f t="shared" si="9"/>
        <v/>
      </c>
      <c r="B116" s="178" t="str">
        <f t="shared" ref="B116:K116" si="121">L56</f>
        <v>Loss</v>
      </c>
      <c r="C116" s="2" t="str">
        <f t="shared" si="121"/>
        <v/>
      </c>
      <c r="D116" s="152" t="str">
        <f t="shared" si="121"/>
        <v/>
      </c>
      <c r="E116" s="2" t="str">
        <f t="shared" si="121"/>
        <v/>
      </c>
      <c r="F116" s="2" t="str">
        <f t="shared" si="121"/>
        <v/>
      </c>
      <c r="G116" s="2" t="str">
        <f t="shared" si="121"/>
        <v/>
      </c>
      <c r="H116" s="2" t="str">
        <f t="shared" si="121"/>
        <v/>
      </c>
      <c r="I116" s="2" t="str">
        <f t="shared" si="121"/>
        <v/>
      </c>
      <c r="J116" s="2" t="str">
        <f t="shared" si="121"/>
        <v/>
      </c>
      <c r="K116" s="2" t="str">
        <f t="shared" si="121"/>
        <v/>
      </c>
      <c r="L116" s="2" t="str">
        <f t="shared" si="19"/>
        <v/>
      </c>
      <c r="M116" s="2" t="str">
        <f t="shared" si="11"/>
        <v/>
      </c>
      <c r="N116" s="152" t="str">
        <f t="shared" si="12"/>
        <v/>
      </c>
      <c r="O116" s="2" t="str">
        <f t="shared" ref="O116:S116" si="122">X56</f>
        <v/>
      </c>
      <c r="P116" s="2" t="str">
        <f t="shared" si="122"/>
        <v/>
      </c>
      <c r="Q116" s="2" t="str">
        <f t="shared" si="122"/>
        <v/>
      </c>
      <c r="R116" s="2" t="str">
        <f t="shared" si="122"/>
        <v/>
      </c>
      <c r="S116" s="2" t="str">
        <f t="shared" si="122"/>
        <v/>
      </c>
      <c r="T116" s="2"/>
      <c r="U116" s="2"/>
      <c r="V116" s="2"/>
      <c r="W116" s="2"/>
      <c r="X116" s="2"/>
      <c r="Y116" s="2"/>
      <c r="Z116" s="2"/>
      <c r="AA116" s="2"/>
      <c r="AB116" s="2"/>
    </row>
    <row r="117" hidden="1">
      <c r="A117" s="2" t="str">
        <f t="shared" si="9"/>
        <v/>
      </c>
      <c r="B117" s="178" t="str">
        <f t="shared" ref="B117:K117" si="123">L57</f>
        <v>Loss</v>
      </c>
      <c r="C117" s="2" t="str">
        <f t="shared" si="123"/>
        <v/>
      </c>
      <c r="D117" s="152" t="str">
        <f t="shared" si="123"/>
        <v/>
      </c>
      <c r="E117" s="2" t="str">
        <f t="shared" si="123"/>
        <v/>
      </c>
      <c r="F117" s="2" t="str">
        <f t="shared" si="123"/>
        <v/>
      </c>
      <c r="G117" s="2" t="str">
        <f t="shared" si="123"/>
        <v/>
      </c>
      <c r="H117" s="2" t="str">
        <f t="shared" si="123"/>
        <v/>
      </c>
      <c r="I117" s="2" t="str">
        <f t="shared" si="123"/>
        <v/>
      </c>
      <c r="J117" s="2" t="str">
        <f t="shared" si="123"/>
        <v/>
      </c>
      <c r="K117" s="2" t="str">
        <f t="shared" si="123"/>
        <v/>
      </c>
      <c r="L117" s="2" t="str">
        <f t="shared" si="19"/>
        <v/>
      </c>
      <c r="M117" s="2" t="str">
        <f t="shared" si="11"/>
        <v/>
      </c>
      <c r="N117" s="152" t="str">
        <f t="shared" si="12"/>
        <v/>
      </c>
      <c r="O117" s="2" t="str">
        <f t="shared" ref="O117:S117" si="124">X57</f>
        <v/>
      </c>
      <c r="P117" s="2" t="str">
        <f t="shared" si="124"/>
        <v/>
      </c>
      <c r="Q117" s="2" t="str">
        <f t="shared" si="124"/>
        <v/>
      </c>
      <c r="R117" s="2" t="str">
        <f t="shared" si="124"/>
        <v/>
      </c>
      <c r="S117" s="2" t="str">
        <f t="shared" si="124"/>
        <v/>
      </c>
      <c r="T117" s="2"/>
      <c r="U117" s="2"/>
      <c r="V117" s="2"/>
      <c r="W117" s="2"/>
      <c r="X117" s="2"/>
      <c r="Y117" s="2"/>
      <c r="Z117" s="2"/>
      <c r="AA117" s="2"/>
      <c r="AB117" s="2"/>
    </row>
    <row r="118" hidden="1">
      <c r="A118" s="176" t="str">
        <f t="shared" si="9"/>
        <v>Pulled Cups</v>
      </c>
      <c r="B118" s="178" t="str">
        <f t="shared" ref="B118:K118" si="125">L58</f>
        <v/>
      </c>
      <c r="C118" s="2" t="str">
        <f t="shared" si="125"/>
        <v/>
      </c>
      <c r="D118" s="152">
        <f t="shared" si="125"/>
        <v>2</v>
      </c>
      <c r="E118" s="2" t="str">
        <f t="shared" si="125"/>
        <v/>
      </c>
      <c r="F118" s="2" t="str">
        <f t="shared" si="125"/>
        <v/>
      </c>
      <c r="G118" s="2" t="str">
        <f t="shared" si="125"/>
        <v/>
      </c>
      <c r="H118" s="2" t="str">
        <f t="shared" si="125"/>
        <v/>
      </c>
      <c r="I118" s="2" t="str">
        <f t="shared" si="125"/>
        <v/>
      </c>
      <c r="J118" s="2" t="str">
        <f t="shared" si="125"/>
        <v/>
      </c>
      <c r="K118" s="2" t="str">
        <f t="shared" si="125"/>
        <v/>
      </c>
      <c r="L118" s="2" t="str">
        <f t="shared" si="19"/>
        <v/>
      </c>
      <c r="M118" s="2" t="str">
        <f t="shared" si="11"/>
        <v/>
      </c>
      <c r="N118" s="152" t="str">
        <f t="shared" si="12"/>
        <v/>
      </c>
      <c r="O118" s="2" t="str">
        <f t="shared" ref="O118:S118" si="126">X58</f>
        <v/>
      </c>
      <c r="P118" s="2" t="str">
        <f t="shared" si="126"/>
        <v/>
      </c>
      <c r="Q118" s="2" t="str">
        <f t="shared" si="126"/>
        <v/>
      </c>
      <c r="R118" s="2" t="str">
        <f t="shared" si="126"/>
        <v/>
      </c>
      <c r="S118" s="2" t="str">
        <f t="shared" si="126"/>
        <v/>
      </c>
      <c r="T118" s="2"/>
      <c r="U118" s="2"/>
      <c r="V118" s="2"/>
      <c r="W118" s="2"/>
      <c r="X118" s="2"/>
      <c r="Y118" s="2"/>
      <c r="Z118" s="2"/>
      <c r="AA118" s="2"/>
      <c r="AB118" s="2"/>
    </row>
    <row r="119" hidden="1">
      <c r="A119" s="176" t="str">
        <f t="shared" si="9"/>
        <v>Total</v>
      </c>
      <c r="B119" s="178" t="str">
        <f t="shared" ref="B119:K119" si="127">L59</f>
        <v/>
      </c>
      <c r="C119" s="2" t="str">
        <f t="shared" si="127"/>
        <v/>
      </c>
      <c r="D119" s="129">
        <f t="shared" si="127"/>
        <v>99</v>
      </c>
      <c r="E119" s="2" t="str">
        <f t="shared" si="127"/>
        <v/>
      </c>
      <c r="F119" s="2" t="str">
        <f t="shared" si="127"/>
        <v/>
      </c>
      <c r="G119" s="2" t="str">
        <f t="shared" si="127"/>
        <v/>
      </c>
      <c r="H119" s="2" t="str">
        <f t="shared" si="127"/>
        <v/>
      </c>
      <c r="I119" s="128">
        <f t="shared" si="127"/>
        <v>0.3745173745</v>
      </c>
      <c r="J119" s="2" t="str">
        <f t="shared" si="127"/>
        <v/>
      </c>
      <c r="K119" s="2" t="str">
        <f t="shared" si="127"/>
        <v/>
      </c>
      <c r="L119" s="2" t="str">
        <f t="shared" si="19"/>
        <v/>
      </c>
      <c r="M119" s="2" t="str">
        <f t="shared" si="11"/>
        <v/>
      </c>
      <c r="N119" s="129" t="str">
        <f t="shared" si="12"/>
        <v/>
      </c>
      <c r="O119" s="2" t="str">
        <f t="shared" ref="O119:S119" si="128">X59</f>
        <v/>
      </c>
      <c r="P119" s="2" t="str">
        <f t="shared" si="128"/>
        <v/>
      </c>
      <c r="Q119" s="2" t="str">
        <f t="shared" si="128"/>
        <v/>
      </c>
      <c r="R119" s="2" t="str">
        <f t="shared" si="128"/>
        <v/>
      </c>
      <c r="S119" s="2" t="str">
        <f t="shared" si="128"/>
        <v/>
      </c>
      <c r="T119" s="2"/>
      <c r="U119" s="2"/>
      <c r="V119" s="2"/>
      <c r="W119" s="2"/>
      <c r="X119" s="2"/>
      <c r="Y119" s="2"/>
      <c r="Z119" s="2"/>
      <c r="AA119" s="2"/>
      <c r="AB119" s="2"/>
    </row>
    <row r="120" hidden="1">
      <c r="A120" s="2" t="str">
        <f t="shared" si="9"/>
        <v/>
      </c>
      <c r="B120" s="2" t="str">
        <f t="shared" ref="B120:B175" si="131">M60</f>
        <v/>
      </c>
      <c r="C120" s="2" t="str">
        <f t="shared" ref="C120:K120" si="129">M60</f>
        <v/>
      </c>
      <c r="D120" s="2" t="str">
        <f t="shared" si="129"/>
        <v/>
      </c>
      <c r="E120" s="2" t="str">
        <f t="shared" si="129"/>
        <v/>
      </c>
      <c r="F120" s="2" t="str">
        <f t="shared" si="129"/>
        <v/>
      </c>
      <c r="G120" s="2" t="str">
        <f t="shared" si="129"/>
        <v/>
      </c>
      <c r="H120" s="2" t="str">
        <f t="shared" si="129"/>
        <v/>
      </c>
      <c r="I120" s="2" t="str">
        <f t="shared" si="129"/>
        <v/>
      </c>
      <c r="J120" s="2" t="str">
        <f t="shared" si="129"/>
        <v/>
      </c>
      <c r="K120" s="2" t="str">
        <f t="shared" si="129"/>
        <v/>
      </c>
      <c r="L120" s="2" t="str">
        <f t="shared" si="19"/>
        <v/>
      </c>
      <c r="M120" s="2" t="str">
        <f t="shared" si="11"/>
        <v/>
      </c>
      <c r="N120" s="2" t="str">
        <f t="shared" si="12"/>
        <v/>
      </c>
      <c r="O120" s="2" t="str">
        <f t="shared" ref="O120:S120" si="130">X60</f>
        <v/>
      </c>
      <c r="P120" s="2" t="str">
        <f t="shared" si="130"/>
        <v/>
      </c>
      <c r="Q120" s="2" t="str">
        <f t="shared" si="130"/>
        <v/>
      </c>
      <c r="R120" s="2" t="str">
        <f t="shared" si="130"/>
        <v/>
      </c>
      <c r="S120" s="2" t="str">
        <f t="shared" si="130"/>
        <v/>
      </c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 t="str">
        <f t="shared" si="9"/>
        <v/>
      </c>
      <c r="B121" s="2" t="str">
        <f t="shared" si="131"/>
        <v/>
      </c>
      <c r="C121" s="2" t="str">
        <f t="shared" ref="C121:K121" si="132">M61</f>
        <v/>
      </c>
      <c r="D121" s="2" t="str">
        <f t="shared" si="132"/>
        <v/>
      </c>
      <c r="E121" s="2" t="str">
        <f t="shared" si="132"/>
        <v/>
      </c>
      <c r="F121" s="2" t="str">
        <f t="shared" si="132"/>
        <v/>
      </c>
      <c r="G121" s="2" t="str">
        <f t="shared" si="132"/>
        <v/>
      </c>
      <c r="H121" s="2" t="str">
        <f t="shared" si="132"/>
        <v/>
      </c>
      <c r="I121" s="2" t="str">
        <f t="shared" si="132"/>
        <v/>
      </c>
      <c r="J121" s="2" t="str">
        <f t="shared" si="132"/>
        <v/>
      </c>
      <c r="K121" s="2" t="str">
        <f t="shared" si="132"/>
        <v/>
      </c>
      <c r="L121" s="2" t="str">
        <f t="shared" si="19"/>
        <v/>
      </c>
      <c r="M121" s="2" t="str">
        <f t="shared" si="11"/>
        <v/>
      </c>
      <c r="N121" s="2" t="str">
        <f t="shared" si="12"/>
        <v/>
      </c>
      <c r="O121" s="2" t="str">
        <f t="shared" ref="O121:S121" si="133">X61</f>
        <v/>
      </c>
      <c r="P121" s="2" t="str">
        <f t="shared" si="133"/>
        <v/>
      </c>
      <c r="Q121" s="2" t="str">
        <f t="shared" si="133"/>
        <v/>
      </c>
      <c r="R121" s="2" t="str">
        <f t="shared" si="133"/>
        <v/>
      </c>
      <c r="S121" s="2" t="str">
        <f t="shared" si="133"/>
        <v/>
      </c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 t="str">
        <f t="shared" si="9"/>
        <v/>
      </c>
      <c r="B122" s="2" t="str">
        <f t="shared" si="131"/>
        <v/>
      </c>
      <c r="C122" s="2" t="str">
        <f t="shared" ref="C122:K122" si="134">M62</f>
        <v/>
      </c>
      <c r="D122" s="2" t="str">
        <f t="shared" si="134"/>
        <v/>
      </c>
      <c r="E122" s="2" t="str">
        <f t="shared" si="134"/>
        <v/>
      </c>
      <c r="F122" s="2" t="str">
        <f t="shared" si="134"/>
        <v/>
      </c>
      <c r="G122" s="2" t="str">
        <f t="shared" si="134"/>
        <v/>
      </c>
      <c r="H122" s="2" t="str">
        <f t="shared" si="134"/>
        <v/>
      </c>
      <c r="I122" s="2" t="str">
        <f t="shared" si="134"/>
        <v/>
      </c>
      <c r="J122" s="2" t="str">
        <f t="shared" si="134"/>
        <v/>
      </c>
      <c r="K122" s="2" t="str">
        <f t="shared" si="134"/>
        <v/>
      </c>
      <c r="L122" s="2" t="str">
        <f t="shared" si="19"/>
        <v/>
      </c>
      <c r="M122" s="2" t="str">
        <f t="shared" si="11"/>
        <v/>
      </c>
      <c r="N122" s="2" t="str">
        <f t="shared" si="12"/>
        <v/>
      </c>
      <c r="O122" s="2" t="str">
        <f t="shared" ref="O122:S122" si="135">X62</f>
        <v/>
      </c>
      <c r="P122" s="2" t="str">
        <f t="shared" si="135"/>
        <v/>
      </c>
      <c r="Q122" s="2" t="str">
        <f t="shared" si="135"/>
        <v/>
      </c>
      <c r="R122" s="2" t="str">
        <f t="shared" si="135"/>
        <v/>
      </c>
      <c r="S122" s="2" t="str">
        <f t="shared" si="135"/>
        <v/>
      </c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 t="str">
        <f t="shared" si="9"/>
        <v/>
      </c>
      <c r="B123" s="2" t="str">
        <f t="shared" si="131"/>
        <v/>
      </c>
      <c r="C123" s="2" t="str">
        <f t="shared" ref="C123:K123" si="136">M63</f>
        <v/>
      </c>
      <c r="D123" s="2" t="str">
        <f t="shared" si="136"/>
        <v/>
      </c>
      <c r="E123" s="2" t="str">
        <f t="shared" si="136"/>
        <v/>
      </c>
      <c r="F123" s="2" t="str">
        <f t="shared" si="136"/>
        <v/>
      </c>
      <c r="G123" s="2" t="str">
        <f t="shared" si="136"/>
        <v/>
      </c>
      <c r="H123" s="2" t="str">
        <f t="shared" si="136"/>
        <v/>
      </c>
      <c r="I123" s="2" t="str">
        <f t="shared" si="136"/>
        <v/>
      </c>
      <c r="J123" s="2" t="str">
        <f t="shared" si="136"/>
        <v/>
      </c>
      <c r="K123" s="2" t="str">
        <f t="shared" si="136"/>
        <v/>
      </c>
      <c r="L123" s="2" t="str">
        <f t="shared" si="19"/>
        <v/>
      </c>
      <c r="M123" s="2" t="str">
        <f t="shared" si="11"/>
        <v/>
      </c>
      <c r="N123" s="2" t="str">
        <f t="shared" si="12"/>
        <v/>
      </c>
      <c r="O123" s="2" t="str">
        <f t="shared" ref="O123:S123" si="137">X63</f>
        <v/>
      </c>
      <c r="P123" s="2" t="str">
        <f t="shared" si="137"/>
        <v/>
      </c>
      <c r="Q123" s="2" t="str">
        <f t="shared" si="137"/>
        <v/>
      </c>
      <c r="R123" s="2" t="str">
        <f t="shared" si="137"/>
        <v/>
      </c>
      <c r="S123" s="2" t="str">
        <f t="shared" si="137"/>
        <v/>
      </c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 t="str">
        <f t="shared" si="9"/>
        <v/>
      </c>
      <c r="B124" s="2" t="str">
        <f t="shared" si="131"/>
        <v/>
      </c>
      <c r="C124" s="2" t="str">
        <f t="shared" ref="C124:K124" si="138">M64</f>
        <v/>
      </c>
      <c r="D124" s="2" t="str">
        <f t="shared" si="138"/>
        <v/>
      </c>
      <c r="E124" s="2" t="str">
        <f t="shared" si="138"/>
        <v/>
      </c>
      <c r="F124" s="2" t="str">
        <f t="shared" si="138"/>
        <v/>
      </c>
      <c r="G124" s="2" t="str">
        <f t="shared" si="138"/>
        <v/>
      </c>
      <c r="H124" s="2" t="str">
        <f t="shared" si="138"/>
        <v/>
      </c>
      <c r="I124" s="2" t="str">
        <f t="shared" si="138"/>
        <v/>
      </c>
      <c r="J124" s="2" t="str">
        <f t="shared" si="138"/>
        <v/>
      </c>
      <c r="K124" s="2" t="str">
        <f t="shared" si="138"/>
        <v/>
      </c>
      <c r="L124" s="2" t="str">
        <f t="shared" si="19"/>
        <v/>
      </c>
      <c r="M124" s="2" t="str">
        <f t="shared" si="11"/>
        <v/>
      </c>
      <c r="N124" s="2" t="str">
        <f t="shared" si="12"/>
        <v/>
      </c>
      <c r="O124" s="2" t="str">
        <f t="shared" ref="O124:S124" si="139">X64</f>
        <v/>
      </c>
      <c r="P124" s="2" t="str">
        <f t="shared" si="139"/>
        <v/>
      </c>
      <c r="Q124" s="2" t="str">
        <f t="shared" si="139"/>
        <v/>
      </c>
      <c r="R124" s="2" t="str">
        <f t="shared" si="139"/>
        <v/>
      </c>
      <c r="S124" s="2" t="str">
        <f t="shared" si="139"/>
        <v/>
      </c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 t="str">
        <f t="shared" si="9"/>
        <v/>
      </c>
      <c r="B125" s="2" t="str">
        <f t="shared" si="131"/>
        <v/>
      </c>
      <c r="C125" s="2" t="str">
        <f t="shared" ref="C125:K125" si="140">M65</f>
        <v/>
      </c>
      <c r="D125" s="2" t="str">
        <f t="shared" si="140"/>
        <v/>
      </c>
      <c r="E125" s="2" t="str">
        <f t="shared" si="140"/>
        <v/>
      </c>
      <c r="F125" s="2" t="str">
        <f t="shared" si="140"/>
        <v/>
      </c>
      <c r="G125" s="2" t="str">
        <f t="shared" si="140"/>
        <v/>
      </c>
      <c r="H125" s="2" t="str">
        <f t="shared" si="140"/>
        <v/>
      </c>
      <c r="I125" s="2" t="str">
        <f t="shared" si="140"/>
        <v/>
      </c>
      <c r="J125" s="2" t="str">
        <f t="shared" si="140"/>
        <v/>
      </c>
      <c r="K125" s="2" t="str">
        <f t="shared" si="140"/>
        <v/>
      </c>
      <c r="L125" s="2" t="str">
        <f t="shared" si="19"/>
        <v/>
      </c>
      <c r="M125" s="2" t="str">
        <f t="shared" si="11"/>
        <v/>
      </c>
      <c r="N125" s="2" t="str">
        <f t="shared" si="12"/>
        <v/>
      </c>
      <c r="O125" s="2" t="str">
        <f t="shared" ref="O125:S125" si="141">X65</f>
        <v/>
      </c>
      <c r="P125" s="2" t="str">
        <f t="shared" si="141"/>
        <v/>
      </c>
      <c r="Q125" s="2" t="str">
        <f t="shared" si="141"/>
        <v/>
      </c>
      <c r="R125" s="2" t="str">
        <f t="shared" si="141"/>
        <v/>
      </c>
      <c r="S125" s="2" t="str">
        <f t="shared" si="141"/>
        <v/>
      </c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 t="str">
        <f t="shared" si="9"/>
        <v/>
      </c>
      <c r="B126" s="2" t="str">
        <f t="shared" si="131"/>
        <v/>
      </c>
      <c r="C126" s="2" t="str">
        <f t="shared" ref="C126:K126" si="142">M66</f>
        <v/>
      </c>
      <c r="D126" s="2" t="str">
        <f t="shared" si="142"/>
        <v/>
      </c>
      <c r="E126" s="2" t="str">
        <f t="shared" si="142"/>
        <v/>
      </c>
      <c r="F126" s="2" t="str">
        <f t="shared" si="142"/>
        <v/>
      </c>
      <c r="G126" s="2" t="str">
        <f t="shared" si="142"/>
        <v/>
      </c>
      <c r="H126" s="2" t="str">
        <f t="shared" si="142"/>
        <v/>
      </c>
      <c r="I126" s="2" t="str">
        <f t="shared" si="142"/>
        <v/>
      </c>
      <c r="J126" s="2" t="str">
        <f t="shared" si="142"/>
        <v/>
      </c>
      <c r="K126" s="2" t="str">
        <f t="shared" si="142"/>
        <v/>
      </c>
      <c r="L126" s="2" t="str">
        <f t="shared" si="19"/>
        <v/>
      </c>
      <c r="M126" s="2" t="str">
        <f t="shared" si="11"/>
        <v/>
      </c>
      <c r="N126" s="2" t="str">
        <f t="shared" si="12"/>
        <v/>
      </c>
      <c r="O126" s="2" t="str">
        <f t="shared" ref="O126:S126" si="143">X66</f>
        <v/>
      </c>
      <c r="P126" s="2" t="str">
        <f t="shared" si="143"/>
        <v/>
      </c>
      <c r="Q126" s="2" t="str">
        <f t="shared" si="143"/>
        <v/>
      </c>
      <c r="R126" s="2" t="str">
        <f t="shared" si="143"/>
        <v/>
      </c>
      <c r="S126" s="2" t="str">
        <f t="shared" si="143"/>
        <v/>
      </c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 t="str">
        <f t="shared" si="9"/>
        <v/>
      </c>
      <c r="B127" s="2" t="str">
        <f t="shared" si="131"/>
        <v/>
      </c>
      <c r="C127" s="2" t="str">
        <f t="shared" ref="C127:K127" si="144">M67</f>
        <v/>
      </c>
      <c r="D127" s="2" t="str">
        <f t="shared" si="144"/>
        <v/>
      </c>
      <c r="E127" s="2" t="str">
        <f t="shared" si="144"/>
        <v/>
      </c>
      <c r="F127" s="2" t="str">
        <f t="shared" si="144"/>
        <v/>
      </c>
      <c r="G127" s="2" t="str">
        <f t="shared" si="144"/>
        <v/>
      </c>
      <c r="H127" s="2" t="str">
        <f t="shared" si="144"/>
        <v/>
      </c>
      <c r="I127" s="2" t="str">
        <f t="shared" si="144"/>
        <v/>
      </c>
      <c r="J127" s="2" t="str">
        <f t="shared" si="144"/>
        <v/>
      </c>
      <c r="K127" s="2" t="str">
        <f t="shared" si="144"/>
        <v/>
      </c>
      <c r="L127" s="2" t="str">
        <f t="shared" si="19"/>
        <v/>
      </c>
      <c r="M127" s="2" t="str">
        <f t="shared" si="11"/>
        <v/>
      </c>
      <c r="N127" s="2" t="str">
        <f t="shared" si="12"/>
        <v/>
      </c>
      <c r="O127" s="2" t="str">
        <f t="shared" ref="O127:S127" si="145">X67</f>
        <v/>
      </c>
      <c r="P127" s="2" t="str">
        <f t="shared" si="145"/>
        <v/>
      </c>
      <c r="Q127" s="2" t="str">
        <f t="shared" si="145"/>
        <v/>
      </c>
      <c r="R127" s="2" t="str">
        <f t="shared" si="145"/>
        <v/>
      </c>
      <c r="S127" s="2" t="str">
        <f t="shared" si="145"/>
        <v/>
      </c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 t="str">
        <f t="shared" si="9"/>
        <v/>
      </c>
      <c r="B128" s="2" t="str">
        <f t="shared" si="131"/>
        <v/>
      </c>
      <c r="C128" s="2" t="str">
        <f t="shared" ref="C128:K128" si="146">M68</f>
        <v/>
      </c>
      <c r="D128" s="2" t="str">
        <f t="shared" si="146"/>
        <v/>
      </c>
      <c r="E128" s="2" t="str">
        <f t="shared" si="146"/>
        <v/>
      </c>
      <c r="F128" s="2" t="str">
        <f t="shared" si="146"/>
        <v/>
      </c>
      <c r="G128" s="2" t="str">
        <f t="shared" si="146"/>
        <v/>
      </c>
      <c r="H128" s="2" t="str">
        <f t="shared" si="146"/>
        <v/>
      </c>
      <c r="I128" s="2" t="str">
        <f t="shared" si="146"/>
        <v/>
      </c>
      <c r="J128" s="2" t="str">
        <f t="shared" si="146"/>
        <v/>
      </c>
      <c r="K128" s="2" t="str">
        <f t="shared" si="146"/>
        <v/>
      </c>
      <c r="L128" s="2" t="str">
        <f t="shared" si="19"/>
        <v/>
      </c>
      <c r="M128" s="2" t="str">
        <f t="shared" si="11"/>
        <v/>
      </c>
      <c r="N128" s="2" t="str">
        <f t="shared" si="12"/>
        <v/>
      </c>
      <c r="O128" s="2" t="str">
        <f t="shared" ref="O128:S128" si="147">X68</f>
        <v/>
      </c>
      <c r="P128" s="2" t="str">
        <f t="shared" si="147"/>
        <v/>
      </c>
      <c r="Q128" s="2" t="str">
        <f t="shared" si="147"/>
        <v/>
      </c>
      <c r="R128" s="2" t="str">
        <f t="shared" si="147"/>
        <v/>
      </c>
      <c r="S128" s="2" t="str">
        <f t="shared" si="147"/>
        <v/>
      </c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 t="str">
        <f t="shared" si="9"/>
        <v/>
      </c>
      <c r="B129" s="2" t="str">
        <f t="shared" si="131"/>
        <v/>
      </c>
      <c r="C129" s="2" t="str">
        <f t="shared" ref="C129:K129" si="148">M69</f>
        <v/>
      </c>
      <c r="D129" s="2" t="str">
        <f t="shared" si="148"/>
        <v/>
      </c>
      <c r="E129" s="2" t="str">
        <f t="shared" si="148"/>
        <v/>
      </c>
      <c r="F129" s="2" t="str">
        <f t="shared" si="148"/>
        <v/>
      </c>
      <c r="G129" s="2" t="str">
        <f t="shared" si="148"/>
        <v/>
      </c>
      <c r="H129" s="2" t="str">
        <f t="shared" si="148"/>
        <v/>
      </c>
      <c r="I129" s="2" t="str">
        <f t="shared" si="148"/>
        <v/>
      </c>
      <c r="J129" s="2" t="str">
        <f t="shared" si="148"/>
        <v/>
      </c>
      <c r="K129" s="2" t="str">
        <f t="shared" si="148"/>
        <v/>
      </c>
      <c r="L129" s="2" t="str">
        <f t="shared" si="19"/>
        <v/>
      </c>
      <c r="M129" s="2" t="str">
        <f t="shared" si="11"/>
        <v/>
      </c>
      <c r="N129" s="2" t="str">
        <f t="shared" si="12"/>
        <v/>
      </c>
      <c r="O129" s="2" t="str">
        <f t="shared" ref="O129:S129" si="149">X69</f>
        <v/>
      </c>
      <c r="P129" s="2" t="str">
        <f t="shared" si="149"/>
        <v/>
      </c>
      <c r="Q129" s="2" t="str">
        <f t="shared" si="149"/>
        <v/>
      </c>
      <c r="R129" s="2" t="str">
        <f t="shared" si="149"/>
        <v/>
      </c>
      <c r="S129" s="2" t="str">
        <f t="shared" si="149"/>
        <v/>
      </c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 t="str">
        <f t="shared" si="131"/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 t="str">
        <f t="shared" si="19"/>
        <v/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 t="str">
        <f t="shared" si="131"/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 t="str">
        <f t="shared" si="19"/>
        <v/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 t="str">
        <f t="shared" si="131"/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 t="str">
        <f t="shared" si="19"/>
        <v/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 t="str">
        <f t="shared" si="131"/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 t="str">
        <f t="shared" si="19"/>
        <v/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 t="str">
        <f t="shared" si="131"/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 t="str">
        <f t="shared" si="19"/>
        <v/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 t="str">
        <f t="shared" si="131"/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 t="str">
        <f t="shared" si="19"/>
        <v/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 t="str">
        <f t="shared" si="131"/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 t="str">
        <f t="shared" si="19"/>
        <v/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 t="str">
        <f t="shared" si="131"/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 t="str">
        <f t="shared" si="19"/>
        <v/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 t="str">
        <f t="shared" si="131"/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 t="str">
        <f t="shared" si="19"/>
        <v/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 t="str">
        <f t="shared" si="131"/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 t="str">
        <f t="shared" si="19"/>
        <v/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 t="str">
        <f t="shared" si="131"/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 t="str">
        <f t="shared" si="19"/>
        <v/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 t="str">
        <f t="shared" si="131"/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 t="str">
        <f t="shared" si="19"/>
        <v/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 t="str">
        <f t="shared" si="131"/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 t="str">
        <f t="shared" si="19"/>
        <v/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 t="str">
        <f t="shared" si="131"/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 t="str">
        <f t="shared" si="19"/>
        <v/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 t="str">
        <f t="shared" si="131"/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 t="str">
        <f t="shared" si="19"/>
        <v/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 t="str">
        <f t="shared" si="131"/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 t="str">
        <f t="shared" si="19"/>
        <v/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 t="str">
        <f t="shared" si="131"/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 t="str">
        <f t="shared" si="19"/>
        <v/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 t="str">
        <f t="shared" si="131"/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 t="str">
        <f t="shared" si="19"/>
        <v/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 t="str">
        <f t="shared" si="131"/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 t="str">
        <f t="shared" si="19"/>
        <v/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 t="str">
        <f t="shared" si="131"/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 t="str">
        <f t="shared" si="19"/>
        <v/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 t="str">
        <f t="shared" si="131"/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 t="str">
        <f t="shared" si="19"/>
        <v/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 t="str">
        <f t="shared" si="131"/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 t="str">
        <f t="shared" si="19"/>
        <v/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 t="str">
        <f t="shared" si="131"/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 t="str">
        <f t="shared" si="19"/>
        <v/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 t="str">
        <f t="shared" si="131"/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 t="str">
        <f t="shared" si="19"/>
        <v/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 t="str">
        <f t="shared" si="131"/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 t="str">
        <f t="shared" si="19"/>
        <v/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 t="str">
        <f t="shared" si="131"/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 t="str">
        <f t="shared" si="19"/>
        <v/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 t="str">
        <f t="shared" si="131"/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 t="str">
        <f t="shared" si="19"/>
        <v/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 t="str">
        <f t="shared" si="131"/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 t="str">
        <f t="shared" si="19"/>
        <v/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 t="str">
        <f t="shared" si="131"/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 t="str">
        <f t="shared" si="19"/>
        <v/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 t="str">
        <f t="shared" si="131"/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 t="str">
        <f t="shared" si="19"/>
        <v/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 t="str">
        <f t="shared" si="131"/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 t="str">
        <f t="shared" si="19"/>
        <v/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 t="str">
        <f t="shared" si="131"/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 t="str">
        <f t="shared" si="19"/>
        <v/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 t="str">
        <f t="shared" si="131"/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 t="str">
        <f t="shared" si="19"/>
        <v/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 t="str">
        <f t="shared" si="131"/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 t="str">
        <f t="shared" si="19"/>
        <v/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 t="str">
        <f t="shared" si="131"/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 t="str">
        <f t="shared" si="19"/>
        <v/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 t="str">
        <f t="shared" si="131"/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 t="str">
        <f t="shared" si="19"/>
        <v/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 t="str">
        <f t="shared" si="131"/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 t="str">
        <f t="shared" si="19"/>
        <v/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 t="str">
        <f t="shared" si="131"/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 t="str">
        <f t="shared" si="19"/>
        <v/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 t="str">
        <f t="shared" si="131"/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 t="str">
        <f t="shared" si="19"/>
        <v/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 t="str">
        <f t="shared" si="131"/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 t="str">
        <f t="shared" si="19"/>
        <v/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 t="str">
        <f t="shared" si="131"/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 t="str">
        <f t="shared" si="19"/>
        <v/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 t="str">
        <f t="shared" si="131"/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 t="str">
        <f t="shared" si="19"/>
        <v/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 t="str">
        <f t="shared" si="131"/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 t="str">
        <f t="shared" si="19"/>
        <v/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 t="str">
        <f t="shared" si="131"/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 t="str">
        <f t="shared" si="19"/>
        <v/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 t="str">
        <f t="shared" si="131"/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 t="str">
        <f t="shared" si="19"/>
        <v/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 t="str">
        <f t="shared" si="131"/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 t="str">
        <f t="shared" si="19"/>
        <v/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A1:AB975">
    <cfRule type="containsText" dxfId="2" priority="1" operator="containsText" text="Win">
      <formula>NOT(ISERROR(SEARCH(("Win"),(A1))))</formula>
    </cfRule>
  </conditionalFormatting>
  <conditionalFormatting sqref="A1:AB975">
    <cfRule type="containsText" dxfId="3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193</v>
      </c>
      <c r="B1" s="2"/>
      <c r="C1" s="2" t="s">
        <v>125</v>
      </c>
      <c r="D1" s="2" t="s">
        <v>123</v>
      </c>
      <c r="E1" s="2" t="s">
        <v>121</v>
      </c>
      <c r="F1" s="2" t="s">
        <v>194</v>
      </c>
      <c r="G1" s="2" t="s">
        <v>195</v>
      </c>
      <c r="H1" s="2" t="s">
        <v>196</v>
      </c>
      <c r="I1" s="130" t="s">
        <v>197</v>
      </c>
      <c r="J1" s="2"/>
      <c r="K1" s="2" t="s">
        <v>198</v>
      </c>
    </row>
    <row r="2">
      <c r="A2" s="2"/>
      <c r="B2" s="2" t="s">
        <v>125</v>
      </c>
      <c r="C2" s="2"/>
      <c r="D2" s="164">
        <v>1.0</v>
      </c>
      <c r="E2" s="164">
        <v>3.0</v>
      </c>
      <c r="F2" s="164">
        <v>1.0</v>
      </c>
      <c r="G2" s="164">
        <v>3.0</v>
      </c>
      <c r="H2" s="164">
        <v>3.0</v>
      </c>
      <c r="I2" s="132">
        <f t="shared" ref="I2:I7" si="1">AVERAGE(C2:H2)</f>
        <v>2.2</v>
      </c>
      <c r="J2" s="2"/>
      <c r="K2" s="24" t="s">
        <v>123</v>
      </c>
    </row>
    <row r="3">
      <c r="A3" s="2"/>
      <c r="B3" s="2" t="s">
        <v>123</v>
      </c>
      <c r="C3" s="164">
        <v>1.0</v>
      </c>
      <c r="D3" s="2"/>
      <c r="E3" s="164">
        <v>2.0</v>
      </c>
      <c r="F3" s="164">
        <v>2.0</v>
      </c>
      <c r="G3" s="164">
        <v>2.0</v>
      </c>
      <c r="H3" s="164">
        <v>1.0</v>
      </c>
      <c r="I3" s="132">
        <f t="shared" si="1"/>
        <v>1.6</v>
      </c>
      <c r="J3" s="2"/>
      <c r="K3" s="24" t="s">
        <v>196</v>
      </c>
    </row>
    <row r="4">
      <c r="A4" s="2"/>
      <c r="B4" s="2" t="s">
        <v>121</v>
      </c>
      <c r="C4" s="164">
        <v>2.0</v>
      </c>
      <c r="D4" s="164">
        <v>3.0</v>
      </c>
      <c r="E4" s="2"/>
      <c r="F4" s="164">
        <v>4.0</v>
      </c>
      <c r="G4" s="164">
        <v>4.0</v>
      </c>
      <c r="H4" s="164">
        <v>2.0</v>
      </c>
      <c r="I4" s="132">
        <f t="shared" si="1"/>
        <v>3</v>
      </c>
      <c r="J4" s="2"/>
      <c r="K4" s="24" t="s">
        <v>125</v>
      </c>
    </row>
    <row r="5">
      <c r="A5" s="2"/>
      <c r="B5" s="2" t="s">
        <v>194</v>
      </c>
      <c r="C5" s="164">
        <v>5.0</v>
      </c>
      <c r="D5" s="164">
        <v>5.0</v>
      </c>
      <c r="E5" s="164">
        <v>4.0</v>
      </c>
      <c r="F5" s="2"/>
      <c r="G5" s="164">
        <v>5.0</v>
      </c>
      <c r="H5" s="164">
        <v>4.0</v>
      </c>
      <c r="I5" s="132">
        <f t="shared" si="1"/>
        <v>4.6</v>
      </c>
      <c r="J5" s="2"/>
      <c r="K5" s="24" t="s">
        <v>121</v>
      </c>
    </row>
    <row r="6">
      <c r="A6" s="2"/>
      <c r="B6" s="2" t="s">
        <v>195</v>
      </c>
      <c r="C6" s="164">
        <v>4.0</v>
      </c>
      <c r="D6" s="164">
        <v>4.0</v>
      </c>
      <c r="E6" s="164">
        <v>5.0</v>
      </c>
      <c r="F6" s="164">
        <v>5.0</v>
      </c>
      <c r="G6" s="2"/>
      <c r="H6" s="164">
        <v>5.0</v>
      </c>
      <c r="I6" s="132">
        <f t="shared" si="1"/>
        <v>4.6</v>
      </c>
      <c r="J6" s="2"/>
      <c r="K6" s="24" t="s">
        <v>199</v>
      </c>
    </row>
    <row r="7">
      <c r="A7" s="2"/>
      <c r="B7" s="2" t="s">
        <v>196</v>
      </c>
      <c r="C7" s="164">
        <v>3.0</v>
      </c>
      <c r="D7" s="164">
        <v>2.0</v>
      </c>
      <c r="E7" s="164">
        <v>1.0</v>
      </c>
      <c r="F7" s="164">
        <v>3.0</v>
      </c>
      <c r="G7" s="164">
        <v>1.0</v>
      </c>
      <c r="H7" s="2"/>
      <c r="I7" s="132">
        <f t="shared" si="1"/>
        <v>2</v>
      </c>
      <c r="J7" s="2"/>
      <c r="K7" s="24"/>
    </row>
    <row r="9">
      <c r="A9" s="24" t="s">
        <v>200</v>
      </c>
      <c r="B9" s="2"/>
      <c r="C9" s="2" t="s">
        <v>125</v>
      </c>
      <c r="D9" s="2" t="s">
        <v>123</v>
      </c>
      <c r="E9" s="2" t="s">
        <v>121</v>
      </c>
      <c r="F9" s="2" t="s">
        <v>194</v>
      </c>
      <c r="G9" s="2" t="s">
        <v>195</v>
      </c>
      <c r="H9" s="2" t="s">
        <v>196</v>
      </c>
      <c r="I9" s="130" t="s">
        <v>197</v>
      </c>
      <c r="J9" s="2"/>
      <c r="K9" s="2" t="s">
        <v>198</v>
      </c>
    </row>
    <row r="10">
      <c r="A10" s="2"/>
      <c r="B10" s="2" t="s">
        <v>125</v>
      </c>
      <c r="C10" s="2"/>
      <c r="D10" s="164">
        <v>1.0</v>
      </c>
      <c r="E10" s="164">
        <v>1.0</v>
      </c>
      <c r="F10" s="164">
        <v>2.0</v>
      </c>
      <c r="G10" s="164">
        <v>1.0</v>
      </c>
      <c r="H10" s="164">
        <v>2.0</v>
      </c>
      <c r="I10" s="132">
        <f t="shared" ref="I10:I15" si="2">AVERAGE(C10:H10)</f>
        <v>1.4</v>
      </c>
      <c r="J10" s="2"/>
      <c r="K10" s="24" t="s">
        <v>201</v>
      </c>
    </row>
    <row r="11">
      <c r="A11" s="2"/>
      <c r="B11" s="2" t="s">
        <v>123</v>
      </c>
      <c r="C11" s="164">
        <v>1.0</v>
      </c>
      <c r="D11" s="2"/>
      <c r="E11" s="164">
        <v>2.0</v>
      </c>
      <c r="F11" s="164">
        <v>1.0</v>
      </c>
      <c r="G11" s="164">
        <v>2.0</v>
      </c>
      <c r="H11" s="164">
        <v>1.0</v>
      </c>
      <c r="I11" s="132">
        <f t="shared" si="2"/>
        <v>1.4</v>
      </c>
      <c r="J11" s="2"/>
      <c r="K11" s="24"/>
    </row>
    <row r="12">
      <c r="A12" s="2"/>
      <c r="B12" s="2" t="s">
        <v>121</v>
      </c>
      <c r="C12" s="164">
        <v>3.0</v>
      </c>
      <c r="D12" s="164">
        <v>5.0</v>
      </c>
      <c r="E12" s="2"/>
      <c r="F12" s="164">
        <v>5.0</v>
      </c>
      <c r="G12" s="164">
        <v>3.0</v>
      </c>
      <c r="H12" s="164">
        <v>4.0</v>
      </c>
      <c r="I12" s="132">
        <f t="shared" si="2"/>
        <v>4</v>
      </c>
      <c r="J12" s="2"/>
      <c r="K12" s="24" t="s">
        <v>202</v>
      </c>
    </row>
    <row r="13">
      <c r="A13" s="2"/>
      <c r="B13" s="2" t="s">
        <v>194</v>
      </c>
      <c r="C13" s="164">
        <v>5.0</v>
      </c>
      <c r="D13" s="164">
        <v>4.0</v>
      </c>
      <c r="E13" s="164">
        <v>5.0</v>
      </c>
      <c r="F13" s="2"/>
      <c r="G13" s="164">
        <v>5.0</v>
      </c>
      <c r="H13" s="164">
        <v>5.0</v>
      </c>
      <c r="I13" s="132">
        <f t="shared" si="2"/>
        <v>4.8</v>
      </c>
      <c r="J13" s="2"/>
      <c r="K13" s="2"/>
    </row>
    <row r="14">
      <c r="A14" s="2"/>
      <c r="B14" s="2" t="s">
        <v>195</v>
      </c>
      <c r="C14" s="164">
        <v>4.0</v>
      </c>
      <c r="D14" s="164">
        <v>3.0</v>
      </c>
      <c r="E14" s="164">
        <v>3.0</v>
      </c>
      <c r="F14" s="164">
        <v>3.0</v>
      </c>
      <c r="G14" s="2"/>
      <c r="H14" s="164">
        <v>3.0</v>
      </c>
      <c r="I14" s="132">
        <f t="shared" si="2"/>
        <v>3.2</v>
      </c>
      <c r="J14" s="2"/>
      <c r="K14" s="24" t="s">
        <v>203</v>
      </c>
    </row>
    <row r="15">
      <c r="A15" s="2"/>
      <c r="B15" s="2" t="s">
        <v>196</v>
      </c>
      <c r="C15" s="164">
        <v>2.0</v>
      </c>
      <c r="D15" s="164">
        <v>2.0</v>
      </c>
      <c r="E15" s="164">
        <v>4.0</v>
      </c>
      <c r="F15" s="164">
        <v>4.0</v>
      </c>
      <c r="G15" s="164">
        <v>4.0</v>
      </c>
      <c r="H15" s="2"/>
      <c r="I15" s="132">
        <f t="shared" si="2"/>
        <v>3.2</v>
      </c>
      <c r="J15" s="2"/>
      <c r="K15" s="24" t="s">
        <v>194</v>
      </c>
    </row>
    <row r="17">
      <c r="A17" s="183">
        <v>45957.0</v>
      </c>
      <c r="B17" s="2"/>
      <c r="C17" s="2" t="s">
        <v>125</v>
      </c>
      <c r="D17" s="2" t="s">
        <v>123</v>
      </c>
      <c r="E17" s="2" t="s">
        <v>121</v>
      </c>
      <c r="F17" s="2" t="s">
        <v>194</v>
      </c>
      <c r="G17" s="2" t="s">
        <v>195</v>
      </c>
      <c r="H17" s="2" t="s">
        <v>196</v>
      </c>
      <c r="I17" s="130" t="s">
        <v>197</v>
      </c>
      <c r="J17" s="2"/>
      <c r="K17" s="2" t="s">
        <v>198</v>
      </c>
    </row>
    <row r="18">
      <c r="A18" s="2"/>
      <c r="B18" s="2" t="s">
        <v>125</v>
      </c>
      <c r="C18" s="2"/>
      <c r="D18" s="164">
        <v>1.0</v>
      </c>
      <c r="E18" s="164">
        <v>1.0</v>
      </c>
      <c r="F18" s="164">
        <v>2.0</v>
      </c>
      <c r="G18" s="164">
        <v>1.0</v>
      </c>
      <c r="H18" s="164">
        <v>1.0</v>
      </c>
      <c r="I18" s="132">
        <f t="shared" ref="I18:I23" si="3">average(C18:H18)</f>
        <v>1.2</v>
      </c>
      <c r="J18" s="2"/>
      <c r="K18" s="24"/>
    </row>
    <row r="19">
      <c r="A19" s="2"/>
      <c r="B19" s="2" t="s">
        <v>123</v>
      </c>
      <c r="C19" s="164">
        <v>1.0</v>
      </c>
      <c r="D19" s="2"/>
      <c r="E19" s="164">
        <v>2.0</v>
      </c>
      <c r="F19" s="164">
        <v>1.0</v>
      </c>
      <c r="G19" s="164">
        <v>3.0</v>
      </c>
      <c r="H19" s="164">
        <v>3.0</v>
      </c>
      <c r="I19" s="132">
        <f t="shared" si="3"/>
        <v>2</v>
      </c>
      <c r="J19" s="2"/>
      <c r="K19" s="24"/>
    </row>
    <row r="20">
      <c r="A20" s="2"/>
      <c r="B20" s="2" t="s">
        <v>121</v>
      </c>
      <c r="C20" s="164">
        <v>5.0</v>
      </c>
      <c r="D20" s="164">
        <v>5.0</v>
      </c>
      <c r="E20" s="2"/>
      <c r="F20" s="164">
        <v>5.0</v>
      </c>
      <c r="G20" s="164">
        <v>5.0</v>
      </c>
      <c r="H20" s="164">
        <v>5.0</v>
      </c>
      <c r="I20" s="132">
        <f t="shared" si="3"/>
        <v>5</v>
      </c>
      <c r="J20" s="2"/>
      <c r="K20" s="24"/>
    </row>
    <row r="21">
      <c r="A21" s="2"/>
      <c r="B21" s="2" t="s">
        <v>194</v>
      </c>
      <c r="C21" s="164">
        <v>4.0</v>
      </c>
      <c r="D21" s="164">
        <v>4.0</v>
      </c>
      <c r="E21" s="164">
        <v>5.0</v>
      </c>
      <c r="F21" s="2"/>
      <c r="G21" s="164">
        <v>4.0</v>
      </c>
      <c r="H21" s="164">
        <v>4.0</v>
      </c>
      <c r="I21" s="132">
        <f t="shared" si="3"/>
        <v>4.2</v>
      </c>
      <c r="J21" s="2"/>
      <c r="K21" s="2"/>
    </row>
    <row r="22">
      <c r="A22" s="2"/>
      <c r="B22" s="2" t="s">
        <v>195</v>
      </c>
      <c r="C22" s="164">
        <v>3.0</v>
      </c>
      <c r="D22" s="164">
        <v>3.0</v>
      </c>
      <c r="E22" s="164">
        <v>4.0</v>
      </c>
      <c r="F22" s="164">
        <v>4.0</v>
      </c>
      <c r="G22" s="24"/>
      <c r="H22" s="164">
        <v>2.0</v>
      </c>
      <c r="I22" s="132">
        <f t="shared" si="3"/>
        <v>3.2</v>
      </c>
      <c r="J22" s="2"/>
      <c r="K22" s="24"/>
    </row>
    <row r="23">
      <c r="A23" s="2"/>
      <c r="B23" s="2" t="s">
        <v>196</v>
      </c>
      <c r="C23" s="164">
        <v>2.0</v>
      </c>
      <c r="D23" s="164">
        <v>2.0</v>
      </c>
      <c r="E23" s="164">
        <v>3.0</v>
      </c>
      <c r="F23" s="164">
        <v>3.0</v>
      </c>
      <c r="G23" s="164">
        <v>2.0</v>
      </c>
      <c r="H23" s="2"/>
      <c r="I23" s="132">
        <f t="shared" si="3"/>
        <v>2.4</v>
      </c>
      <c r="J23" s="2"/>
      <c r="K23" s="24"/>
    </row>
    <row r="25">
      <c r="A25" s="24"/>
      <c r="B25" s="2"/>
      <c r="C25" s="2" t="s">
        <v>125</v>
      </c>
      <c r="D25" s="2" t="s">
        <v>123</v>
      </c>
      <c r="E25" s="2" t="s">
        <v>121</v>
      </c>
      <c r="F25" s="2" t="s">
        <v>194</v>
      </c>
      <c r="G25" s="2" t="s">
        <v>195</v>
      </c>
      <c r="H25" s="2" t="s">
        <v>196</v>
      </c>
      <c r="I25" s="130" t="s">
        <v>197</v>
      </c>
      <c r="J25" s="2"/>
      <c r="K25" s="2" t="s">
        <v>198</v>
      </c>
    </row>
    <row r="26">
      <c r="A26" s="2"/>
      <c r="B26" s="2" t="s">
        <v>125</v>
      </c>
      <c r="C26" s="2"/>
      <c r="D26" s="164"/>
      <c r="E26" s="164"/>
      <c r="F26" s="152"/>
      <c r="G26" s="152"/>
      <c r="H26" s="164"/>
      <c r="I26" s="132"/>
      <c r="J26" s="2"/>
      <c r="K26" s="24"/>
    </row>
    <row r="27">
      <c r="A27" s="2"/>
      <c r="B27" s="2" t="s">
        <v>123</v>
      </c>
      <c r="C27" s="164"/>
      <c r="D27" s="2"/>
      <c r="E27" s="164"/>
      <c r="F27" s="164"/>
      <c r="G27" s="164"/>
      <c r="H27" s="164"/>
      <c r="I27" s="132"/>
      <c r="J27" s="2"/>
      <c r="K27" s="24"/>
      <c r="L27" s="26" t="s">
        <v>204</v>
      </c>
    </row>
    <row r="28">
      <c r="A28" s="2"/>
      <c r="B28" s="2" t="s">
        <v>121</v>
      </c>
      <c r="C28" s="164"/>
      <c r="D28" s="164"/>
      <c r="E28" s="2"/>
      <c r="F28" s="164"/>
      <c r="G28" s="164"/>
      <c r="H28" s="152"/>
      <c r="I28" s="132"/>
      <c r="J28" s="2"/>
      <c r="K28" s="24"/>
    </row>
    <row r="29">
      <c r="A29" s="2"/>
      <c r="B29" s="2" t="s">
        <v>194</v>
      </c>
      <c r="C29" s="164"/>
      <c r="D29" s="164"/>
      <c r="E29" s="164"/>
      <c r="F29" s="2"/>
      <c r="G29" s="164"/>
      <c r="H29" s="164"/>
      <c r="I29" s="132"/>
      <c r="J29" s="2"/>
      <c r="K29" s="2"/>
    </row>
    <row r="30">
      <c r="A30" s="2"/>
      <c r="B30" s="2" t="s">
        <v>195</v>
      </c>
      <c r="C30" s="164"/>
      <c r="D30" s="164"/>
      <c r="E30" s="164"/>
      <c r="F30" s="164"/>
      <c r="G30" s="2"/>
      <c r="H30" s="164"/>
      <c r="I30" s="132"/>
      <c r="J30" s="2"/>
      <c r="K30" s="24"/>
    </row>
    <row r="31">
      <c r="A31" s="2"/>
      <c r="B31" s="2" t="s">
        <v>196</v>
      </c>
      <c r="C31" s="164"/>
      <c r="D31" s="164"/>
      <c r="E31" s="164"/>
      <c r="F31" s="164"/>
      <c r="G31" s="164"/>
      <c r="H31" s="2"/>
      <c r="I31" s="132"/>
      <c r="J31" s="2"/>
      <c r="K31" s="24"/>
      <c r="L31" s="26" t="s">
        <v>205</v>
      </c>
    </row>
  </sheetData>
  <drawing r:id="rId1"/>
</worksheet>
</file>