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General Info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Captains Poll" sheetId="15" r:id="rId19"/>
  </sheets>
  <definedNames>
    <definedName hidden="1" localSheetId="4" name="_xlnm._FilterDatabase">'Player Season Stats'!$A$1:$M$73</definedName>
  </definedNames>
  <calcPr/>
</workbook>
</file>

<file path=xl/sharedStrings.xml><?xml version="1.0" encoding="utf-8"?>
<sst xmlns="http://schemas.openxmlformats.org/spreadsheetml/2006/main" count="1757" uniqueCount="222">
  <si>
    <t>Draft Sheet</t>
  </si>
  <si>
    <t>Bank</t>
  </si>
  <si>
    <t xml:space="preserve"> </t>
  </si>
  <si>
    <t>Captain</t>
  </si>
  <si>
    <t>Trades Made:</t>
  </si>
  <si>
    <t>Keeper</t>
  </si>
  <si>
    <t>Hawkins</t>
  </si>
  <si>
    <t>JChan</t>
  </si>
  <si>
    <t>1st Round</t>
  </si>
  <si>
    <t>1. Nikita S</t>
  </si>
  <si>
    <t>2. Porco</t>
  </si>
  <si>
    <t>3. Mike H</t>
  </si>
  <si>
    <t>4. Fritz</t>
  </si>
  <si>
    <t>5. Grish</t>
  </si>
  <si>
    <t>6. DC</t>
  </si>
  <si>
    <t>2nd Round</t>
  </si>
  <si>
    <t>12. Sonne</t>
  </si>
  <si>
    <t>11. Marmo</t>
  </si>
  <si>
    <t>10. Madams</t>
  </si>
  <si>
    <t>9. Arnav</t>
  </si>
  <si>
    <t>8. Rockett</t>
  </si>
  <si>
    <t>7. Schmid</t>
  </si>
  <si>
    <t>3rd Round</t>
  </si>
  <si>
    <t>13. Crosby</t>
  </si>
  <si>
    <t>14. Swit</t>
  </si>
  <si>
    <t>15. Jay S</t>
  </si>
  <si>
    <t>16. Lanuza</t>
  </si>
  <si>
    <t>17. Du</t>
  </si>
  <si>
    <t>18. Kian</t>
  </si>
  <si>
    <t>4th Round</t>
  </si>
  <si>
    <t>24. Emi</t>
  </si>
  <si>
    <t>23. KZ</t>
  </si>
  <si>
    <t>22. Tripp</t>
  </si>
  <si>
    <t>21. Samos</t>
  </si>
  <si>
    <t>20. Raymond</t>
  </si>
  <si>
    <t>19. Hando</t>
  </si>
  <si>
    <t>5th Round</t>
  </si>
  <si>
    <t>25. SoHo</t>
  </si>
  <si>
    <t>26. Somil</t>
  </si>
  <si>
    <t>27. Lulu</t>
  </si>
  <si>
    <t>28. Kyi</t>
  </si>
  <si>
    <t>29. Derek</t>
  </si>
  <si>
    <t>30. Petric</t>
  </si>
  <si>
    <t>Future Trades:</t>
  </si>
  <si>
    <t>6th Round</t>
  </si>
  <si>
    <t>36. Nagle</t>
  </si>
  <si>
    <t>35. Suyoag</t>
  </si>
  <si>
    <t>34. Ilt</t>
  </si>
  <si>
    <t>33. TC</t>
  </si>
  <si>
    <t>32. Neo</t>
  </si>
  <si>
    <t>31. Mike Zhou</t>
  </si>
  <si>
    <t>7th Round</t>
  </si>
  <si>
    <t>8th Round</t>
  </si>
  <si>
    <t>Teams</t>
  </si>
  <si>
    <t>Candice?</t>
  </si>
  <si>
    <t>Team C</t>
  </si>
  <si>
    <t>Team E</t>
  </si>
  <si>
    <t>Migos</t>
  </si>
  <si>
    <t>Gargantuan</t>
  </si>
  <si>
    <t>Team F</t>
  </si>
  <si>
    <t xml:space="preserve">Captain </t>
  </si>
  <si>
    <t>Elmer</t>
  </si>
  <si>
    <t>Matt</t>
  </si>
  <si>
    <t>Taran</t>
  </si>
  <si>
    <t>Leo</t>
  </si>
  <si>
    <t>Maas</t>
  </si>
  <si>
    <t>BXu</t>
  </si>
  <si>
    <t>John Y</t>
  </si>
  <si>
    <t>Gid</t>
  </si>
  <si>
    <t>Miguel F</t>
  </si>
  <si>
    <t>Seb</t>
  </si>
  <si>
    <t>Pick 1</t>
  </si>
  <si>
    <t>Porco</t>
  </si>
  <si>
    <t>Nikita S</t>
  </si>
  <si>
    <t>Mike H</t>
  </si>
  <si>
    <t>Fritz</t>
  </si>
  <si>
    <t>Grish</t>
  </si>
  <si>
    <t>DC</t>
  </si>
  <si>
    <t>Pick 2</t>
  </si>
  <si>
    <t>Marmo</t>
  </si>
  <si>
    <t>Sonne</t>
  </si>
  <si>
    <t>Madams</t>
  </si>
  <si>
    <t>Arnav</t>
  </si>
  <si>
    <t>Rockett</t>
  </si>
  <si>
    <t>Schmid</t>
  </si>
  <si>
    <t>Pick 3</t>
  </si>
  <si>
    <t>Swit</t>
  </si>
  <si>
    <t>Crosby</t>
  </si>
  <si>
    <t>Jay S</t>
  </si>
  <si>
    <t>Lanuza</t>
  </si>
  <si>
    <t>Du</t>
  </si>
  <si>
    <t>Kian</t>
  </si>
  <si>
    <t>Pick 4</t>
  </si>
  <si>
    <t>Emi</t>
  </si>
  <si>
    <t>Kevin Zhou</t>
  </si>
  <si>
    <t>Tripp</t>
  </si>
  <si>
    <t>Samos</t>
  </si>
  <si>
    <t>Raymond</t>
  </si>
  <si>
    <t>Hando</t>
  </si>
  <si>
    <t>Pick 5</t>
  </si>
  <si>
    <t>SoHo</t>
  </si>
  <si>
    <t>Somil</t>
  </si>
  <si>
    <t>Lulu</t>
  </si>
  <si>
    <t>Kyi</t>
  </si>
  <si>
    <t>Derek</t>
  </si>
  <si>
    <t>Petric</t>
  </si>
  <si>
    <t>Pick 6</t>
  </si>
  <si>
    <t>Suyoag</t>
  </si>
  <si>
    <t>Ilt</t>
  </si>
  <si>
    <t>TC</t>
  </si>
  <si>
    <t>Neo</t>
  </si>
  <si>
    <t>Mike Zhou</t>
  </si>
  <si>
    <t>Pick 7</t>
  </si>
  <si>
    <t>Will Ho</t>
  </si>
  <si>
    <t>Pasha</t>
  </si>
  <si>
    <t>Adi</t>
  </si>
  <si>
    <t>Brendan</t>
  </si>
  <si>
    <t>Cole</t>
  </si>
  <si>
    <t>Pick 8</t>
  </si>
  <si>
    <t>Nagle</t>
  </si>
  <si>
    <t>Hanono</t>
  </si>
  <si>
    <t>Pledge Draft</t>
  </si>
  <si>
    <t>John</t>
  </si>
  <si>
    <t>Guel</t>
  </si>
  <si>
    <t>Skeet</t>
  </si>
  <si>
    <t>Mike Harrison</t>
  </si>
  <si>
    <t>Saluja</t>
  </si>
  <si>
    <t>Example Schedule</t>
  </si>
  <si>
    <t>Date</t>
  </si>
  <si>
    <t>Bylaws</t>
  </si>
  <si>
    <t>Draft</t>
  </si>
  <si>
    <t>August 29th</t>
  </si>
  <si>
    <t>Members</t>
  </si>
  <si>
    <t>Game 1</t>
  </si>
  <si>
    <t>September 1st/2nd</t>
  </si>
  <si>
    <t>Game 2</t>
  </si>
  <si>
    <t>September 8th/9th</t>
  </si>
  <si>
    <t>Combine</t>
  </si>
  <si>
    <t>September 15th</t>
  </si>
  <si>
    <t>After Pinning</t>
  </si>
  <si>
    <t>Game 3</t>
  </si>
  <si>
    <t>September 15th/16th</t>
  </si>
  <si>
    <t>Pinning/Pledge Night</t>
  </si>
  <si>
    <t>September 17th</t>
  </si>
  <si>
    <t>Game 4</t>
  </si>
  <si>
    <t>September 22nd/23rd</t>
  </si>
  <si>
    <t>Game 5</t>
  </si>
  <si>
    <t>September 29th/30th</t>
  </si>
  <si>
    <t>Game 6</t>
  </si>
  <si>
    <t>October 6th/7th</t>
  </si>
  <si>
    <t>Bye Week</t>
  </si>
  <si>
    <t>October 13th</t>
  </si>
  <si>
    <t>Fall Break</t>
  </si>
  <si>
    <t>October 21st</t>
  </si>
  <si>
    <t>Game 7</t>
  </si>
  <si>
    <t>October 27th/28th</t>
  </si>
  <si>
    <t>Semifinals (1)</t>
  </si>
  <si>
    <t>November 3rd/4th</t>
  </si>
  <si>
    <t>Pledge 1</t>
  </si>
  <si>
    <t>Semifinals (2/3)</t>
  </si>
  <si>
    <t>November 10th/11th</t>
  </si>
  <si>
    <t>Game 2/3</t>
  </si>
  <si>
    <t>Pledge 2</t>
  </si>
  <si>
    <t>Finals</t>
  </si>
  <si>
    <t>November 17th/18th</t>
  </si>
  <si>
    <t>Pledge 3</t>
  </si>
  <si>
    <t>Pledge 4</t>
  </si>
  <si>
    <t xml:space="preserve">Thanksgiving </t>
  </si>
  <si>
    <t>November 24th</t>
  </si>
  <si>
    <t>Pledge 5</t>
  </si>
  <si>
    <t>If Season Delayed</t>
  </si>
  <si>
    <t>December 1st</t>
  </si>
  <si>
    <t>Last Possible Game</t>
  </si>
  <si>
    <t>December 8th</t>
  </si>
  <si>
    <t>Opponent</t>
  </si>
  <si>
    <t>Home/Away</t>
  </si>
  <si>
    <t>Result</t>
  </si>
  <si>
    <t>Margin</t>
  </si>
  <si>
    <t>Home</t>
  </si>
  <si>
    <t>Away</t>
  </si>
  <si>
    <t>West</t>
  </si>
  <si>
    <t>Win %</t>
  </si>
  <si>
    <t>Split</t>
  </si>
  <si>
    <t>East</t>
  </si>
  <si>
    <t>Total</t>
  </si>
  <si>
    <t>Week 1</t>
  </si>
  <si>
    <t>Week 2</t>
  </si>
  <si>
    <t>Week 3</t>
  </si>
  <si>
    <t>Week 4</t>
  </si>
  <si>
    <t>Week 5</t>
  </si>
  <si>
    <t>Week 6</t>
  </si>
  <si>
    <t>Week 7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</si>
  <si>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</si>
  <si>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</si>
  <si>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</si>
  <si>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</si>
  <si>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</si>
  <si>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</si>
  <si>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</si>
  <si>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</si>
  <si>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</si>
  <si>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</si>
  <si>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</si>
  <si>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</si>
  <si>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</si>
  <si>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</si>
  <si>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</si>
  <si>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</si>
  <si>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</si>
  <si>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</si>
  <si>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</si>
  <si>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</si>
  <si>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</si>
  <si>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average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</si>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</sst>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u/>
      <color theme="1"/>
      <name val="Arial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sz val="10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8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3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9" fontId="3" numFmtId="0" xfId="0" applyAlignment="1" applyFill="1" applyFont="1">
      <alignment vertical="bottom"/>
    </xf>
    <xf borderId="0" fillId="5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4" fillId="3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4" fillId="7" fontId="3" numFmtId="0" xfId="0" applyAlignment="1" applyBorder="1" applyFont="1">
      <alignment vertical="bottom"/>
    </xf>
    <xf borderId="4" fillId="8" fontId="3" numFmtId="0" xfId="0" applyAlignment="1" applyBorder="1" applyFont="1">
      <alignment vertical="bottom"/>
    </xf>
    <xf borderId="4" fillId="3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readingOrder="0" vertical="bottom"/>
    </xf>
    <xf borderId="4" fillId="5" fontId="3" numFmtId="0" xfId="0" applyAlignment="1" applyBorder="1" applyFont="1">
      <alignment readingOrder="0" vertical="bottom"/>
    </xf>
    <xf borderId="4" fillId="6" fontId="3" numFmtId="0" xfId="0" applyAlignment="1" applyBorder="1" applyFont="1">
      <alignment readingOrder="0" vertical="bottom"/>
    </xf>
    <xf borderId="4" fillId="7" fontId="3" numFmtId="0" xfId="0" applyAlignment="1" applyBorder="1" applyFont="1">
      <alignment readingOrder="0" vertical="bottom"/>
    </xf>
    <xf borderId="4" fillId="8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2" fontId="3" numFmtId="0" xfId="0" applyAlignment="1" applyFont="1">
      <alignment shrinkToFit="0" vertical="bottom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10" fontId="3" numFmtId="0" xfId="0" applyAlignment="1" applyBorder="1" applyFill="1" applyFont="1">
      <alignment vertical="bottom"/>
    </xf>
    <xf borderId="0" fillId="10" fontId="2" numFmtId="0" xfId="0" applyAlignment="1" applyFont="1">
      <alignment vertical="bottom"/>
    </xf>
    <xf borderId="3" fillId="10" fontId="2" numFmtId="0" xfId="0" applyAlignment="1" applyBorder="1" applyFont="1">
      <alignment vertical="bottom"/>
    </xf>
    <xf borderId="2" fillId="10" fontId="2" numFmtId="0" xfId="0" applyAlignment="1" applyBorder="1" applyFont="1">
      <alignment vertical="bottom"/>
    </xf>
    <xf borderId="0" fillId="10" fontId="3" numFmtId="10" xfId="0" applyAlignment="1" applyFont="1" applyNumberFormat="1">
      <alignment horizontal="right" vertical="bottom"/>
    </xf>
    <xf borderId="3" fillId="10" fontId="3" numFmtId="0" xfId="0" applyAlignment="1" applyBorder="1" applyFont="1">
      <alignment horizontal="right" vertical="bottom"/>
    </xf>
    <xf borderId="8" fillId="10" fontId="2" numFmtId="0" xfId="0" applyAlignment="1" applyBorder="1" applyFont="1">
      <alignment vertical="bottom"/>
    </xf>
    <xf borderId="1" fillId="10" fontId="3" numFmtId="10" xfId="0" applyAlignment="1" applyBorder="1" applyFont="1" applyNumberFormat="1">
      <alignment horizontal="right" vertical="bottom"/>
    </xf>
    <xf borderId="4" fillId="10" fontId="3" numFmtId="0" xfId="0" applyAlignment="1" applyBorder="1" applyFont="1">
      <alignment horizontal="right" vertical="bottom"/>
    </xf>
    <xf borderId="1" fillId="0" fontId="3" numFmtId="10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horizontal="right" readingOrder="0"/>
    </xf>
    <xf borderId="0" fillId="0" fontId="6" numFmtId="0" xfId="0" applyAlignment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10" fillId="0" fontId="7" numFmtId="0" xfId="0" applyBorder="1" applyFont="1"/>
    <xf borderId="11" fillId="0" fontId="3" numFmtId="0" xfId="0" applyAlignment="1" applyBorder="1" applyFont="1">
      <alignment readingOrder="0" vertical="bottom"/>
    </xf>
    <xf borderId="11" fillId="0" fontId="8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3" fillId="0" fontId="3" numFmtId="0" xfId="0" applyAlignment="1" applyBorder="1" applyFont="1">
      <alignment readingOrder="0" vertical="bottom"/>
    </xf>
    <xf borderId="11" fillId="0" fontId="9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14" fillId="0" fontId="9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14" fillId="2" fontId="8" numFmtId="0" xfId="0" applyAlignment="1" applyBorder="1" applyFont="1">
      <alignment readingOrder="0"/>
    </xf>
    <xf borderId="15" fillId="2" fontId="8" numFmtId="0" xfId="0" applyAlignment="1" applyBorder="1" applyFont="1">
      <alignment readingOrder="0"/>
    </xf>
    <xf borderId="0" fillId="0" fontId="10" numFmtId="0" xfId="0" applyFont="1"/>
    <xf borderId="0" fillId="11" fontId="11" numFmtId="0" xfId="0" applyAlignment="1" applyFill="1" applyFont="1">
      <alignment vertical="bottom"/>
    </xf>
    <xf borderId="0" fillId="11" fontId="11" numFmtId="10" xfId="0" applyAlignment="1" applyFont="1" applyNumberFormat="1">
      <alignment vertical="bottom"/>
    </xf>
    <xf borderId="0" fillId="11" fontId="11" numFmtId="0" xfId="0" applyAlignment="1" applyFont="1">
      <alignment vertical="bottom"/>
    </xf>
    <xf borderId="0" fillId="11" fontId="11" numFmtId="2" xfId="0" applyAlignment="1" applyFont="1" applyNumberFormat="1">
      <alignment vertical="bottom"/>
    </xf>
    <xf borderId="0" fillId="12" fontId="12" numFmtId="0" xfId="0" applyAlignment="1" applyFill="1" applyFont="1">
      <alignment horizontal="right" vertical="bottom"/>
    </xf>
    <xf borderId="0" fillId="12" fontId="12" numFmtId="10" xfId="0" applyAlignment="1" applyFont="1" applyNumberFormat="1">
      <alignment horizontal="right" vertical="bottom"/>
    </xf>
    <xf borderId="0" fillId="12" fontId="12" numFmtId="2" xfId="0" applyAlignment="1" applyFont="1" applyNumberFormat="1">
      <alignment horizontal="right" vertical="bottom"/>
    </xf>
    <xf borderId="0" fillId="2" fontId="12" numFmtId="0" xfId="0" applyAlignment="1" applyFont="1">
      <alignment horizontal="right" vertical="bottom"/>
    </xf>
    <xf borderId="0" fillId="12" fontId="12" numFmtId="10" xfId="0" applyAlignment="1" applyFont="1" applyNumberFormat="1">
      <alignment vertical="bottom"/>
    </xf>
    <xf borderId="0" fillId="12" fontId="12" numFmtId="2" xfId="0" applyAlignment="1" applyFont="1" applyNumberFormat="1">
      <alignment vertical="bottom"/>
    </xf>
    <xf borderId="0" fillId="11" fontId="12" numFmtId="0" xfId="0" applyAlignment="1" applyFont="1">
      <alignment vertical="bottom"/>
    </xf>
    <xf borderId="0" fillId="12" fontId="12" numFmtId="0" xfId="0" applyAlignment="1" applyFont="1">
      <alignment vertical="bottom"/>
    </xf>
    <xf borderId="0" fillId="13" fontId="12" numFmtId="0" xfId="0" applyAlignment="1" applyFill="1" applyFont="1">
      <alignment horizontal="right" vertical="bottom"/>
    </xf>
    <xf borderId="0" fillId="13" fontId="12" numFmtId="10" xfId="0" applyAlignment="1" applyFont="1" applyNumberFormat="1">
      <alignment horizontal="right" vertical="bottom"/>
    </xf>
    <xf borderId="0" fillId="13" fontId="12" numFmtId="2" xfId="0" applyAlignment="1" applyFont="1" applyNumberFormat="1">
      <alignment horizontal="right" vertical="bottom"/>
    </xf>
    <xf borderId="0" fillId="13" fontId="12" numFmtId="10" xfId="0" applyAlignment="1" applyFont="1" applyNumberFormat="1">
      <alignment vertical="bottom"/>
    </xf>
    <xf borderId="0" fillId="13" fontId="12" numFmtId="2" xfId="0" applyAlignment="1" applyFont="1" applyNumberFormat="1">
      <alignment vertical="bottom"/>
    </xf>
    <xf borderId="0" fillId="13" fontId="12" numFmtId="0" xfId="0" applyAlignment="1" applyFont="1">
      <alignment vertical="bottom"/>
    </xf>
    <xf borderId="0" fillId="14" fontId="12" numFmtId="0" xfId="0" applyAlignment="1" applyFill="1" applyFont="1">
      <alignment horizontal="right" vertical="bottom"/>
    </xf>
    <xf borderId="0" fillId="14" fontId="12" numFmtId="10" xfId="0" applyAlignment="1" applyFont="1" applyNumberFormat="1">
      <alignment horizontal="right" vertical="bottom"/>
    </xf>
    <xf borderId="0" fillId="14" fontId="12" numFmtId="2" xfId="0" applyAlignment="1" applyFont="1" applyNumberFormat="1">
      <alignment horizontal="right" vertical="bottom"/>
    </xf>
    <xf borderId="0" fillId="14" fontId="12" numFmtId="10" xfId="0" applyAlignment="1" applyFont="1" applyNumberFormat="1">
      <alignment vertical="bottom"/>
    </xf>
    <xf borderId="0" fillId="14" fontId="12" numFmtId="2" xfId="0" applyAlignment="1" applyFont="1" applyNumberFormat="1">
      <alignment vertical="bottom"/>
    </xf>
    <xf borderId="0" fillId="14" fontId="12" numFmtId="0" xfId="0" applyAlignment="1" applyFont="1">
      <alignment vertical="bottom"/>
    </xf>
    <xf borderId="0" fillId="15" fontId="12" numFmtId="0" xfId="0" applyAlignment="1" applyFill="1" applyFont="1">
      <alignment horizontal="right" vertical="bottom"/>
    </xf>
    <xf borderId="0" fillId="15" fontId="12" numFmtId="10" xfId="0" applyAlignment="1" applyFont="1" applyNumberFormat="1">
      <alignment horizontal="right" vertical="bottom"/>
    </xf>
    <xf borderId="0" fillId="15" fontId="12" numFmtId="2" xfId="0" applyAlignment="1" applyFont="1" applyNumberFormat="1">
      <alignment horizontal="right" vertical="bottom"/>
    </xf>
    <xf borderId="0" fillId="15" fontId="12" numFmtId="10" xfId="0" applyAlignment="1" applyFont="1" applyNumberFormat="1">
      <alignment vertical="bottom"/>
    </xf>
    <xf borderId="0" fillId="15" fontId="12" numFmtId="2" xfId="0" applyAlignment="1" applyFont="1" applyNumberFormat="1">
      <alignment vertical="bottom"/>
    </xf>
    <xf borderId="0" fillId="15" fontId="12" numFmtId="0" xfId="0" applyAlignment="1" applyFont="1">
      <alignment vertical="bottom"/>
    </xf>
    <xf borderId="0" fillId="16" fontId="12" numFmtId="0" xfId="0" applyAlignment="1" applyFill="1" applyFont="1">
      <alignment horizontal="right" vertical="bottom"/>
    </xf>
    <xf borderId="0" fillId="16" fontId="12" numFmtId="10" xfId="0" applyAlignment="1" applyFont="1" applyNumberFormat="1">
      <alignment horizontal="right" vertical="bottom"/>
    </xf>
    <xf borderId="0" fillId="16" fontId="12" numFmtId="2" xfId="0" applyAlignment="1" applyFont="1" applyNumberFormat="1">
      <alignment horizontal="right" vertical="bottom"/>
    </xf>
    <xf borderId="0" fillId="16" fontId="12" numFmtId="10" xfId="0" applyAlignment="1" applyFont="1" applyNumberFormat="1">
      <alignment vertical="bottom"/>
    </xf>
    <xf borderId="0" fillId="16" fontId="12" numFmtId="2" xfId="0" applyAlignment="1" applyFont="1" applyNumberFormat="1">
      <alignment vertical="bottom"/>
    </xf>
    <xf borderId="0" fillId="16" fontId="12" numFmtId="0" xfId="0" applyAlignment="1" applyFont="1">
      <alignment vertical="bottom"/>
    </xf>
    <xf borderId="0" fillId="9" fontId="12" numFmtId="0" xfId="0" applyAlignment="1" applyFont="1">
      <alignment horizontal="right" vertical="bottom"/>
    </xf>
    <xf borderId="0" fillId="9" fontId="12" numFmtId="10" xfId="0" applyAlignment="1" applyFont="1" applyNumberFormat="1">
      <alignment horizontal="right" vertical="bottom"/>
    </xf>
    <xf borderId="0" fillId="9" fontId="12" numFmtId="2" xfId="0" applyAlignment="1" applyFont="1" applyNumberFormat="1">
      <alignment horizontal="right" vertical="bottom"/>
    </xf>
    <xf borderId="0" fillId="9" fontId="12" numFmtId="10" xfId="0" applyAlignment="1" applyFont="1" applyNumberFormat="1">
      <alignment vertical="bottom"/>
    </xf>
    <xf borderId="0" fillId="9" fontId="12" numFmtId="2" xfId="0" applyAlignment="1" applyFont="1" applyNumberFormat="1">
      <alignment vertical="bottom"/>
    </xf>
    <xf borderId="0" fillId="9" fontId="12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11" fontId="13" numFmtId="0" xfId="0" applyAlignment="1" applyFont="1">
      <alignment readingOrder="0"/>
    </xf>
    <xf borderId="0" fillId="0" fontId="9" numFmtId="2" xfId="0" applyFont="1" applyNumberFormat="1"/>
    <xf borderId="0" fillId="0" fontId="9" numFmtId="0" xfId="0" applyFont="1"/>
    <xf borderId="9" fillId="0" fontId="9" numFmtId="2" xfId="0" applyBorder="1" applyFont="1" applyNumberFormat="1"/>
    <xf borderId="10" fillId="0" fontId="9" numFmtId="0" xfId="0" applyBorder="1" applyFont="1"/>
    <xf borderId="0" fillId="0" fontId="9" numFmtId="10" xfId="0" applyFont="1" applyNumberFormat="1"/>
    <xf borderId="16" fillId="0" fontId="1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7" fillId="0" fontId="15" numFmtId="0" xfId="0" applyAlignment="1" applyBorder="1" applyFont="1">
      <alignment vertical="bottom"/>
    </xf>
    <xf borderId="0" fillId="12" fontId="2" numFmtId="0" xfId="0" applyAlignment="1" applyFont="1">
      <alignment vertical="bottom"/>
    </xf>
    <xf borderId="0" fillId="0" fontId="12" numFmtId="10" xfId="0" applyAlignment="1" applyFont="1" applyNumberFormat="1">
      <alignment horizontal="right" vertical="bottom"/>
    </xf>
    <xf borderId="0" fillId="0" fontId="12" numFmtId="2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10" xfId="0" applyAlignment="1" applyFont="1" applyNumberFormat="1">
      <alignment horizontal="center"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0" fillId="12" fontId="3" numFmtId="0" xfId="0" applyAlignment="1" applyFont="1">
      <alignment vertical="bottom"/>
    </xf>
    <xf borderId="0" fillId="13" fontId="3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15" fontId="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17" fontId="17" numFmtId="0" xfId="0" applyAlignment="1" applyFill="1" applyFont="1">
      <alignment vertical="bottom"/>
    </xf>
    <xf borderId="0" fillId="18" fontId="11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17" fontId="17" numFmtId="0" xfId="0" applyAlignment="1" applyFont="1">
      <alignment vertical="bottom"/>
    </xf>
    <xf borderId="0" fillId="19" fontId="11" numFmtId="0" xfId="0" applyAlignment="1" applyFill="1" applyFont="1">
      <alignment vertical="bottom"/>
    </xf>
    <xf borderId="1" fillId="11" fontId="11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11" fontId="3" numFmtId="0" xfId="0" applyAlignment="1" applyFont="1">
      <alignment vertical="bottom"/>
    </xf>
    <xf borderId="0" fillId="11" fontId="11" numFmtId="0" xfId="0" applyAlignment="1" applyFont="1">
      <alignment horizontal="right" vertical="bottom"/>
    </xf>
    <xf borderId="7" fillId="0" fontId="3" numFmtId="10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readingOrder="0" vertical="bottom"/>
    </xf>
    <xf borderId="0" fillId="0" fontId="12" numFmtId="0" xfId="0" applyAlignment="1" applyFont="1">
      <alignment vertical="bottom"/>
    </xf>
    <xf borderId="0" fillId="0" fontId="18" numFmtId="0" xfId="0" applyAlignment="1" applyFont="1">
      <alignment horizontal="center" readingOrder="0"/>
    </xf>
    <xf borderId="1" fillId="11" fontId="13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7" fillId="0" fontId="3" numFmtId="0" xfId="0" applyAlignment="1" applyBorder="1" applyFont="1">
      <alignment horizontal="right" vertical="bottom"/>
    </xf>
    <xf borderId="7" fillId="11" fontId="11" numFmtId="0" xfId="0" applyAlignment="1" applyBorder="1" applyFont="1">
      <alignment vertical="bottom"/>
    </xf>
    <xf borderId="7" fillId="11" fontId="13" numFmtId="0" xfId="0" applyBorder="1" applyFont="1"/>
    <xf borderId="7" fillId="0" fontId="9" numFmtId="0" xfId="0" applyBorder="1" applyFont="1"/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zbjR9939MIZZ2vVJ_vwXWOkPnAIPXryrrlDMQd0AI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  <c r="K1" s="4"/>
    </row>
    <row r="2">
      <c r="A2" s="5"/>
      <c r="B2" s="4"/>
      <c r="C2" s="4"/>
      <c r="D2" s="4"/>
      <c r="E2" s="4"/>
      <c r="F2" s="6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6"/>
      <c r="G3" s="4"/>
      <c r="H3" s="4"/>
      <c r="I3" s="4"/>
      <c r="J3" s="4"/>
      <c r="K3" s="4"/>
    </row>
    <row r="4">
      <c r="A4" s="4"/>
      <c r="B4" s="4"/>
      <c r="C4" s="4"/>
      <c r="D4" s="4"/>
      <c r="E4" s="4"/>
      <c r="F4" s="6"/>
      <c r="G4" s="4"/>
      <c r="H4" s="4"/>
      <c r="I4" s="4" t="s">
        <v>2</v>
      </c>
      <c r="J4" s="4"/>
      <c r="K4" s="4"/>
    </row>
    <row r="5">
      <c r="A5" s="4"/>
      <c r="B5" s="4"/>
      <c r="C5" s="4"/>
      <c r="D5" s="4"/>
      <c r="E5" s="4"/>
      <c r="F5" s="6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6"/>
      <c r="G6" s="4"/>
      <c r="H6" s="4"/>
      <c r="I6" s="4"/>
      <c r="J6" s="4"/>
      <c r="K6" s="4" t="s">
        <v>2</v>
      </c>
    </row>
    <row r="7">
      <c r="A7" s="4"/>
      <c r="B7" s="7"/>
      <c r="C7" s="7"/>
      <c r="D7" s="7"/>
      <c r="E7" s="7"/>
      <c r="F7" s="8"/>
      <c r="G7" s="4" t="s">
        <v>2</v>
      </c>
      <c r="H7" s="4"/>
      <c r="I7" s="4"/>
      <c r="J7" s="4"/>
      <c r="K7" s="4"/>
    </row>
    <row r="8">
      <c r="A8" s="3"/>
      <c r="B8" s="9"/>
      <c r="C8" s="3"/>
      <c r="D8" s="9"/>
      <c r="E8" s="9"/>
      <c r="F8" s="10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 t="s">
        <v>3</v>
      </c>
      <c r="B10" s="11" t="str">
        <f t="shared" ref="B10:G10" si="1">B23</f>
        <v>Elmer</v>
      </c>
      <c r="C10" s="12" t="str">
        <f t="shared" si="1"/>
        <v>Matt</v>
      </c>
      <c r="D10" s="13" t="str">
        <f t="shared" si="1"/>
        <v>Taran</v>
      </c>
      <c r="E10" s="14" t="str">
        <f t="shared" si="1"/>
        <v>Leo</v>
      </c>
      <c r="F10" s="15" t="str">
        <f t="shared" si="1"/>
        <v>Maas</v>
      </c>
      <c r="G10" s="16" t="str">
        <f t="shared" si="1"/>
        <v>BXu</v>
      </c>
      <c r="H10" s="4"/>
      <c r="I10" s="4" t="s">
        <v>4</v>
      </c>
      <c r="J10" s="4"/>
      <c r="K10" s="4"/>
    </row>
    <row r="11">
      <c r="A11" s="4" t="s">
        <v>5</v>
      </c>
      <c r="B11" s="17" t="str">
        <f t="shared" ref="B11:E11" si="2">B23</f>
        <v>Elmer</v>
      </c>
      <c r="C11" s="18" t="str">
        <f t="shared" si="2"/>
        <v>Matt</v>
      </c>
      <c r="D11" s="13" t="str">
        <f t="shared" si="2"/>
        <v>Taran</v>
      </c>
      <c r="E11" s="14" t="str">
        <f t="shared" si="2"/>
        <v>Leo</v>
      </c>
      <c r="F11" s="15" t="s">
        <v>6</v>
      </c>
      <c r="G11" s="19" t="s">
        <v>7</v>
      </c>
      <c r="H11" s="4" t="s">
        <v>2</v>
      </c>
      <c r="I11" s="4"/>
      <c r="J11" s="4"/>
      <c r="K11" s="4"/>
    </row>
    <row r="12">
      <c r="A12" s="4" t="s">
        <v>8</v>
      </c>
      <c r="B12" s="18" t="s">
        <v>9</v>
      </c>
      <c r="C12" s="17" t="s">
        <v>10</v>
      </c>
      <c r="D12" s="20" t="s">
        <v>11</v>
      </c>
      <c r="E12" s="21" t="s">
        <v>12</v>
      </c>
      <c r="F12" s="15" t="s">
        <v>13</v>
      </c>
      <c r="G12" s="19" t="s">
        <v>14</v>
      </c>
      <c r="H12" s="4"/>
      <c r="I12" s="4"/>
      <c r="J12" s="4"/>
      <c r="K12" s="4"/>
    </row>
    <row r="13">
      <c r="A13" s="4" t="s">
        <v>15</v>
      </c>
      <c r="B13" s="12" t="s">
        <v>16</v>
      </c>
      <c r="C13" s="11" t="s">
        <v>17</v>
      </c>
      <c r="D13" s="13" t="s">
        <v>18</v>
      </c>
      <c r="E13" s="14" t="s">
        <v>19</v>
      </c>
      <c r="F13" s="15" t="s">
        <v>20</v>
      </c>
      <c r="G13" s="19" t="s">
        <v>21</v>
      </c>
      <c r="H13" s="4"/>
      <c r="I13" s="4"/>
      <c r="J13" s="4"/>
      <c r="K13" s="4"/>
    </row>
    <row r="14">
      <c r="A14" s="4" t="s">
        <v>22</v>
      </c>
      <c r="B14" s="12" t="s">
        <v>23</v>
      </c>
      <c r="C14" s="11" t="s">
        <v>24</v>
      </c>
      <c r="D14" s="13" t="s">
        <v>25</v>
      </c>
      <c r="E14" s="14" t="s">
        <v>26</v>
      </c>
      <c r="F14" s="15" t="s">
        <v>27</v>
      </c>
      <c r="G14" s="19" t="s">
        <v>28</v>
      </c>
      <c r="H14" s="4"/>
      <c r="I14" s="4"/>
      <c r="J14" s="4"/>
      <c r="K14" s="4"/>
    </row>
    <row r="15">
      <c r="A15" s="4" t="s">
        <v>29</v>
      </c>
      <c r="B15" s="11" t="s">
        <v>30</v>
      </c>
      <c r="C15" s="12" t="s">
        <v>31</v>
      </c>
      <c r="D15" s="13" t="s">
        <v>32</v>
      </c>
      <c r="E15" s="14" t="s">
        <v>33</v>
      </c>
      <c r="F15" s="15" t="s">
        <v>34</v>
      </c>
      <c r="G15" s="19" t="s">
        <v>35</v>
      </c>
      <c r="H15" s="4"/>
      <c r="I15" s="4"/>
      <c r="J15" s="4"/>
      <c r="K15" s="4"/>
    </row>
    <row r="16">
      <c r="A16" s="4" t="s">
        <v>36</v>
      </c>
      <c r="B16" s="11" t="s">
        <v>37</v>
      </c>
      <c r="C16" s="12" t="s">
        <v>38</v>
      </c>
      <c r="D16" s="13" t="s">
        <v>39</v>
      </c>
      <c r="E16" s="14" t="s">
        <v>40</v>
      </c>
      <c r="F16" s="15" t="s">
        <v>41</v>
      </c>
      <c r="G16" s="19" t="s">
        <v>42</v>
      </c>
      <c r="H16" s="4"/>
      <c r="I16" s="4" t="s">
        <v>43</v>
      </c>
      <c r="J16" s="4"/>
      <c r="K16" s="4"/>
    </row>
    <row r="17">
      <c r="A17" s="4" t="s">
        <v>44</v>
      </c>
      <c r="B17" s="11" t="s">
        <v>45</v>
      </c>
      <c r="C17" s="12" t="s">
        <v>46</v>
      </c>
      <c r="D17" s="13" t="s">
        <v>47</v>
      </c>
      <c r="E17" s="14" t="s">
        <v>48</v>
      </c>
      <c r="F17" s="15" t="s">
        <v>49</v>
      </c>
      <c r="G17" s="19" t="s">
        <v>50</v>
      </c>
      <c r="H17" s="4"/>
      <c r="I17" s="4"/>
      <c r="J17" s="4"/>
      <c r="K17" s="4"/>
    </row>
    <row r="18">
      <c r="A18" s="4" t="s">
        <v>51</v>
      </c>
      <c r="B18" s="11"/>
      <c r="C18" s="12"/>
      <c r="D18" s="13"/>
      <c r="E18" s="14"/>
      <c r="F18" s="15"/>
      <c r="G18" s="16"/>
      <c r="H18" s="4"/>
      <c r="I18" s="4"/>
      <c r="J18" s="4"/>
      <c r="K18" s="4"/>
    </row>
    <row r="19">
      <c r="A19" s="4" t="s">
        <v>52</v>
      </c>
      <c r="B19" s="11"/>
      <c r="C19" s="12"/>
      <c r="D19" s="13"/>
      <c r="E19" s="14"/>
      <c r="F19" s="15"/>
      <c r="G19" s="16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>
      <c r="A21" s="3" t="s">
        <v>53</v>
      </c>
      <c r="B21" s="9"/>
      <c r="C21" s="9"/>
      <c r="D21" s="9"/>
      <c r="E21" s="9"/>
      <c r="F21" s="3"/>
      <c r="G21" s="3"/>
      <c r="H21" s="4"/>
      <c r="I21" s="4"/>
      <c r="J21" s="4"/>
      <c r="K21" s="4"/>
    </row>
    <row r="22">
      <c r="A22" s="22"/>
      <c r="B22" s="23" t="s">
        <v>54</v>
      </c>
      <c r="C22" s="23" t="s">
        <v>55</v>
      </c>
      <c r="D22" s="23" t="s">
        <v>56</v>
      </c>
      <c r="E22" s="23" t="s">
        <v>57</v>
      </c>
      <c r="F22" s="23" t="s">
        <v>58</v>
      </c>
      <c r="G22" s="23" t="s">
        <v>59</v>
      </c>
      <c r="H22" s="4"/>
      <c r="I22" s="4"/>
      <c r="J22" s="4"/>
      <c r="K22" s="4"/>
    </row>
    <row r="23">
      <c r="A23" s="22" t="s">
        <v>60</v>
      </c>
      <c r="B23" s="24" t="s">
        <v>61</v>
      </c>
      <c r="C23" s="24" t="s">
        <v>62</v>
      </c>
      <c r="D23" s="24" t="s">
        <v>63</v>
      </c>
      <c r="E23" s="24" t="s">
        <v>64</v>
      </c>
      <c r="F23" s="24" t="s">
        <v>65</v>
      </c>
      <c r="G23" s="24" t="s">
        <v>66</v>
      </c>
      <c r="H23" s="4"/>
      <c r="I23" s="4"/>
      <c r="J23" s="4"/>
      <c r="K23" s="4"/>
    </row>
    <row r="24">
      <c r="A24" s="22" t="s">
        <v>5</v>
      </c>
      <c r="B24" s="24" t="s">
        <v>67</v>
      </c>
      <c r="C24" s="24" t="s">
        <v>68</v>
      </c>
      <c r="D24" s="24" t="s">
        <v>69</v>
      </c>
      <c r="E24" s="24" t="s">
        <v>70</v>
      </c>
      <c r="F24" s="23" t="s">
        <v>6</v>
      </c>
      <c r="G24" s="23" t="s">
        <v>7</v>
      </c>
      <c r="H24" s="4"/>
      <c r="I24" s="4"/>
      <c r="J24" s="4"/>
      <c r="K24" s="4"/>
    </row>
    <row r="25">
      <c r="A25" s="22" t="s">
        <v>71</v>
      </c>
      <c r="B25" s="24" t="s">
        <v>72</v>
      </c>
      <c r="C25" s="24" t="s">
        <v>73</v>
      </c>
      <c r="D25" s="24" t="s">
        <v>74</v>
      </c>
      <c r="E25" s="24" t="s">
        <v>75</v>
      </c>
      <c r="F25" s="23" t="s">
        <v>76</v>
      </c>
      <c r="G25" s="23" t="s">
        <v>77</v>
      </c>
      <c r="H25" s="4"/>
      <c r="I25" s="4"/>
      <c r="J25" s="4"/>
      <c r="K25" s="4"/>
    </row>
    <row r="26">
      <c r="A26" s="22" t="s">
        <v>78</v>
      </c>
      <c r="B26" s="24" t="s">
        <v>79</v>
      </c>
      <c r="C26" s="24" t="s">
        <v>80</v>
      </c>
      <c r="D26" s="24" t="s">
        <v>81</v>
      </c>
      <c r="E26" s="24" t="s">
        <v>82</v>
      </c>
      <c r="F26" s="23" t="s">
        <v>83</v>
      </c>
      <c r="G26" s="23" t="s">
        <v>84</v>
      </c>
      <c r="H26" s="4" t="str">
        <f>B30</f>
        <v/>
      </c>
      <c r="I26" s="4"/>
      <c r="J26" s="4"/>
      <c r="K26" s="4"/>
    </row>
    <row r="27">
      <c r="A27" s="22" t="s">
        <v>85</v>
      </c>
      <c r="B27" s="24" t="s">
        <v>86</v>
      </c>
      <c r="C27" s="24" t="s">
        <v>87</v>
      </c>
      <c r="D27" s="24" t="s">
        <v>88</v>
      </c>
      <c r="E27" s="24" t="s">
        <v>89</v>
      </c>
      <c r="F27" s="23" t="s">
        <v>90</v>
      </c>
      <c r="G27" s="23" t="s">
        <v>91</v>
      </c>
      <c r="H27" s="4"/>
      <c r="I27" s="4"/>
      <c r="J27" s="4"/>
      <c r="K27" s="4"/>
    </row>
    <row r="28">
      <c r="A28" s="22" t="s">
        <v>92</v>
      </c>
      <c r="B28" s="24" t="s">
        <v>93</v>
      </c>
      <c r="C28" s="24" t="s">
        <v>94</v>
      </c>
      <c r="D28" s="24" t="s">
        <v>95</v>
      </c>
      <c r="E28" s="24" t="s">
        <v>96</v>
      </c>
      <c r="F28" s="23" t="s">
        <v>97</v>
      </c>
      <c r="G28" s="23" t="s">
        <v>98</v>
      </c>
      <c r="H28" s="4"/>
      <c r="I28" s="4"/>
      <c r="J28" s="4"/>
      <c r="K28" s="4"/>
    </row>
    <row r="29">
      <c r="A29" s="22" t="s">
        <v>99</v>
      </c>
      <c r="B29" s="24" t="s">
        <v>100</v>
      </c>
      <c r="C29" s="24" t="s">
        <v>101</v>
      </c>
      <c r="D29" s="24" t="s">
        <v>102</v>
      </c>
      <c r="E29" s="24" t="s">
        <v>103</v>
      </c>
      <c r="F29" s="23" t="s">
        <v>104</v>
      </c>
      <c r="G29" s="23" t="s">
        <v>105</v>
      </c>
      <c r="H29" s="4"/>
      <c r="I29" s="4"/>
      <c r="J29" s="4"/>
      <c r="K29" s="4"/>
    </row>
    <row r="30">
      <c r="A30" s="22" t="s">
        <v>106</v>
      </c>
      <c r="B30" s="10"/>
      <c r="C30" s="24" t="s">
        <v>107</v>
      </c>
      <c r="D30" s="24" t="s">
        <v>108</v>
      </c>
      <c r="E30" s="24" t="s">
        <v>109</v>
      </c>
      <c r="F30" s="23" t="s">
        <v>110</v>
      </c>
      <c r="G30" s="23" t="s">
        <v>111</v>
      </c>
      <c r="H30" s="4"/>
      <c r="I30" s="4"/>
      <c r="J30" s="4"/>
      <c r="K30" s="4"/>
    </row>
    <row r="31">
      <c r="A31" s="22" t="s">
        <v>112</v>
      </c>
      <c r="B31" s="25"/>
      <c r="C31" s="23" t="s">
        <v>113</v>
      </c>
      <c r="D31" s="23" t="s">
        <v>114</v>
      </c>
      <c r="E31" s="23" t="s">
        <v>115</v>
      </c>
      <c r="F31" s="23" t="s">
        <v>116</v>
      </c>
      <c r="G31" s="23" t="s">
        <v>117</v>
      </c>
      <c r="H31" s="4"/>
      <c r="I31" s="4"/>
      <c r="J31" s="4"/>
      <c r="K31" s="4"/>
    </row>
    <row r="32">
      <c r="A32" s="22" t="s">
        <v>118</v>
      </c>
      <c r="B32" s="24"/>
      <c r="C32" s="24" t="s">
        <v>119</v>
      </c>
      <c r="D32" s="24"/>
      <c r="E32" s="24"/>
      <c r="F32" s="24" t="s">
        <v>120</v>
      </c>
      <c r="G32" s="24"/>
      <c r="H32" s="4"/>
      <c r="I32" s="4"/>
      <c r="J32" s="4"/>
      <c r="K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>
      <c r="A35" s="1" t="s">
        <v>121</v>
      </c>
      <c r="B35" s="2" t="s">
        <v>1</v>
      </c>
      <c r="C35" s="3"/>
      <c r="D35" s="3"/>
      <c r="E35" s="3"/>
      <c r="F35" s="4"/>
      <c r="G35" s="4"/>
      <c r="H35" s="4"/>
      <c r="I35" s="4"/>
      <c r="J35" s="4"/>
      <c r="K35" s="4"/>
    </row>
    <row r="36">
      <c r="A36" s="4"/>
      <c r="B36" s="4"/>
      <c r="C36" s="4"/>
      <c r="D36" s="4"/>
      <c r="E36" s="6"/>
      <c r="F36" s="4"/>
      <c r="G36" s="4"/>
      <c r="H36" s="4"/>
      <c r="I36" s="4"/>
      <c r="J36" s="4"/>
      <c r="K36" s="4"/>
    </row>
    <row r="37">
      <c r="A37" s="4"/>
      <c r="B37" s="4"/>
      <c r="C37" s="4"/>
      <c r="D37" s="4"/>
      <c r="E37" s="6"/>
      <c r="F37" s="4"/>
      <c r="G37" s="4"/>
      <c r="H37" s="4"/>
      <c r="I37" s="4"/>
      <c r="J37" s="4"/>
      <c r="K37" s="4"/>
    </row>
    <row r="38">
      <c r="A38" s="4"/>
      <c r="B38" s="4"/>
      <c r="C38" s="4"/>
      <c r="D38" s="4"/>
      <c r="E38" s="6"/>
      <c r="F38" s="7"/>
      <c r="G38" s="4"/>
      <c r="H38" s="4"/>
      <c r="I38" s="4"/>
      <c r="J38" s="4"/>
      <c r="K38" s="4"/>
    </row>
    <row r="39">
      <c r="A39" s="4"/>
      <c r="B39" s="4"/>
      <c r="C39" s="4"/>
      <c r="D39" s="4"/>
      <c r="E39" s="6"/>
      <c r="F39" s="4"/>
      <c r="G39" s="4"/>
      <c r="H39" s="4"/>
      <c r="I39" s="4"/>
      <c r="J39" s="4"/>
      <c r="K39" s="4"/>
    </row>
    <row r="40">
      <c r="A40" s="3"/>
      <c r="B40" s="3"/>
      <c r="C40" s="3"/>
      <c r="D40" s="3"/>
      <c r="E40" s="25"/>
      <c r="F40" s="4"/>
      <c r="G40" s="4"/>
      <c r="H40" s="4"/>
      <c r="I40" s="4"/>
      <c r="J40" s="4"/>
      <c r="K40" s="4"/>
    </row>
    <row r="41">
      <c r="A41" s="3"/>
      <c r="B41" s="3"/>
      <c r="C41" s="3"/>
      <c r="D41" s="9"/>
      <c r="E41" s="9"/>
      <c r="F41" s="9"/>
      <c r="G41" s="3"/>
      <c r="H41" s="4"/>
      <c r="I41" s="4"/>
      <c r="J41" s="4"/>
      <c r="K41" s="4"/>
    </row>
    <row r="42">
      <c r="A42" s="22" t="s">
        <v>53</v>
      </c>
      <c r="B42" s="25"/>
      <c r="C42" s="25"/>
      <c r="D42" s="25"/>
      <c r="E42" s="25"/>
      <c r="F42" s="10"/>
      <c r="G42" s="25"/>
      <c r="H42" s="4"/>
      <c r="I42" s="4"/>
      <c r="J42" s="4"/>
      <c r="K42" s="4"/>
    </row>
    <row r="43">
      <c r="A43" s="22"/>
      <c r="B43" s="24" t="s">
        <v>54</v>
      </c>
      <c r="C43" s="10" t="str">
        <f t="shared" ref="C43:D43" si="3">C22</f>
        <v>Team C</v>
      </c>
      <c r="D43" s="10" t="str">
        <f t="shared" si="3"/>
        <v>Team E</v>
      </c>
      <c r="E43" s="24" t="s">
        <v>57</v>
      </c>
      <c r="F43" s="10" t="str">
        <f t="shared" ref="F43:G43" si="4">F22</f>
        <v>Gargantuan</v>
      </c>
      <c r="G43" s="10" t="str">
        <f t="shared" si="4"/>
        <v>Team F</v>
      </c>
      <c r="H43" s="4"/>
      <c r="I43" s="4"/>
      <c r="J43" s="4"/>
      <c r="K43" s="4"/>
    </row>
    <row r="44">
      <c r="A44" s="26" t="s">
        <v>3</v>
      </c>
      <c r="B44" s="27" t="str">
        <f t="shared" ref="B44:G44" si="5">B23</f>
        <v>Elmer</v>
      </c>
      <c r="C44" s="28" t="str">
        <f t="shared" si="5"/>
        <v>Matt</v>
      </c>
      <c r="D44" s="29" t="str">
        <f t="shared" si="5"/>
        <v>Taran</v>
      </c>
      <c r="E44" s="30" t="str">
        <f t="shared" si="5"/>
        <v>Leo</v>
      </c>
      <c r="F44" s="31" t="str">
        <f t="shared" si="5"/>
        <v>Maas</v>
      </c>
      <c r="G44" s="32" t="str">
        <f t="shared" si="5"/>
        <v>BXu</v>
      </c>
      <c r="H44" s="4"/>
      <c r="I44" s="4"/>
      <c r="J44" s="4"/>
      <c r="K44" s="4"/>
    </row>
    <row r="45">
      <c r="A45" s="3"/>
      <c r="B45" s="9"/>
      <c r="C45" s="9"/>
      <c r="D45" s="9"/>
      <c r="E45" s="3"/>
      <c r="F45" s="3"/>
      <c r="G45" s="3"/>
      <c r="H45" s="4"/>
      <c r="I45" s="4"/>
      <c r="J45" s="4"/>
      <c r="K45" s="4"/>
    </row>
    <row r="46">
      <c r="A46" s="26">
        <v>1.0</v>
      </c>
      <c r="B46" s="33" t="s">
        <v>122</v>
      </c>
      <c r="C46" s="34" t="s">
        <v>68</v>
      </c>
      <c r="D46" s="35" t="s">
        <v>123</v>
      </c>
      <c r="E46" s="36" t="s">
        <v>70</v>
      </c>
      <c r="F46" s="37" t="s">
        <v>6</v>
      </c>
      <c r="G46" s="38" t="s">
        <v>7</v>
      </c>
      <c r="H46" s="4">
        <f>7*6+12</f>
        <v>54</v>
      </c>
      <c r="I46" s="4"/>
      <c r="J46" s="4"/>
      <c r="K46" s="4"/>
    </row>
    <row r="47">
      <c r="A47" s="39">
        <f t="shared" ref="A47:A56" si="6">A46+1</f>
        <v>2</v>
      </c>
      <c r="B47" s="33" t="s">
        <v>72</v>
      </c>
      <c r="C47" s="34" t="s">
        <v>124</v>
      </c>
      <c r="D47" s="35" t="s">
        <v>125</v>
      </c>
      <c r="E47" s="36" t="s">
        <v>75</v>
      </c>
      <c r="F47" s="37" t="s">
        <v>76</v>
      </c>
      <c r="G47" s="38" t="s">
        <v>77</v>
      </c>
      <c r="H47" s="4"/>
      <c r="I47" s="4"/>
      <c r="J47" s="4"/>
      <c r="K47" s="4"/>
    </row>
    <row r="48">
      <c r="A48" s="39">
        <f t="shared" si="6"/>
        <v>3</v>
      </c>
      <c r="B48" s="33" t="s">
        <v>79</v>
      </c>
      <c r="C48" s="34" t="s">
        <v>80</v>
      </c>
      <c r="D48" s="35" t="s">
        <v>81</v>
      </c>
      <c r="E48" s="36" t="s">
        <v>82</v>
      </c>
      <c r="F48" s="37" t="s">
        <v>83</v>
      </c>
      <c r="G48" s="38" t="s">
        <v>84</v>
      </c>
      <c r="H48" s="4"/>
      <c r="I48" s="4"/>
      <c r="J48" s="4"/>
      <c r="K48" s="4"/>
    </row>
    <row r="49">
      <c r="A49" s="39">
        <f t="shared" si="6"/>
        <v>4</v>
      </c>
      <c r="B49" s="33" t="s">
        <v>86</v>
      </c>
      <c r="C49" s="34" t="s">
        <v>87</v>
      </c>
      <c r="D49" s="35" t="s">
        <v>126</v>
      </c>
      <c r="E49" s="36" t="s">
        <v>89</v>
      </c>
      <c r="F49" s="37" t="s">
        <v>90</v>
      </c>
      <c r="G49" s="38" t="s">
        <v>91</v>
      </c>
      <c r="H49" s="4"/>
      <c r="I49" s="4"/>
      <c r="J49" s="4"/>
      <c r="K49" s="4"/>
    </row>
    <row r="50">
      <c r="A50" s="39">
        <f t="shared" si="6"/>
        <v>5</v>
      </c>
      <c r="B50" s="33" t="s">
        <v>93</v>
      </c>
      <c r="C50" s="34" t="s">
        <v>94</v>
      </c>
      <c r="D50" s="35" t="s">
        <v>95</v>
      </c>
      <c r="E50" s="36" t="s">
        <v>96</v>
      </c>
      <c r="F50" s="37" t="s">
        <v>97</v>
      </c>
      <c r="G50" s="38" t="s">
        <v>98</v>
      </c>
      <c r="H50" s="4"/>
      <c r="I50" s="4"/>
      <c r="J50" s="4"/>
      <c r="K50" s="4"/>
    </row>
    <row r="51">
      <c r="A51" s="39">
        <f t="shared" si="6"/>
        <v>6</v>
      </c>
      <c r="B51" s="33" t="s">
        <v>100</v>
      </c>
      <c r="C51" s="34" t="s">
        <v>101</v>
      </c>
      <c r="D51" s="35" t="s">
        <v>102</v>
      </c>
      <c r="E51" s="36" t="s">
        <v>103</v>
      </c>
      <c r="F51" s="37" t="s">
        <v>104</v>
      </c>
      <c r="G51" s="38" t="s">
        <v>105</v>
      </c>
      <c r="H51" s="4"/>
      <c r="I51" s="4"/>
      <c r="J51" s="4"/>
      <c r="K51" s="4"/>
    </row>
    <row r="52">
      <c r="A52" s="39">
        <f t="shared" si="6"/>
        <v>7</v>
      </c>
      <c r="B52" s="27"/>
      <c r="C52" s="34" t="s">
        <v>107</v>
      </c>
      <c r="D52" s="35" t="s">
        <v>108</v>
      </c>
      <c r="E52" s="36" t="s">
        <v>109</v>
      </c>
      <c r="F52" s="37" t="s">
        <v>110</v>
      </c>
      <c r="G52" s="38" t="s">
        <v>111</v>
      </c>
      <c r="H52" s="4"/>
      <c r="I52" s="4"/>
      <c r="J52" s="4"/>
      <c r="K52" s="4"/>
    </row>
    <row r="53">
      <c r="A53" s="39">
        <f t="shared" si="6"/>
        <v>8</v>
      </c>
      <c r="B53" s="27"/>
      <c r="C53" s="34" t="s">
        <v>113</v>
      </c>
      <c r="D53" s="35" t="s">
        <v>114</v>
      </c>
      <c r="E53" s="36" t="s">
        <v>115</v>
      </c>
      <c r="F53" s="37" t="s">
        <v>116</v>
      </c>
      <c r="G53" s="38" t="s">
        <v>117</v>
      </c>
      <c r="H53" s="4"/>
      <c r="I53" s="4"/>
      <c r="J53" s="4"/>
      <c r="K53" s="4"/>
    </row>
    <row r="54">
      <c r="A54" s="39">
        <f t="shared" si="6"/>
        <v>9</v>
      </c>
      <c r="B54" s="33"/>
      <c r="C54" s="34" t="s">
        <v>119</v>
      </c>
      <c r="D54" s="35"/>
      <c r="E54" s="36"/>
      <c r="F54" s="37" t="s">
        <v>120</v>
      </c>
      <c r="G54" s="38"/>
      <c r="H54" s="4"/>
      <c r="I54" s="4"/>
      <c r="J54" s="4"/>
      <c r="K54" s="4"/>
    </row>
    <row r="55">
      <c r="A55" s="39">
        <f t="shared" si="6"/>
        <v>10</v>
      </c>
      <c r="B55" s="27"/>
      <c r="C55" s="28"/>
      <c r="D55" s="29"/>
      <c r="E55" s="30"/>
      <c r="F55" s="31"/>
      <c r="G55" s="32"/>
      <c r="H55" s="4"/>
      <c r="I55" s="4"/>
      <c r="J55" s="4"/>
      <c r="K55" s="4"/>
    </row>
    <row r="56">
      <c r="A56" s="39">
        <f t="shared" si="6"/>
        <v>11</v>
      </c>
      <c r="B56" s="33"/>
      <c r="C56" s="34"/>
      <c r="D56" s="35"/>
      <c r="E56" s="36"/>
      <c r="F56" s="37"/>
      <c r="G56" s="38"/>
      <c r="H56" s="4"/>
      <c r="I56" s="4"/>
      <c r="J56" s="4"/>
      <c r="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40" t="s">
        <v>127</v>
      </c>
      <c r="B1" s="40" t="s">
        <v>128</v>
      </c>
      <c r="C1" s="4"/>
      <c r="D1" s="41" t="s">
        <v>129</v>
      </c>
    </row>
    <row r="2">
      <c r="A2" s="4" t="s">
        <v>130</v>
      </c>
      <c r="B2" s="4" t="s">
        <v>131</v>
      </c>
      <c r="C2" s="4"/>
      <c r="D2" s="4"/>
      <c r="E2" s="2" t="s">
        <v>132</v>
      </c>
      <c r="F2" s="3"/>
      <c r="G2" s="3"/>
      <c r="H2" s="3"/>
      <c r="I2" s="3"/>
      <c r="J2" s="3"/>
      <c r="K2" s="3"/>
    </row>
    <row r="3">
      <c r="A3" s="4" t="s">
        <v>133</v>
      </c>
      <c r="B3" s="42" t="s">
        <v>134</v>
      </c>
      <c r="C3" s="7"/>
      <c r="D3" s="4"/>
      <c r="E3" s="43"/>
      <c r="F3" s="23" t="s">
        <v>54</v>
      </c>
      <c r="G3" s="25" t="str">
        <f>Draft!C22</f>
        <v>Team C</v>
      </c>
      <c r="H3" s="25" t="str">
        <f>Draft!D22</f>
        <v>Team E</v>
      </c>
      <c r="I3" s="23" t="s">
        <v>57</v>
      </c>
      <c r="J3" s="25" t="str">
        <f>Draft!F22</f>
        <v>Gargantuan</v>
      </c>
      <c r="K3" s="25" t="str">
        <f>Draft!G22</f>
        <v>Team F</v>
      </c>
    </row>
    <row r="4">
      <c r="A4" s="4" t="s">
        <v>135</v>
      </c>
      <c r="B4" s="42" t="s">
        <v>136</v>
      </c>
      <c r="C4" s="7"/>
      <c r="D4" s="4"/>
      <c r="E4" s="22" t="s">
        <v>60</v>
      </c>
      <c r="F4" s="25" t="str">
        <f>Draft!B23</f>
        <v>Elmer</v>
      </c>
      <c r="G4" s="25" t="str">
        <f>Draft!C23</f>
        <v>Matt</v>
      </c>
      <c r="H4" s="25" t="str">
        <f>Draft!D23</f>
        <v>Taran</v>
      </c>
      <c r="I4" s="25" t="str">
        <f>Draft!E23</f>
        <v>Leo</v>
      </c>
      <c r="J4" s="25" t="str">
        <f>Draft!F23</f>
        <v>Maas</v>
      </c>
      <c r="K4" s="25" t="str">
        <f>Draft!G23</f>
        <v>BXu</v>
      </c>
    </row>
    <row r="5">
      <c r="A5" s="4" t="s">
        <v>137</v>
      </c>
      <c r="B5" s="4" t="s">
        <v>138</v>
      </c>
      <c r="C5" s="7" t="s">
        <v>139</v>
      </c>
      <c r="D5" s="4"/>
      <c r="E5" s="22" t="s">
        <v>5</v>
      </c>
      <c r="F5" s="25" t="str">
        <f>Draft!B24</f>
        <v>John Y</v>
      </c>
      <c r="G5" s="25" t="str">
        <f>Draft!C24</f>
        <v>Gid</v>
      </c>
      <c r="H5" s="25" t="str">
        <f>Draft!D24</f>
        <v>Miguel F</v>
      </c>
      <c r="I5" s="25" t="str">
        <f>Draft!E24</f>
        <v>Seb</v>
      </c>
      <c r="J5" s="25" t="str">
        <f>Draft!F24</f>
        <v>Hawkins</v>
      </c>
      <c r="K5" s="25" t="str">
        <f>Draft!G24</f>
        <v>JChan</v>
      </c>
    </row>
    <row r="6">
      <c r="A6" s="4" t="s">
        <v>140</v>
      </c>
      <c r="B6" s="4" t="s">
        <v>141</v>
      </c>
      <c r="C6" s="44" t="s">
        <v>142</v>
      </c>
      <c r="D6" s="4"/>
      <c r="E6" s="22" t="s">
        <v>71</v>
      </c>
      <c r="F6" s="25" t="str">
        <f>Draft!B25</f>
        <v>Porco</v>
      </c>
      <c r="G6" s="25" t="str">
        <f>Draft!C25</f>
        <v>Nikita S</v>
      </c>
      <c r="H6" s="25" t="str">
        <f>Draft!D25</f>
        <v>Mike H</v>
      </c>
      <c r="I6" s="25" t="str">
        <f>Draft!E25</f>
        <v>Fritz</v>
      </c>
      <c r="J6" s="23" t="s">
        <v>76</v>
      </c>
      <c r="K6" s="25" t="str">
        <f>Draft!G25</f>
        <v>DC</v>
      </c>
    </row>
    <row r="7">
      <c r="A7" s="4" t="s">
        <v>121</v>
      </c>
      <c r="B7" s="4" t="s">
        <v>143</v>
      </c>
      <c r="C7" s="7"/>
      <c r="D7" s="4"/>
      <c r="E7" s="22" t="s">
        <v>78</v>
      </c>
      <c r="F7" s="25" t="str">
        <f>Draft!B26</f>
        <v>Marmo</v>
      </c>
      <c r="G7" s="25" t="str">
        <f>Draft!C26</f>
        <v>Sonne</v>
      </c>
      <c r="H7" s="25" t="str">
        <f>Draft!D26</f>
        <v>Madams</v>
      </c>
      <c r="I7" s="25" t="str">
        <f>Draft!E26</f>
        <v>Arnav</v>
      </c>
      <c r="J7" s="25" t="str">
        <f>Draft!F26</f>
        <v>Rockett</v>
      </c>
      <c r="K7" s="25" t="str">
        <f>Draft!G26</f>
        <v>Schmid</v>
      </c>
    </row>
    <row r="8">
      <c r="A8" s="4" t="s">
        <v>144</v>
      </c>
      <c r="B8" s="42" t="s">
        <v>145</v>
      </c>
      <c r="C8" s="7"/>
      <c r="D8" s="4"/>
      <c r="E8" s="22" t="s">
        <v>85</v>
      </c>
      <c r="F8" s="25" t="str">
        <f>Draft!B27</f>
        <v>Swit</v>
      </c>
      <c r="G8" s="25" t="str">
        <f>Draft!C27</f>
        <v>Crosby</v>
      </c>
      <c r="H8" s="25" t="str">
        <f>Draft!D27</f>
        <v>Jay S</v>
      </c>
      <c r="I8" s="25" t="str">
        <f>Draft!E27</f>
        <v>Lanuza</v>
      </c>
      <c r="J8" s="25" t="str">
        <f>Draft!F27</f>
        <v>Du</v>
      </c>
      <c r="K8" s="25" t="str">
        <f>Draft!G27</f>
        <v>Kian</v>
      </c>
    </row>
    <row r="9">
      <c r="A9" s="4" t="s">
        <v>146</v>
      </c>
      <c r="B9" s="42" t="s">
        <v>147</v>
      </c>
      <c r="C9" s="7"/>
      <c r="D9" s="4"/>
      <c r="E9" s="22" t="s">
        <v>92</v>
      </c>
      <c r="F9" s="25" t="str">
        <f>Draft!B28</f>
        <v>Emi</v>
      </c>
      <c r="G9" s="25" t="str">
        <f>Draft!C28</f>
        <v>Kevin Zhou</v>
      </c>
      <c r="H9" s="25" t="str">
        <f>Draft!D28</f>
        <v>Tripp</v>
      </c>
      <c r="I9" s="25" t="str">
        <f>Draft!E28</f>
        <v>Samos</v>
      </c>
      <c r="J9" s="25" t="str">
        <f>Draft!F28</f>
        <v>Raymond</v>
      </c>
      <c r="K9" s="25" t="str">
        <f>Draft!G28</f>
        <v>Hando</v>
      </c>
    </row>
    <row r="10">
      <c r="A10" s="4" t="s">
        <v>148</v>
      </c>
      <c r="B10" s="4" t="s">
        <v>149</v>
      </c>
      <c r="C10" s="7"/>
      <c r="D10" s="4" t="s">
        <v>2</v>
      </c>
      <c r="E10" s="22" t="s">
        <v>99</v>
      </c>
      <c r="F10" s="25" t="str">
        <f>Draft!B29</f>
        <v>SoHo</v>
      </c>
      <c r="G10" s="25" t="str">
        <f>Draft!C29</f>
        <v>Somil</v>
      </c>
      <c r="H10" s="25" t="str">
        <f>Draft!D29</f>
        <v>Lulu</v>
      </c>
      <c r="I10" s="25" t="str">
        <f>Draft!E29</f>
        <v>Kyi</v>
      </c>
      <c r="J10" s="25" t="str">
        <f>Draft!F29</f>
        <v>Derek</v>
      </c>
      <c r="K10" s="25" t="str">
        <f>Draft!G29</f>
        <v>Petric</v>
      </c>
    </row>
    <row r="11">
      <c r="A11" s="4" t="s">
        <v>150</v>
      </c>
      <c r="B11" s="4" t="s">
        <v>151</v>
      </c>
      <c r="C11" s="4" t="s">
        <v>152</v>
      </c>
      <c r="D11" s="4"/>
      <c r="E11" s="22" t="s">
        <v>106</v>
      </c>
      <c r="F11" s="25" t="str">
        <f>Draft!B30</f>
        <v/>
      </c>
      <c r="G11" s="25" t="str">
        <f>Draft!C30</f>
        <v>Suyoag</v>
      </c>
      <c r="H11" s="25" t="str">
        <f>Draft!D30</f>
        <v>Ilt</v>
      </c>
      <c r="I11" s="25" t="str">
        <f>Draft!E30</f>
        <v>TC</v>
      </c>
      <c r="J11" s="25" t="str">
        <f>Draft!F30</f>
        <v>Neo</v>
      </c>
      <c r="K11" s="25" t="str">
        <f>Draft!G30</f>
        <v>Mike Zhou</v>
      </c>
    </row>
    <row r="12">
      <c r="A12" s="4" t="s">
        <v>150</v>
      </c>
      <c r="B12" s="4" t="s">
        <v>153</v>
      </c>
      <c r="C12" s="4" t="s">
        <v>152</v>
      </c>
      <c r="D12" s="4"/>
      <c r="E12" s="22" t="s">
        <v>112</v>
      </c>
      <c r="F12" s="25" t="str">
        <f>Draft!B31</f>
        <v/>
      </c>
      <c r="G12" s="25" t="str">
        <f>Draft!C31</f>
        <v>Will Ho</v>
      </c>
      <c r="H12" s="25" t="str">
        <f>Draft!D31</f>
        <v>Pasha</v>
      </c>
      <c r="I12" s="25" t="str">
        <f>Draft!E31</f>
        <v>Adi</v>
      </c>
      <c r="J12" s="25" t="str">
        <f>Draft!F31</f>
        <v>Brendan</v>
      </c>
      <c r="K12" s="25" t="str">
        <f>Draft!G31</f>
        <v>Cole</v>
      </c>
    </row>
    <row r="13">
      <c r="A13" s="4" t="s">
        <v>154</v>
      </c>
      <c r="B13" s="42" t="s">
        <v>155</v>
      </c>
      <c r="C13" s="4"/>
      <c r="D13" s="4"/>
      <c r="E13" s="22" t="s">
        <v>118</v>
      </c>
      <c r="F13" s="25" t="str">
        <f>Draft!B32</f>
        <v/>
      </c>
      <c r="G13" s="25" t="str">
        <f>Draft!C32</f>
        <v>Nagle</v>
      </c>
      <c r="H13" s="25" t="str">
        <f>Draft!D32</f>
        <v/>
      </c>
      <c r="I13" s="25" t="str">
        <f>Draft!E32</f>
        <v/>
      </c>
      <c r="J13" s="25" t="str">
        <f>Draft!F32</f>
        <v>Hanono</v>
      </c>
      <c r="K13" s="25" t="str">
        <f>Draft!G32</f>
        <v/>
      </c>
    </row>
    <row r="14">
      <c r="A14" s="4" t="s">
        <v>156</v>
      </c>
      <c r="B14" s="4" t="s">
        <v>157</v>
      </c>
      <c r="C14" s="4" t="s">
        <v>133</v>
      </c>
      <c r="D14" s="4"/>
      <c r="E14" s="22" t="s">
        <v>158</v>
      </c>
      <c r="F14" s="25"/>
      <c r="G14" s="25"/>
      <c r="H14" s="25"/>
      <c r="I14" s="25"/>
      <c r="J14" s="25"/>
      <c r="K14" s="25"/>
    </row>
    <row r="15">
      <c r="A15" s="4" t="s">
        <v>159</v>
      </c>
      <c r="B15" s="4" t="s">
        <v>160</v>
      </c>
      <c r="C15" s="4" t="s">
        <v>161</v>
      </c>
      <c r="D15" s="4"/>
      <c r="E15" s="22" t="s">
        <v>162</v>
      </c>
      <c r="F15" s="25"/>
      <c r="G15" s="25"/>
      <c r="H15" s="25"/>
      <c r="I15" s="25"/>
      <c r="J15" s="25"/>
      <c r="K15" s="25"/>
    </row>
    <row r="16">
      <c r="A16" s="4" t="s">
        <v>163</v>
      </c>
      <c r="B16" s="42" t="s">
        <v>164</v>
      </c>
      <c r="C16" s="4"/>
      <c r="D16" s="4"/>
      <c r="E16" s="22" t="s">
        <v>165</v>
      </c>
      <c r="F16" s="25"/>
      <c r="G16" s="25"/>
      <c r="H16" s="25"/>
      <c r="I16" s="25"/>
      <c r="J16" s="25"/>
      <c r="K16" s="25"/>
    </row>
    <row r="17">
      <c r="A17" s="4"/>
      <c r="B17" s="4"/>
      <c r="C17" s="4"/>
      <c r="D17" s="4"/>
      <c r="E17" s="22" t="s">
        <v>166</v>
      </c>
      <c r="F17" s="25"/>
      <c r="G17" s="25"/>
      <c r="H17" s="25"/>
      <c r="I17" s="25"/>
      <c r="J17" s="25"/>
      <c r="K17" s="25"/>
    </row>
    <row r="18">
      <c r="A18" s="4" t="s">
        <v>167</v>
      </c>
      <c r="B18" s="4" t="s">
        <v>168</v>
      </c>
      <c r="C18" s="4"/>
      <c r="D18" s="4"/>
      <c r="E18" s="45" t="s">
        <v>169</v>
      </c>
      <c r="F18" s="6"/>
      <c r="G18" s="6"/>
      <c r="H18" s="6"/>
      <c r="I18" s="6"/>
      <c r="J18" s="6"/>
      <c r="K18" s="6"/>
    </row>
    <row r="19">
      <c r="A19" s="4" t="s">
        <v>170</v>
      </c>
      <c r="B19" s="4" t="s">
        <v>171</v>
      </c>
      <c r="C19" s="4"/>
      <c r="D19" s="4"/>
      <c r="E19" s="46"/>
      <c r="F19" s="46"/>
      <c r="G19" s="47"/>
      <c r="H19" s="47"/>
      <c r="I19" s="47"/>
      <c r="J19" s="47"/>
      <c r="K19" s="47"/>
    </row>
    <row r="20">
      <c r="A20" s="7" t="s">
        <v>172</v>
      </c>
      <c r="B20" s="7" t="s">
        <v>173</v>
      </c>
      <c r="C20" s="4"/>
      <c r="D20" s="4"/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Draft!B23</f>
        <v>Elmer</v>
      </c>
      <c r="B1" s="3"/>
      <c r="C1" s="3"/>
      <c r="D1" s="3"/>
      <c r="E1" s="3"/>
      <c r="F1" s="4"/>
      <c r="G1" s="3" t="str">
        <f>Draft!D23</f>
        <v>Taran</v>
      </c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8" t="str">
        <f>Draft!B22</f>
        <v>Candice?</v>
      </c>
      <c r="B2" s="3" t="s">
        <v>174</v>
      </c>
      <c r="C2" s="3" t="s">
        <v>175</v>
      </c>
      <c r="D2" s="3" t="s">
        <v>176</v>
      </c>
      <c r="E2" s="25" t="s">
        <v>177</v>
      </c>
      <c r="F2" s="6"/>
      <c r="G2" s="49" t="str">
        <f>Draft!D22</f>
        <v>Team E</v>
      </c>
      <c r="H2" s="3" t="s">
        <v>174</v>
      </c>
      <c r="I2" s="3" t="s">
        <v>175</v>
      </c>
      <c r="J2" s="3" t="s">
        <v>176</v>
      </c>
      <c r="K2" s="25" t="s">
        <v>177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5" t="s">
        <v>133</v>
      </c>
      <c r="B3" s="4" t="str">
        <f>VLOOKUP(A2, 'Full Schedule'!$A$3:$B$9, 2, False)</f>
        <v>Team F</v>
      </c>
      <c r="C3" s="4" t="s">
        <v>178</v>
      </c>
      <c r="D3" s="4" t="str">
        <f>if('Week 1'!$A$1=A2, 'Week 1'!$E$1, if('Week 1'!$J$1=A2, 'Week 1'!$N$1, if('Week 1'!$A$21=A2, 'Week 1'!$E$21, if('Week 1'!$J$21=A2, 'Week 1'!$N$21, if('Week 1'!$A$41=A2, 'Week 1'!$E$41, if('Week 1'!$J$41=A2, 'Week 1'!$N$41))))))</f>
        <v>Loss</v>
      </c>
      <c r="E3" s="6">
        <f>if('Week 1'!$A$1=A2, 'Week 1'!$H$1, if('Week 1'!$J$1=A2, 'Week 1'!$Q$1, if('Week 1'!$A$21=A2, 'Week 1'!$H$21, if('Week 1'!$J$21=A2, 'Week 1'!$Q$21, if('Week 1'!$A$41=A2, 'Week 1'!$H$41, if('Week 1'!$J$41=A2, 'Week 1'!$Q$41))))))</f>
        <v>-1</v>
      </c>
      <c r="F3" s="6"/>
      <c r="G3" s="6" t="s">
        <v>133</v>
      </c>
      <c r="H3" s="4" t="str">
        <f>VLOOKUP(G2, 'Full Schedule'!$A$3:$B$9, 2, False)</f>
        <v>Team C</v>
      </c>
      <c r="I3" s="4" t="s">
        <v>178</v>
      </c>
      <c r="J3" s="4" t="str">
        <f>if('Week 1'!$A$1=G2, 'Week 1'!$E$1, if('Week 1'!$J$1=G2, 'Week 1'!$N$1, if('Week 1'!$A$21=G2, 'Week 1'!$E$21, if('Week 1'!$J$21=G2, 'Week 1'!$N$21, if('Week 1'!$A$41=G2, 'Week 1'!$E$41, if('Week 1'!$J$41=G2, 'Week 1'!$N$41))))))</f>
        <v>Loss</v>
      </c>
      <c r="K3" s="6">
        <f>if('Week 1'!$A$1=G2, 'Week 1'!$H$1, if('Week 1'!$J$1=G2, 'Week 1'!$Q$1, if('Week 1'!$A$21=G2, 'Week 1'!$H$21, if('Week 1'!$J$21=G2, 'Week 1'!$Q$21, if('Week 1'!$A$41=G2, 'Week 1'!$H$41, if('Week 1'!$J$41=G2, 'Week 1'!$Q$41))))))</f>
        <v>-20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5" t="s">
        <v>135</v>
      </c>
      <c r="B4" s="4" t="str">
        <f>vlookup(A2, 'Full Schedule'!$C$3:$D$8, 2, False)</f>
        <v>Gargantuan</v>
      </c>
      <c r="C4" s="4" t="s">
        <v>179</v>
      </c>
      <c r="D4" s="4" t="str">
        <f>if('Week 2'!$A$1=A2, 'Week 2'!$E$1, if('Week 2'!$J$1=A2, 'Week 1'!$N$1, if('Week 2'!$A$21=A2, 'Week 2'!$E$21, if('Week 2'!$J$21=A2, 'Week 2'!$N$21, if('Week 2'!$A$41=A2, 'Week 2'!$E$41, if('Week 2'!$J$41=A2, 'Week 2'!$N$41))))))</f>
        <v>Win</v>
      </c>
      <c r="E4" s="6">
        <f>if('Week 2'!$A$1=A2, 'Week 2'!$H$1, if('Week 2'!$J$1=A2, 'Week 2'!$Q$1, if('Week 2'!$A$21=A2, 'Week 2'!$H$21, if('Week 2'!$J$21=A2, 'Week 2'!$Q$21, if('Week 2'!$A$41=A2, 'Week 2'!$H$41, if('Week 2'!$J$41=A2, 'Week 2'!$Q$41))))))</f>
        <v>0</v>
      </c>
      <c r="F4" s="6"/>
      <c r="G4" s="6" t="s">
        <v>135</v>
      </c>
      <c r="H4" s="4" t="str">
        <f>vlookup(G2, 'Full Schedule'!$C$3:$D$8, 2, False)</f>
        <v>Team F</v>
      </c>
      <c r="I4" s="4" t="s">
        <v>179</v>
      </c>
      <c r="J4" s="4" t="str">
        <f>if('Week 2'!$A$1=G2, 'Week 2'!$E$1, if('Week 2'!$J$1=G2, 'Week 1'!$N$1, if('Week 2'!$A$21=G2, 'Week 2'!$E$21, if('Week 2'!$J$21=G2, 'Week 2'!$N$21, if('Week 2'!$A$41=G2, 'Week 2'!$E$41, if('Week 2'!$J$41=G2, 'Week 2'!$N$41))))))</f>
        <v>Loss</v>
      </c>
      <c r="K4" s="6">
        <f>if('Week 2'!$A$1=G2, 'Week 2'!$H$1, if('Week 2'!$J$1=G2, 'Week 2'!$Q$1, if('Week 2'!$A$21=G2, 'Week 2'!$H$21, if('Week 2'!$J$21=G2, 'Week 2'!$Q$21, if('Week 2'!$A$41=G2, 'Week 2'!$H$41, if('Week 2'!$J$41=G2, 'Week 2'!$Q$41))))))</f>
        <v>-15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5" t="s">
        <v>140</v>
      </c>
      <c r="B5" s="4" t="str">
        <f>vlookup(A2, 'Full Schedule'!$E$3:$F$8, 2, False)</f>
        <v>Migos</v>
      </c>
      <c r="C5" s="4" t="s">
        <v>179</v>
      </c>
      <c r="D5" s="4" t="str">
        <f>if('Week 3'!$A$1=A2, 'Week 3'!$E$1, if('Week 3'!$J$1=A2, 'Week 3'!$N$1, if('Week 3'!$A$21=A2, 'Week 3'!$E$21, if('Week 3'!$J$21=A2, 'Week 3'!$N$21, if('Week 3'!$A$41=A2, 'Week 3'!$E$41, if('Week 3'!$J$41=A2, 'Week 3'!$N$41))))))</f>
        <v>Win</v>
      </c>
      <c r="E5" s="6">
        <f>if('Week 3'!$A$1=A2, 'Week 3'!$H$1, if('Week 3'!$J$1=A2, 'Week 3'!$Q$1, if('Week 3'!$A$21=A2, 'Week 3'!$H$21, if('Week 3'!$J$21=A2, 'Week 3'!$Q$21, if('Week 3'!$A$41=A2, 'Week 3'!$H$41, if('Week 3'!$J$41=A2, 'Week 3'!$Q$41))))))</f>
        <v>4</v>
      </c>
      <c r="F5" s="6"/>
      <c r="G5" s="6" t="s">
        <v>140</v>
      </c>
      <c r="H5" s="4" t="str">
        <f>vlookup(G2, 'Full Schedule'!$E$3:$F$8, 2, False)</f>
        <v>Team F</v>
      </c>
      <c r="I5" s="4" t="s">
        <v>178</v>
      </c>
      <c r="J5" s="4" t="str">
        <f>if('Week 3'!$A$1=G2, 'Week 3'!$E$1, if('Week 3'!$J$1=G2, 'Week 3'!$N$1, if('Week 3'!$A$21=G2, 'Week 3'!$E$21, if('Week 3'!$J$21=G2, 'Week 3'!$N$21, if('Week 3'!$A$41=G2, 'Week 3'!$E$41, if('Week 3'!$J$41=G2, 'Week 3'!$N$41))))))</f>
        <v>Loss</v>
      </c>
      <c r="K5" s="6">
        <f>if('Week 3'!$A$1=G2, 'Week 3'!$H$1, if('Week 3'!$J$1=G2, 'Week 3'!$Q$1, if('Week 3'!$A$21=G2, 'Week 3'!$H$21, if('Week 3'!$J$21=G2, 'Week 3'!$Q$21, if('Week 3'!$A$41=G2, 'Week 3'!$H$41, if('Week 3'!$J$41=G2, 'Week 3'!$Q$41))))))</f>
        <v>-7</v>
      </c>
      <c r="L5" s="4"/>
      <c r="M5" s="3" t="s">
        <v>180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5" t="s">
        <v>144</v>
      </c>
      <c r="B6" s="4" t="str">
        <f>vlookup(A2, 'Full Schedule'!$G$3:$H$8, 2, False)</f>
        <v>Team E</v>
      </c>
      <c r="C6" s="4" t="s">
        <v>178</v>
      </c>
      <c r="D6" s="4" t="str">
        <f>if('Week 4'!$A$1=A2, 'Week 4'!$E$1, if('Week 4'!$J$1=A2, 'Week 4'!$N$1, if('Week 4'!$A$21=A2, 'Week 4'!$E$21, if('Week 4'!$J$21=A2, 'Week 4'!$N$21, if('Week 4'!$A$41=A2, 'Week 4'!$E$41, if('Week 4'!$J$41=A2, 'Week 4'!$N$41))))))</f>
        <v>Win</v>
      </c>
      <c r="E6" s="6">
        <f>if('Week 4'!$A$1=A2, 'Week 4'!$H$1, if('Week 4'!$J$1=A2, 'Week 4'!$Q$1, if('Week 4'!$A$21=A2, 'Week 4'!$H$21, if('Week 4'!$J$21=A2, 'Week 4'!$Q$21, if('Week 4'!$A$41=A2, 'Week 4'!$H$41, if('Week 4'!$J$41=A2, 'Week 4'!$Q$41))))))</f>
        <v>5</v>
      </c>
      <c r="F6" s="6"/>
      <c r="G6" s="6" t="s">
        <v>144</v>
      </c>
      <c r="H6" s="4" t="str">
        <f>vlookup(G2, 'Full Schedule'!$G$3:$H$8, 2, False)</f>
        <v>Candice?</v>
      </c>
      <c r="I6" s="4" t="s">
        <v>179</v>
      </c>
      <c r="J6" s="4" t="str">
        <f>if('Week 4'!$A$1=G2, 'Week 4'!$E$1, if('Week 4'!$J$1=G2, 'Week 4'!$N$1, if('Week 4'!$A$21=G2, 'Week 4'!$E$21, if('Week 4'!$J$21=G2, 'Week 4'!$N$21, if('Week 4'!$A$41=G2, 'Week 4'!$E$41, if('Week 4'!$J$41=G2, 'Week 4'!$N$41))))))</f>
        <v>Loss</v>
      </c>
      <c r="K6" s="6">
        <f>if('Week 4'!$A$1=G2, 'Week 4'!$H$1, if('Week 4'!$J$1=G2, 'Week 4'!$Q$1, if('Week 4'!$A$21=G2, 'Week 4'!$H$21, if('Week 4'!$J$21=G2, 'Week 4'!$Q$21, if('Week 4'!$A$41=G2, 'Week 4'!$H$41, if('Week 4'!$J$41=G2, 'Week 4'!$Q$41))))))</f>
        <v>-5</v>
      </c>
      <c r="L6" s="6"/>
      <c r="M6" s="50"/>
      <c r="N6" s="51" t="s">
        <v>181</v>
      </c>
      <c r="O6" s="52" t="s">
        <v>177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5" t="s">
        <v>146</v>
      </c>
      <c r="B7" s="4" t="str">
        <f>vlookup(A2, 'Full Schedule'!$I$3:$J$8, 2, False)</f>
        <v>Gargantuan</v>
      </c>
      <c r="C7" s="4" t="s">
        <v>179</v>
      </c>
      <c r="D7" s="4" t="str">
        <f>if('Week 5'!$A$1=A2, 'Week 5'!$E$1, if('Week 5'!$J$1=A2, 'Week 5'!$N$1, if('Week 5'!$A$21=A2, 'Week 5'!$E$21, if('Week 5'!$J$21=A2, 'Week 5'!$N$21, if('Week 5'!$A$41=A2, 'Week 5'!$E$41, if('Week 5'!$J$41=A2, 'Week 5'!$N$41))))))</f>
        <v>Loss</v>
      </c>
      <c r="E7" s="6">
        <f>if('Week 5'!$A$1=A2, 'Week 5'!$H$1, if('Week 5'!$J$1=A2, 'Week 5'!$Q$1, if('Week 5'!$A$21=A2, 'Week 5'!$H$21, if('Week 5'!$J$21=A2, 'Week 5'!$Q$21, if('Week 5'!$A$41=A2, 'Week 5'!$H$41, if('Week 5'!$J$41=A2, 'Week 5'!$Q$41))))))</f>
        <v>-11</v>
      </c>
      <c r="F7" s="6"/>
      <c r="G7" s="6" t="s">
        <v>146</v>
      </c>
      <c r="H7" s="4" t="str">
        <f>vlookup(G2, 'Full Schedule'!$I$3:$J$8, 2, False)</f>
        <v>Team C</v>
      </c>
      <c r="I7" s="4" t="s">
        <v>178</v>
      </c>
      <c r="J7" s="4" t="str">
        <f>if('Week 5'!$A$1=G2, 'Week 5'!$E$1, if('Week 5'!$J$1=G2, 'Week 5'!$N$1, if('Week 5'!$A$21=G2, 'Week 5'!$E$21, if('Week 5'!$J$21=G2, 'Week 5'!$N$21, if('Week 5'!$A$41=G2, 'Week 5'!$E$41, if('Week 5'!$J$41=G2, 'Week 5'!$N$41))))))</f>
        <v>Loss</v>
      </c>
      <c r="K7" s="6">
        <f>if('Week 5'!$A$1=G2, 'Week 5'!$H$1, if('Week 5'!$J$1=G2, 'Week 5'!$Q$1, if('Week 5'!$A$21=G2, 'Week 5'!$H$21, if('Week 5'!$J$21=G2, 'Week 5'!$Q$21, if('Week 5'!$A$41=G2, 'Week 5'!$H$41, if('Week 5'!$J$41=G2, 'Week 5'!$Q$41))))))</f>
        <v>-23</v>
      </c>
      <c r="L7" s="6"/>
      <c r="M7" s="53" t="str">
        <f>Draft!B22</f>
        <v>Candice?</v>
      </c>
      <c r="N7" s="54">
        <f t="shared" ref="N7:O7" si="1">if($M7=$A$2, D$12, if($M7=$G$2, J$12, if($M7=$A$15, D$25, if($M7=$G$15, J$25, if($M7=$A$28, D$38, if($M7=$G$28, J$38))))))</f>
        <v>0.5714285714</v>
      </c>
      <c r="O7" s="55">
        <f t="shared" si="1"/>
        <v>-8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5" t="s">
        <v>148</v>
      </c>
      <c r="B8" s="4" t="str">
        <f>vlookup(A2, 'Full Schedule'!$K$3:$L$8, 2, False)</f>
        <v>Migos</v>
      </c>
      <c r="C8" s="4" t="s">
        <v>178</v>
      </c>
      <c r="D8" s="4" t="str">
        <f>if('Week 6'!$A$1=A2, 'Week 6'!$E$1, if('Week 6'!$J$1=A2, 'Week 6'!$N$1, if('Week 6'!$A$21=A2, 'Week 6'!$E$21, if('Week 6'!$J$21=A2, 'Week 6'!$N$21, if('Week 6'!$A$41=A2, 'Week 6'!$E$41, if('Week 6'!J$41=A2, 'Week 6'!$N$41))))))</f>
        <v>Loss</v>
      </c>
      <c r="E8" s="6">
        <f>if('Week 6'!$A$1=A2, 'Week 6'!$H$1, if('Week 6'!$J$1=A2, 'Week 6'!$Q$1, if('Week 6'!$A$21=A2, 'Week 6'!$H$21, if('Week 6'!$J$21=A2, 'Week 6'!$Q$21, if('Week 6'!$A$41=A2, 'Week 6'!$H$41, if('Week 6'!$J$41=A2, 'Week 6'!$Q$41))))))</f>
        <v>-6</v>
      </c>
      <c r="F8" s="6"/>
      <c r="G8" s="6" t="s">
        <v>148</v>
      </c>
      <c r="H8" s="4" t="str">
        <f>vlookup(G2, 'Full Schedule'!$K$3:$L$8, 2, False)</f>
        <v>Gargantuan</v>
      </c>
      <c r="I8" s="4" t="s">
        <v>179</v>
      </c>
      <c r="J8" s="4" t="str">
        <f>if('Week 6'!$A$1=G2, 'Week 6'!$E$1, if('Week 6'!$J$1=G2, 'Week 6'!$N$1, if('Week 6'!$A$21=G2, 'Week 6'!$E$21, if('Week 6'!$J$21=G2, 'Week 6'!$N$21, if('Week 6'!$A$41=G2, 'Week 6'!$E$41, if('Week 6'!$J$41=G2, 'Week 6'!$N$41))))))</f>
        <v>Win</v>
      </c>
      <c r="K8" s="6">
        <f>if('Week 6'!$A$1=G2, 'Week 6'!$H$1, if('Week 6'!$J$1=G2, 'Week 6'!$Q$1, if('Week 6'!$A$21=G2, 'Week 6'!$H$21, if('Week 6'!$J$21=G2, 'Week 6'!$Q$21, if('Week 6'!$A$41=G2, 'Week 6'!$H$41, if('Week 6'!$J$41=G2, 'Week 6'!$Q$41))))))</f>
        <v>4</v>
      </c>
      <c r="L8" s="6"/>
      <c r="M8" s="53" t="str">
        <f>Draft!E22</f>
        <v>Migos</v>
      </c>
      <c r="N8" s="54">
        <f t="shared" ref="N8:O8" si="2">if($M8=$A$2, D$12, if($M8=$G$2, J$12, if($M8=$A$15, D$25, if($M8=$G$15, J$25, if($M8=$A$28, D$38, if($M8=$G$28, J$38))))))</f>
        <v>0.7142857143</v>
      </c>
      <c r="O8" s="55">
        <f t="shared" si="2"/>
        <v>26.5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5" t="s">
        <v>154</v>
      </c>
      <c r="B9" s="4" t="str">
        <f>vlookup(A2, 'Full Schedule'!$M$3:$N$8, 2, False)</f>
        <v>Team C</v>
      </c>
      <c r="C9" s="4" t="s">
        <v>182</v>
      </c>
      <c r="D9" s="4" t="str">
        <f>if('Week 7'!$A$1=A2, 'Week 7'!$E1, if('Week 7'!$J$1=A2, 'Week 7'!$N$1, if('Week 7'!$A$21=A2, 'Week 7'!$E$21, if('Week 7'!$J$21=A2, 'Week 7'!$N$21, if('Week 7'!$A$41=A2, 'Week 7'!$E$41, if('Week 7'!$J$41=A2, 'Week 7'!$N$41))))))</f>
        <v>Win</v>
      </c>
      <c r="E9" s="6">
        <f>if('Week 7'!$A$1=A2, 'Week 7'!$H$1, if('Week 7'!$J$1=A2, 'Week 7'!$Q$1, if('Week 7'!$A$21=A2, 'Week 7'!$H$21, if('Week 7'!$J$21=A2, 'Week 7'!$Q$21, if('Week 7'!$A$41=A2, 'Week 7'!$H$41, if('Week 7'!$J$41=A2, 'Week 7'!$Q$41))))))</f>
        <v>1</v>
      </c>
      <c r="F9" s="6"/>
      <c r="G9" s="6" t="s">
        <v>154</v>
      </c>
      <c r="H9" s="4" t="str">
        <f>vlookup(G2, 'Full Schedule'!$M$3:$N$8, 2, False)</f>
        <v>Migos</v>
      </c>
      <c r="I9" s="4" t="s">
        <v>182</v>
      </c>
      <c r="J9" s="4" t="str">
        <f>if('Week 7'!$A$1=G2, 'Week 7'!$E1, if('Week 7'!$J$1=G2, 'Week 7'!$N$1, if('Week 7'!$A$21=G2, 'Week 7'!$E$21, if('Week 7'!$J$21=G2, 'Week 7'!$N$21, if('Week 7'!$A$41=G2, 'Week 7'!$E$41, if('Week 7'!$J$41=G2, 'Week 7'!$N$41))))))</f>
        <v>Win</v>
      </c>
      <c r="K9" s="6">
        <f>if('Week 7'!$A$1=G2, 'Week 7'!$H$1, if('Week 7'!$J$1=G2, 'Week 7'!$Q$1, if('Week 7'!$A$21=G2, 'Week 7'!$H$21, if('Week 7'!$J$21=G2, 'Week 7'!$Q$21, if('Week 7'!$A$41=G2, 'Week 7'!$H$41, if('Week 7'!$J$41=G2, 'Week 7'!$Q$41))))))</f>
        <v>0.5</v>
      </c>
      <c r="L9" s="6"/>
      <c r="M9" s="56" t="str">
        <f>Draft!G22</f>
        <v>Team F</v>
      </c>
      <c r="N9" s="57">
        <f t="shared" ref="N9:O9" si="3">if($M9=$A$2, D$12, if($M9=$G$2, J$12, if($M9=$A$15, D$25, if($M9=$G$15, J$25, if($M9=$A$28, D$38, if($M9=$G$28, J$38))))))</f>
        <v>0.7142857143</v>
      </c>
      <c r="O9" s="58">
        <f t="shared" si="3"/>
        <v>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5"/>
      <c r="B10" s="7"/>
      <c r="C10" s="4"/>
      <c r="D10" s="4"/>
      <c r="E10" s="6"/>
      <c r="F10" s="6"/>
      <c r="G10" s="6"/>
      <c r="H10" s="7"/>
      <c r="I10" s="4"/>
      <c r="J10" s="4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2"/>
      <c r="B11" s="9"/>
      <c r="C11" s="3"/>
      <c r="D11" s="3"/>
      <c r="E11" s="25"/>
      <c r="F11" s="6"/>
      <c r="G11" s="25"/>
      <c r="H11" s="9"/>
      <c r="I11" s="3"/>
      <c r="J11" s="3"/>
      <c r="K11" s="25"/>
      <c r="L11" s="4"/>
      <c r="M11" s="3" t="s">
        <v>183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8" t="s">
        <v>184</v>
      </c>
      <c r="B12" s="3"/>
      <c r="C12" s="3"/>
      <c r="D12" s="59">
        <f>countif(D3:D9, "Win")/(countif(D3:D9, "Win")+countif(D3:D9, "Loss"))</f>
        <v>0.5714285714</v>
      </c>
      <c r="E12" s="60">
        <f>SUM(E3:E11)</f>
        <v>-8</v>
      </c>
      <c r="F12" s="6"/>
      <c r="G12" s="49" t="s">
        <v>184</v>
      </c>
      <c r="H12" s="3"/>
      <c r="I12" s="3"/>
      <c r="J12" s="59">
        <f>countif(J3:J9, "Win")/(countif(J3:J9, "Win")+countif(J3:J9, "Loss"))</f>
        <v>0.2857142857</v>
      </c>
      <c r="K12" s="60">
        <f>SUM(K3:K11)</f>
        <v>-65.5</v>
      </c>
      <c r="L12" s="6"/>
      <c r="M12" s="50"/>
      <c r="N12" s="51" t="s">
        <v>181</v>
      </c>
      <c r="O12" s="52" t="s">
        <v>177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53" t="str">
        <f>Draft!C22</f>
        <v>Team C</v>
      </c>
      <c r="N13" s="54">
        <f t="shared" ref="N13:O13" si="4">if($M13=$A$2, D$12, if($M13=$G$2, J$12, if($M13=$A$15, D$25, if($M13=$G$15, J$25, if($M13=$A$28, D$38, if($M13=$G$28, J$38))))))</f>
        <v>0.5714285714</v>
      </c>
      <c r="O13" s="55">
        <f t="shared" si="4"/>
        <v>64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tr">
        <f>Draft!C23</f>
        <v>Matt</v>
      </c>
      <c r="B14" s="3"/>
      <c r="C14" s="3"/>
      <c r="D14" s="3"/>
      <c r="E14" s="3"/>
      <c r="F14" s="4"/>
      <c r="G14" s="3" t="str">
        <f>Draft!E23</f>
        <v>Leo</v>
      </c>
      <c r="H14" s="3"/>
      <c r="I14" s="3"/>
      <c r="J14" s="3"/>
      <c r="K14" s="3"/>
      <c r="L14" s="6"/>
      <c r="M14" s="53" t="str">
        <f>Draft!D22</f>
        <v>Team E</v>
      </c>
      <c r="N14" s="54">
        <f t="shared" ref="N14:O14" si="5">if($M14=$A$2, D$12, if($M14=$G$2, J$12, if($M14=$A$15, D$25, if($M14=$G$15, J$25, if($M14=$A$28, D$38, if($M14=$G$28, J$38))))))</f>
        <v>0.2857142857</v>
      </c>
      <c r="O14" s="55">
        <f t="shared" si="5"/>
        <v>-65.5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8" t="str">
        <f>Draft!C22</f>
        <v>Team C</v>
      </c>
      <c r="B15" s="3" t="s">
        <v>174</v>
      </c>
      <c r="C15" s="3" t="s">
        <v>175</v>
      </c>
      <c r="D15" s="3" t="s">
        <v>176</v>
      </c>
      <c r="E15" s="25" t="s">
        <v>177</v>
      </c>
      <c r="F15" s="6"/>
      <c r="G15" s="49" t="str">
        <f>Draft!E22</f>
        <v>Migos</v>
      </c>
      <c r="H15" s="3" t="s">
        <v>174</v>
      </c>
      <c r="I15" s="3" t="s">
        <v>175</v>
      </c>
      <c r="J15" s="3" t="s">
        <v>176</v>
      </c>
      <c r="K15" s="25" t="s">
        <v>177</v>
      </c>
      <c r="L15" s="6"/>
      <c r="M15" s="56" t="str">
        <f>Draft!F22</f>
        <v>Gargantuan</v>
      </c>
      <c r="N15" s="57">
        <f t="shared" ref="N15:O15" si="6">if($M15=$A$2, D$12, if($M15=$G$2, J$12, if($M15=$A$15, D$25, if($M15=$G$15, J$25, if($M15=$A$28, D$38, if($M15=$G$28, J$38))))))</f>
        <v>0.1428571429</v>
      </c>
      <c r="O15" s="58">
        <f t="shared" si="6"/>
        <v>-37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5" t="s">
        <v>133</v>
      </c>
      <c r="B16" s="4" t="str">
        <f>VLOOKUP(A15, 'Full Schedule'!$A$3:$B$9, 2, False)</f>
        <v>Team E</v>
      </c>
      <c r="C16" s="4" t="s">
        <v>179</v>
      </c>
      <c r="D16" s="4" t="str">
        <f>if('Week 1'!$A$1=A15, 'Week 1'!$E$1, if('Week 1'!$J$1=A15, 'Week 1'!$N$1, if('Week 1'!$A$21=A15, 'Week 1'!$E$21, if('Week 1'!$J$21=A15, 'Week 1'!$N$21, if('Week 1'!$A$41=A15, 'Week 1'!$E$41, if('Week 1'!$J$41=A15, 'Week 1'!$N$41))))))</f>
        <v>Win</v>
      </c>
      <c r="E16" s="6">
        <f>if('Week 1'!$A$1=A15, 'Week 1'!$H$1, if('Week 1'!$J$1=A15, 'Week 1'!$Q$1, if('Week 1'!$A$21=A15, 'Week 1'!$H$21, if('Week 1'!$J$21=A15, 'Week 1'!$Q$21, if('Week 1'!$A$41=A15, 'Week 1'!$H$41, if('Week 1'!$J$41=A15, 'Week 1'!$Q$41))))))</f>
        <v>20</v>
      </c>
      <c r="F16" s="6"/>
      <c r="G16" s="6" t="s">
        <v>133</v>
      </c>
      <c r="H16" s="4" t="str">
        <f>VLOOKUP(G15, 'Full Schedule'!$A$3:$B$9, 2, False)</f>
        <v>Gargantuan</v>
      </c>
      <c r="I16" s="4" t="s">
        <v>179</v>
      </c>
      <c r="J16" s="4" t="str">
        <f>if('Week 1'!$A$1=G15, 'Week 1'!$E$1, if('Week 1'!$J$1=G15, 'Week 1'!$N$1, if('Week 1'!$A$21=G15, 'Week 1'!$E$21, if('Week 1'!$J$21=G15, 'Week 1'!$N$21, if('Week 1'!$A$41=G15, 'Week 1'!$E$41, if('Week 1'!$J$41=G15, 'Week 1'!$N$41))))))</f>
        <v>Win</v>
      </c>
      <c r="K16" s="6">
        <f>if('Week 1'!$A$1=G15, 'Week 1'!$H$1, if('Week 1'!$J$1=G15, 'Week 1'!$Q$1, if('Week 1'!$A$21=G15, 'Week 1'!$H$21, if('Week 1'!$J$21=G15, 'Week 1'!$Q$21, if('Week 1'!$A$41=G15, 'Week 1'!$H$41, if('Week 1'!$J$41=G15, 'Week 1'!$Q$41))))))</f>
        <v>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5" t="s">
        <v>135</v>
      </c>
      <c r="B17" s="4" t="str">
        <f>vlookup(A15, 'Full Schedule'!$C$3:$D$8, 2, False)</f>
        <v>Migos</v>
      </c>
      <c r="C17" s="4" t="s">
        <v>178</v>
      </c>
      <c r="D17" s="4" t="str">
        <f>if('Week 2'!$A$1=A15, 'Week 2'!$E$1, if('Week 2'!$J$1=A15, 'Week 1'!$N$1, if('Week 2'!$A$21=A15, 'Week 2'!$E$21, if('Week 2'!$J$21=A15, 'Week 2'!$N$21, if('Week 2'!$A$41=A15, 'Week 2'!$E$41, if('Week 2'!$J$41=A15, 'Week 2'!$N$41))))))</f>
        <v>Loss</v>
      </c>
      <c r="E17" s="6">
        <f>if('Week 2'!$A$1=A15, 'Week 2'!$H$1, if('Week 2'!$J$1=A15, 'Week 2'!$Q$1, if('Week 2'!$A$21=A15, 'Week 2'!$H$21, if('Week 2'!$J$21=A15, 'Week 2'!$Q$21, if('Week 2'!$A$41=A15, 'Week 2'!$H$41, if('Week 2'!$J$41=A15, 'Week 2'!$Q$41))))))</f>
        <v>-10</v>
      </c>
      <c r="F17" s="6"/>
      <c r="G17" s="6" t="s">
        <v>135</v>
      </c>
      <c r="H17" s="4" t="str">
        <f>vlookup(G15, 'Full Schedule'!$C$3:$D$8, 2, False)</f>
        <v>Team C</v>
      </c>
      <c r="I17" s="4" t="s">
        <v>179</v>
      </c>
      <c r="J17" s="4" t="str">
        <f>if('Week 2'!$A$1=G15, 'Week 2'!$E$1, if('Week 2'!$J$1=G15, 'Week 1'!$N$1, if('Week 2'!$A$21=G15, 'Week 2'!$E$21, if('Week 2'!$J$21=G15, 'Week 2'!$N$21, if('Week 2'!$A$41=G15, 'Week 2'!$E$41, if('Week 2'!$J$41=G15, 'Week 2'!$N$41))))))</f>
        <v>Win</v>
      </c>
      <c r="K17" s="6">
        <f>if('Week 2'!$A$1=G15, 'Week 2'!$H$1, if('Week 2'!$J$1=G15, 'Week 2'!$Q$1, if('Week 2'!$A$21=G15, 'Week 2'!$H$21, if('Week 2'!$J$21=G15, 'Week 2'!$Q$21, if('Week 2'!$A$41=G15, 'Week 2'!$H$41, if('Week 2'!$J$41=G15, 'Week 2'!$Q$41))))))</f>
        <v>10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5" t="s">
        <v>140</v>
      </c>
      <c r="B18" s="4" t="str">
        <f>vlookup(A15, 'Full Schedule'!$E$3:$F$8, 2, False)</f>
        <v>Gargantuan</v>
      </c>
      <c r="C18" s="4" t="s">
        <v>178</v>
      </c>
      <c r="D18" s="4" t="str">
        <f>if('Week 3'!$A$1=A15, 'Week 3'!$E$1, if('Week 3'!$J$1=A15, 'Week 3'!$N$1, if('Week 3'!$A$21=A15, 'Week 3'!$E$21, if('Week 3'!$J$21=A15, 'Week 3'!$N$21, if('Week 3'!$A$41=A15, 'Week 3'!$E$41, if('Week 3'!$J$41=A15, 'Week 3'!$N$41))))))</f>
        <v>Win</v>
      </c>
      <c r="E18" s="6">
        <f>if('Week 3'!$A$1=A15, 'Week 3'!$H$1, if('Week 3'!$J$1=A15, 'Week 3'!$Q$1, if('Week 3'!$A$21=A15, 'Week 3'!$H$21, if('Week 3'!$J$21=A15, 'Week 3'!$Q$21, if('Week 3'!$A$41=A15, 'Week 3'!$H$41, if('Week 3'!$J$41=A15, 'Week 3'!$Q$41))))))</f>
        <v>26</v>
      </c>
      <c r="F18" s="6"/>
      <c r="G18" s="6" t="s">
        <v>140</v>
      </c>
      <c r="H18" s="4" t="str">
        <f>vlookup(G15, 'Full Schedule'!$E$3:$F$8, 2, False)</f>
        <v>Candice?</v>
      </c>
      <c r="I18" s="4" t="s">
        <v>178</v>
      </c>
      <c r="J18" s="4" t="str">
        <f>if('Week 3'!$A$1=G15, 'Week 3'!$E$1, if('Week 3'!$J$1=G15, 'Week 3'!$N$1, if('Week 3'!$A$21=G15, 'Week 3'!$E$21, if('Week 3'!$J$21=G15, 'Week 3'!$N$21, if('Week 3'!$A$41=G15, 'Week 3'!$E$41, if('Week 3'!$J$41=G15, 'Week 3'!$N$41))))))</f>
        <v>Loss</v>
      </c>
      <c r="K18" s="6">
        <f>if('Week 3'!$A$1=G15, 'Week 3'!$H$1, if('Week 3'!$J$1=G15, 'Week 3'!$Q$1, if('Week 3'!$A$21=G15, 'Week 3'!$H$21, if('Week 3'!$J$21=G15, 'Week 3'!$Q$21, if('Week 3'!$A$41=G15, 'Week 3'!$H$41, if('Week 3'!$J$41=G15, 'Week 3'!$Q$41))))))</f>
        <v>-4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5" t="s">
        <v>144</v>
      </c>
      <c r="B19" s="4" t="str">
        <f>vlookup(A15, 'Full Schedule'!$G$3:$H$8, 2, False)</f>
        <v>Team F</v>
      </c>
      <c r="C19" s="4" t="s">
        <v>179</v>
      </c>
      <c r="D19" s="4" t="str">
        <f>if('Week 4'!$A$1=A15, 'Week 4'!$E$1, if('Week 4'!$J$1=A15, 'Week 4'!$N$1, if('Week 4'!$A$21=A15, 'Week 4'!$E$21, if('Week 4'!$J$21=A15, 'Week 4'!$N$21, if('Week 4'!$A$41=A15, 'Week 4'!$E$41, if('Week 4'!$J$41=A15, 'Week 4'!$N$41))))))</f>
        <v>Win</v>
      </c>
      <c r="E19" s="6">
        <f>if('Week 4'!$A$1=A15, 'Week 4'!$H$1, if('Week 4'!$J$1=A15, 'Week 4'!$Q$1, if('Week 4'!$A$21=A15, 'Week 4'!$H$21, if('Week 4'!$J$21=A15, 'Week 4'!$Q$21, if('Week 4'!$A$41=A15, 'Week 4'!$H$41, if('Week 4'!$J$41=A15, 'Week 4'!$Q$41))))))</f>
        <v>9</v>
      </c>
      <c r="F19" s="6"/>
      <c r="G19" s="6" t="s">
        <v>144</v>
      </c>
      <c r="H19" s="4" t="str">
        <f>vlookup(G15, 'Full Schedule'!$G$3:$H$8, 2, False)</f>
        <v>Gargantuan</v>
      </c>
      <c r="I19" s="4" t="s">
        <v>179</v>
      </c>
      <c r="J19" s="4" t="str">
        <f>if('Week 4'!$A$1=G15, 'Week 4'!$E$1, if('Week 4'!$J$1=G15, 'Week 4'!$N$1, if('Week 4'!$A$21=G15, 'Week 4'!$E$21, if('Week 4'!$J$21=G15, 'Week 4'!$N$21, if('Week 4'!$A$41=G15, 'Week 4'!$E$41, if('Week 4'!$J$41=G15, 'Week 4'!$N$41))))))</f>
        <v>Win</v>
      </c>
      <c r="K19" s="6">
        <f>if('Week 4'!$A$1=G15, 'Week 4'!$H$1, if('Week 4'!$J$1=G15, 'Week 4'!$Q$1, if('Week 4'!$A$21=G15, 'Week 4'!$H$21, if('Week 4'!$J$21=G15, 'Week 4'!$Q$21, if('Week 4'!$A$41=G15, 'Week 4'!$H$41, if('Week 4'!$J$41=G15, 'Week 4'!$Q$41))))))</f>
        <v>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5" t="s">
        <v>146</v>
      </c>
      <c r="B20" s="4" t="str">
        <f>vlookup(A15, 'Full Schedule'!$I$3:$J$8, 2, False)</f>
        <v>Team E</v>
      </c>
      <c r="C20" s="4" t="s">
        <v>178</v>
      </c>
      <c r="D20" s="4" t="str">
        <f>if('Week 5'!$A$1=A15, 'Week 5'!$E$1, if('Week 5'!$J$1=A15, 'Week 5'!$N$1, if('Week 5'!$A$21=A15, 'Week 5'!$E$21, if('Week 5'!$J$21=A15, 'Week 5'!$N$21, if('Week 5'!$A$41=A15, 'Week 5'!$E$41, if('Week 5'!$J$41=A15, 'Week 5'!$N$41))))))</f>
        <v>Win</v>
      </c>
      <c r="E20" s="6">
        <f>if('Week 5'!$A$1=A15, 'Week 5'!$H$1, if('Week 5'!$J$1=A15, 'Week 5'!$Q$1, if('Week 5'!$A$21=A15, 'Week 5'!$H$21, if('Week 5'!$J$21=A15, 'Week 5'!$Q$21, if('Week 5'!$A$41=A15, 'Week 5'!$H$41, if('Week 5'!$J$41=A15, 'Week 5'!$Q$41))))))</f>
        <v>23</v>
      </c>
      <c r="F20" s="6"/>
      <c r="G20" s="6" t="s">
        <v>146</v>
      </c>
      <c r="H20" s="4" t="str">
        <f>vlookup(G15, 'Full Schedule'!$I$3:$J$8, 2, False)</f>
        <v>Team F</v>
      </c>
      <c r="I20" s="4" t="s">
        <v>178</v>
      </c>
      <c r="J20" s="4" t="str">
        <f>if('Week 5'!$A$1=G15, 'Week 5'!$E$1, if('Week 5'!$J$1=G15, 'Week 5'!$N$1, if('Week 5'!$A$21=G15, 'Week 5'!$E$21, if('Week 5'!$J$21=G15, 'Week 5'!$N$21, if('Week 5'!$A$41=G15, 'Week 5'!$E$41, if('Week 5'!$J$41=G15, 'Week 5'!$N$41))))))</f>
        <v>Win</v>
      </c>
      <c r="K20" s="6">
        <f>if('Week 5'!$A$1=G15, 'Week 5'!$H$1, if('Week 5'!$J$1=G15, 'Week 5'!$Q$1, if('Week 5'!$A$21=G15, 'Week 5'!$H$21, if('Week 5'!$J$21=G15, 'Week 5'!$Q$21, if('Week 5'!$A$41=G15, 'Week 5'!$H$41, if('Week 5'!$J$41=G15, 'Week 5'!$Q$41))))))</f>
        <v>1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5" t="s">
        <v>148</v>
      </c>
      <c r="B21" s="4" t="str">
        <f>vlookup(A15, 'Full Schedule'!$K$3:$L$8, 2, False)</f>
        <v>Team F</v>
      </c>
      <c r="C21" s="4" t="s">
        <v>179</v>
      </c>
      <c r="D21" s="4" t="str">
        <f>if('Week 6'!$A$1=A15, 'Week 6'!$E$1, if('Week 6'!$J$1=A15, 'Week 6'!$N$1, if('Week 6'!$A$21=A15, 'Week 6'!$E$21, if('Week 6'!$J$21=A15, 'Week 6'!$N$21, if('Week 6'!$A$41=A15, 'Week 6'!$E$41, if('Week 6'!J$41=A15, 'Week 6'!$N$41))))))</f>
        <v>Loss</v>
      </c>
      <c r="E21" s="6">
        <f>if('Week 6'!$A$1=A15, 'Week 6'!$H$1, if('Week 6'!$J$1=A15, 'Week 6'!$Q$1, if('Week 6'!$A$21=A15, 'Week 6'!$H$21, if('Week 6'!$J$21=A15, 'Week 6'!$Q$21, if('Week 6'!$A$41=A15, 'Week 6'!$H$41, if('Week 6'!$J$41=A15, 'Week 6'!$Q$41))))))</f>
        <v>-3</v>
      </c>
      <c r="F21" s="6"/>
      <c r="G21" s="6" t="s">
        <v>148</v>
      </c>
      <c r="H21" s="4" t="str">
        <f>vlookup(G15, 'Full Schedule'!$K$3:$L$8, 2, False)</f>
        <v>Candice?</v>
      </c>
      <c r="I21" s="4" t="s">
        <v>178</v>
      </c>
      <c r="J21" s="4" t="str">
        <f>if('Week 6'!$A$1=G15, 'Week 6'!$E$1, if('Week 6'!$J$1=G15, 'Week 6'!$N$1, if('Week 6'!$A$21=G15, 'Week 6'!$E$21, if('Week 6'!$J$21=G15, 'Week 6'!$N$21, if('Week 6'!$A$41=G15, 'Week 6'!$E$41, if('Week 6'!$J$41=G15, 'Week 6'!$N$41))))))</f>
        <v>Win</v>
      </c>
      <c r="K21" s="6">
        <f>if('Week 6'!$A$1=G15, 'Week 6'!$H$1, if('Week 6'!$J$1=G15, 'Week 6'!$Q$1, if('Week 6'!$A$21=G15, 'Week 6'!$H$21, if('Week 6'!$J$21=G15, 'Week 6'!$Q$21, if('Week 6'!$A$41=G15, 'Week 6'!$H$41, if('Week 6'!$J$41=G15, 'Week 6'!$Q$41))))))</f>
        <v>6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5" t="s">
        <v>154</v>
      </c>
      <c r="B22" s="4" t="str">
        <f>vlookup(A15, 'Full Schedule'!$M$3:$N$8, 2, False)</f>
        <v>Candice?</v>
      </c>
      <c r="C22" s="4" t="s">
        <v>182</v>
      </c>
      <c r="D22" s="4" t="str">
        <f>if('Week 7'!$A$1=A15, 'Week 7'!$E14, if('Week 7'!$J$1=A15, 'Week 7'!$N$1, if('Week 7'!$A$21=A15, 'Week 7'!$E$21, if('Week 7'!$J$21=A15, 'Week 7'!$N$21, if('Week 7'!$A$41=A15, 'Week 7'!$E$41, if('Week 7'!$J$41=A15, 'Week 7'!$N$41))))))</f>
        <v>Loss</v>
      </c>
      <c r="E22" s="6">
        <f>if('Week 7'!$A$1=A15, 'Week 7'!$H$1, if('Week 7'!$J$1=A15, 'Week 7'!$Q$1, if('Week 7'!$A$21=A15, 'Week 7'!$H$21, if('Week 7'!$J$21=A15, 'Week 7'!$Q$21, if('Week 7'!$A$41=A15, 'Week 7'!$H$41, if('Week 7'!$J$41=A15, 'Week 7'!$Q$41))))))</f>
        <v>-1</v>
      </c>
      <c r="F22" s="6"/>
      <c r="G22" s="6" t="s">
        <v>154</v>
      </c>
      <c r="H22" s="4" t="str">
        <f>vlookup(G15, 'Full Schedule'!$M$3:$N$8, 2, False)</f>
        <v>Team E</v>
      </c>
      <c r="I22" s="4" t="s">
        <v>182</v>
      </c>
      <c r="J22" s="4" t="str">
        <f>if('Week 7'!$A$1=G15, 'Week 7'!$E14, if('Week 7'!$J$1=G15, 'Week 7'!$N$1, if('Week 7'!$A$21=G15, 'Week 7'!$E$21, if('Week 7'!$J$21=G15, 'Week 7'!$N$21, if('Week 7'!$A$41=G15, 'Week 7'!$E$41, if('Week 7'!$J$41=G15, 'Week 7'!$N$41))))))</f>
        <v>Loss</v>
      </c>
      <c r="K22" s="6">
        <f>if('Week 7'!$A$1=G15, 'Week 7'!$H$1, if('Week 7'!$J$1=G15, 'Week 7'!$Q$1, if('Week 7'!$A$21=G15, 'Week 7'!$H$21, if('Week 7'!$J$21=G15, 'Week 7'!$Q$21, if('Week 7'!$A$41=G15, 'Week 7'!$H$41, if('Week 7'!$J$41=G15, 'Week 7'!$Q$41))))))</f>
        <v>-0.5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5"/>
      <c r="B23" s="7"/>
      <c r="C23" s="4"/>
      <c r="D23" s="4"/>
      <c r="E23" s="6"/>
      <c r="F23" s="6"/>
      <c r="G23" s="6"/>
      <c r="H23" s="7"/>
      <c r="I23" s="4"/>
      <c r="J23" s="4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2"/>
      <c r="B24" s="9"/>
      <c r="C24" s="3"/>
      <c r="D24" s="3"/>
      <c r="E24" s="25"/>
      <c r="F24" s="6"/>
      <c r="G24" s="25"/>
      <c r="H24" s="9"/>
      <c r="I24" s="3"/>
      <c r="J24" s="3"/>
      <c r="K24" s="2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8" t="s">
        <v>184</v>
      </c>
      <c r="B25" s="3"/>
      <c r="C25" s="3"/>
      <c r="D25" s="59">
        <f>countif(D16:D22, "Win")/(countif(D16:D22, "Win")+countif(D16:D22, "Loss"))</f>
        <v>0.5714285714</v>
      </c>
      <c r="E25" s="60">
        <f>SUM(E16:E24)</f>
        <v>64</v>
      </c>
      <c r="F25" s="6"/>
      <c r="G25" s="49" t="s">
        <v>184</v>
      </c>
      <c r="H25" s="3"/>
      <c r="I25" s="3"/>
      <c r="J25" s="59">
        <f>countif(J16:J22, "Win")/(countif(J16:J22, "Win")+countif(J16:J22, "Loss"))</f>
        <v>0.7142857143</v>
      </c>
      <c r="K25" s="60">
        <f>SUM(K16:K24)</f>
        <v>26.5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tr">
        <f>Draft!F23</f>
        <v>Maas</v>
      </c>
      <c r="B27" s="3"/>
      <c r="C27" s="3"/>
      <c r="D27" s="3"/>
      <c r="E27" s="3"/>
      <c r="F27" s="4"/>
      <c r="G27" s="3" t="str">
        <f>Draft!G23</f>
        <v>BXu</v>
      </c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8" t="str">
        <f>Draft!F22</f>
        <v>Gargantuan</v>
      </c>
      <c r="B28" s="3" t="s">
        <v>174</v>
      </c>
      <c r="C28" s="3" t="s">
        <v>175</v>
      </c>
      <c r="D28" s="3" t="s">
        <v>176</v>
      </c>
      <c r="E28" s="25" t="s">
        <v>177</v>
      </c>
      <c r="F28" s="6"/>
      <c r="G28" s="49" t="str">
        <f>Draft!G22</f>
        <v>Team F</v>
      </c>
      <c r="H28" s="3" t="s">
        <v>174</v>
      </c>
      <c r="I28" s="3" t="s">
        <v>175</v>
      </c>
      <c r="J28" s="3" t="s">
        <v>176</v>
      </c>
      <c r="K28" s="25" t="s">
        <v>177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5" t="s">
        <v>133</v>
      </c>
      <c r="B29" s="4" t="str">
        <f>VLOOKUP(A28, 'Full Schedule'!$A$3:$B$9, 2, False)</f>
        <v>Migos</v>
      </c>
      <c r="C29" s="4" t="s">
        <v>179</v>
      </c>
      <c r="D29" s="4" t="str">
        <f>if('Week 1'!$A$1=A28, 'Week 1'!$E$1, if('Week 1'!$J$1=A28, 'Week 1'!$N$1, if('Week 1'!$A$21=A28, 'Week 1'!$E$21, if('Week 1'!$J$21=A28, 'Week 1'!$N$21, if('Week 1'!$A$41=A28, 'Week 1'!$E$41, if('Week 1'!$J$41=A28, 'Week 1'!$N$41))))))</f>
        <v>Loss</v>
      </c>
      <c r="E29" s="6">
        <f>if('Week 1'!$A$1=A28, 'Week 1'!$H$1, if('Week 1'!$J$1=A28, 'Week 1'!$Q$1, if('Week 1'!$A$21=A28, 'Week 1'!$H$21, if('Week 1'!$J$21=A28, 'Week 1'!$Q$21, if('Week 1'!$A$41=A28, 'Week 1'!$H$41, if('Week 1'!$J$41=A28, 'Week 1'!$Q$41))))))</f>
        <v>-5</v>
      </c>
      <c r="F29" s="6"/>
      <c r="G29" s="6" t="s">
        <v>133</v>
      </c>
      <c r="H29" s="4" t="str">
        <f>VLOOKUP(G28, 'Full Schedule'!$A$3:$B$9, 2, False)</f>
        <v>Candice?</v>
      </c>
      <c r="I29" s="4" t="s">
        <v>178</v>
      </c>
      <c r="J29" s="4" t="str">
        <f>if('Week 1'!$A$1=G28, 'Week 1'!$E$1, if('Week 1'!$J$1=G28, 'Week 1'!$N$1, if('Week 1'!$A$21=G28, 'Week 1'!$E$21, if('Week 1'!$J$21=G28, 'Week 1'!$N$21, if('Week 1'!$A$41=G28, 'Week 1'!$E$41, if('Week 1'!$J$41=G28, 'Week 1'!$N$41))))))</f>
        <v>Win</v>
      </c>
      <c r="K29" s="6">
        <f>if('Week 1'!$A$1=G28, 'Week 1'!$H$1, if('Week 1'!$J$1=G28, 'Week 1'!$Q$1, if('Week 1'!$A$21=G28, 'Week 1'!$H$21, if('Week 1'!$J$21=G28, 'Week 1'!$Q$21, if('Week 1'!$A$41=G28, 'Week 1'!$H$41, if('Week 1'!$J$41=G28, 'Week 1'!$Q$41))))))</f>
        <v>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5" t="s">
        <v>135</v>
      </c>
      <c r="B30" s="4" t="str">
        <f>vlookup(A28, 'Full Schedule'!$C$3:$D$8, 2, False)</f>
        <v>Candice?</v>
      </c>
      <c r="C30" s="4" t="s">
        <v>178</v>
      </c>
      <c r="D30" s="4" t="str">
        <f>if('Week 2'!$A$1=A28, 'Week 2'!$E$1, if('Week 2'!$J$1=A28, 'Week 1'!$N$1, if('Week 2'!$A$21=A28, 'Week 2'!$E$21, if('Week 2'!$J$21=A28, 'Week 2'!$N$21, if('Week 2'!$A$41=A28, 'Week 2'!$E$41, if('Week 2'!$J$41=A28, 'Week 2'!$N$41))))))</f>
        <v>Loss</v>
      </c>
      <c r="E30" s="6">
        <f>if('Week 2'!$A$1=A28, 'Week 2'!$H$1, if('Week 2'!$J$1=A28, 'Week 2'!$Q$1, if('Week 2'!$A$21=A28, 'Week 2'!$H$21, if('Week 2'!$J$21=A28, 'Week 2'!$Q$21, if('Week 2'!$A$41=A28, 'Week 2'!$H$41, if('Week 2'!$J$41=A28, 'Week 2'!$Q$41))))))</f>
        <v>0</v>
      </c>
      <c r="F30" s="6"/>
      <c r="G30" s="6" t="s">
        <v>135</v>
      </c>
      <c r="H30" s="4" t="str">
        <f>vlookup(G28, 'Full Schedule'!$C$3:$D$8, 2, False)</f>
        <v>Team E</v>
      </c>
      <c r="I30" s="4" t="s">
        <v>178</v>
      </c>
      <c r="J30" s="4" t="str">
        <f>if('Week 2'!$A$1=G28, 'Week 2'!$E$1, if('Week 2'!$J$1=G28, 'Week 1'!$N$1, if('Week 2'!$A$21=G28, 'Week 2'!$E$21, if('Week 2'!$J$21=G28, 'Week 2'!$N$21, if('Week 2'!$A$41=G28, 'Week 2'!$E$41, if('Week 2'!$J$41=G28, 'Week 2'!$N$41))))))</f>
        <v>Win</v>
      </c>
      <c r="K30" s="6">
        <f>if('Week 2'!$A$1=G28, 'Week 2'!$H$1, if('Week 2'!$J$1=G28, 'Week 2'!$Q$1, if('Week 2'!$A$21=G28, 'Week 2'!$H$21, if('Week 2'!$J$21=G28, 'Week 2'!$Q$21, if('Week 2'!$A$41=G28, 'Week 2'!$H$41, if('Week 2'!$J$41=G28, 'Week 2'!$Q$41))))))</f>
        <v>15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5" t="s">
        <v>140</v>
      </c>
      <c r="B31" s="4" t="str">
        <f>vlookup(A28, 'Full Schedule'!$E$3:$F$8, 2, False)</f>
        <v>Team C</v>
      </c>
      <c r="C31" s="4" t="s">
        <v>179</v>
      </c>
      <c r="D31" s="4" t="str">
        <f>if('Week 3'!$A$1=A28, 'Week 3'!$E$1, if('Week 3'!$J$1=A28, 'Week 3'!$N$1, if('Week 3'!$A$21=A28, 'Week 3'!$E$21, if('Week 3'!$J$21=A28, 'Week 3'!$N$21, if('Week 3'!$A$41=A28, 'Week 3'!$E$41, if('Week 3'!$J$41=A28, 'Week 3'!$N$41))))))</f>
        <v>Loss</v>
      </c>
      <c r="E31" s="6">
        <f>if('Week 3'!$A$1=A28, 'Week 3'!$H$1, if('Week 3'!$J$1=A28, 'Week 3'!$Q$1, if('Week 3'!$A$21=A28, 'Week 3'!$H$21, if('Week 3'!$J$21=A28, 'Week 3'!$Q$21, if('Week 3'!$A$41=A28, 'Week 3'!$H$41, if('Week 3'!$J$41=A28, 'Week 3'!$Q$41))))))</f>
        <v>-26</v>
      </c>
      <c r="F31" s="6"/>
      <c r="G31" s="6" t="s">
        <v>140</v>
      </c>
      <c r="H31" s="4" t="str">
        <f>vlookup(G28, 'Full Schedule'!$E$3:$F$8, 2, False)</f>
        <v>Team E</v>
      </c>
      <c r="I31" s="4" t="s">
        <v>179</v>
      </c>
      <c r="J31" s="4" t="str">
        <f>if('Week 3'!$A$1=G28, 'Week 3'!$E$1, if('Week 3'!$J$1=G28, 'Week 3'!$N$1, if('Week 3'!$A$21=G28, 'Week 3'!$E$21, if('Week 3'!$J$21=G28, 'Week 3'!$N$21, if('Week 3'!$A$41=G28, 'Week 3'!$E$41, if('Week 3'!$J$41=G28, 'Week 3'!$N$41))))))</f>
        <v>Win</v>
      </c>
      <c r="K31" s="6">
        <f>if('Week 3'!$A$1=G28, 'Week 3'!$H$1, if('Week 3'!$J$1=G28, 'Week 3'!$Q$1, if('Week 3'!$A$21=G28, 'Week 3'!$H$21, if('Week 3'!$J$21=G28, 'Week 3'!$Q$21, if('Week 3'!$A$41=G28, 'Week 3'!$H$41, if('Week 3'!$J$41=G28, 'Week 3'!$Q$41))))))</f>
        <v>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5" t="s">
        <v>144</v>
      </c>
      <c r="B32" s="4" t="str">
        <f>vlookup(A28, 'Full Schedule'!$G$3:$H$8, 2, False)</f>
        <v>Migos</v>
      </c>
      <c r="C32" s="4" t="s">
        <v>178</v>
      </c>
      <c r="D32" s="4" t="str">
        <f>if('Week 4'!$A$1=A28, 'Week 4'!$E$1, if('Week 4'!$J$1=A28, 'Week 4'!$N$1, if('Week 4'!$A$21=A28, 'Week 4'!$E$21, if('Week 4'!$J$21=A28, 'Week 4'!$N$21, if('Week 4'!$A$41=A28, 'Week 4'!$E$41, if('Week 4'!$J$41=A28, 'Week 4'!$N$41))))))</f>
        <v>Loss</v>
      </c>
      <c r="E32" s="6">
        <f>if('Week 4'!$A$1=A28, 'Week 4'!$H$1, if('Week 4'!$J$1=A28, 'Week 4'!$Q$1, if('Week 4'!$A$21=A28, 'Week 4'!$H$21, if('Week 4'!$J$21=A28, 'Week 4'!$Q$21, if('Week 4'!$A$41=A28, 'Week 4'!$H$41, if('Week 4'!$J$41=A28, 'Week 4'!$Q$41))))))</f>
        <v>-9</v>
      </c>
      <c r="F32" s="6"/>
      <c r="G32" s="6" t="s">
        <v>144</v>
      </c>
      <c r="H32" s="4" t="str">
        <f>vlookup(G28, 'Full Schedule'!$G$3:$H$8, 2, False)</f>
        <v>Team C</v>
      </c>
      <c r="I32" s="4" t="s">
        <v>178</v>
      </c>
      <c r="J32" s="4" t="str">
        <f>if('Week 4'!$A$1=G28, 'Week 4'!$E$1, if('Week 4'!$J$1=G28, 'Week 4'!$N$1, if('Week 4'!$A$21=G28, 'Week 4'!$E$21, if('Week 4'!$J$21=G28, 'Week 4'!$N$21, if('Week 4'!$A$41=G28, 'Week 4'!$E$41, if('Week 4'!$J$41=G28, 'Week 4'!$N$41))))))</f>
        <v>Loss</v>
      </c>
      <c r="K32" s="6">
        <f>if('Week 4'!$A$1=G28, 'Week 4'!$H$1, if('Week 4'!$J$1=G28, 'Week 4'!$Q$1, if('Week 4'!$A$21=G28, 'Week 4'!$H$21, if('Week 4'!$J$21=G28, 'Week 4'!$Q$21, if('Week 4'!$A$41=G28, 'Week 4'!$H$41, if('Week 4'!$J$41=G28, 'Week 4'!$Q$41))))))</f>
        <v>-9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5" t="s">
        <v>146</v>
      </c>
      <c r="B33" s="4" t="str">
        <f>vlookup(A28, 'Full Schedule'!$I$3:$J$8, 2, False)</f>
        <v>Candice?</v>
      </c>
      <c r="C33" s="4" t="s">
        <v>179</v>
      </c>
      <c r="D33" s="4" t="str">
        <f>if('Week 5'!$A$1=A28, 'Week 5'!$E$1, if('Week 5'!$J$1=A28, 'Week 5'!$N$1, if('Week 5'!$A$21=A28, 'Week 5'!$E$21, if('Week 5'!$J$21=A28, 'Week 5'!$N$21, if('Week 5'!$A$41=A28, 'Week 5'!$E$41, if('Week 5'!$J$41=A28, 'Week 5'!$N$41))))))</f>
        <v>Win</v>
      </c>
      <c r="E33" s="6">
        <f>if('Week 5'!$A$1=A28, 'Week 5'!$H$1, if('Week 5'!$J$1=A28, 'Week 5'!$Q$1, if('Week 5'!$A$21=A28, 'Week 5'!$H$21, if('Week 5'!$J$21=A28, 'Week 5'!$Q$21, if('Week 5'!$A$41=A28, 'Week 5'!$H$41, if('Week 5'!$J$41=A28, 'Week 5'!$Q$41))))))</f>
        <v>11</v>
      </c>
      <c r="F33" s="6"/>
      <c r="G33" s="6" t="s">
        <v>146</v>
      </c>
      <c r="H33" s="4" t="str">
        <f>vlookup(G28, 'Full Schedule'!$I$3:$J$8, 2, False)</f>
        <v>Migos</v>
      </c>
      <c r="I33" s="4" t="s">
        <v>179</v>
      </c>
      <c r="J33" s="4" t="str">
        <f>if('Week 5'!$A$1=G28, 'Week 5'!$E$1, if('Week 5'!$J$1=G28, 'Week 5'!$N$1, if('Week 5'!$A$21=G28, 'Week 5'!$E$21, if('Week 5'!$J$21=G28, 'Week 5'!$N$21, if('Week 5'!$A$41=G28, 'Week 5'!$E$41, if('Week 5'!$J$41=G28, 'Week 5'!$N$41))))))</f>
        <v>Loss</v>
      </c>
      <c r="K33" s="6">
        <f>if('Week 5'!$A$1=G28, 'Week 5'!$H$1, if('Week 5'!$J$1=G28, 'Week 5'!$Q$1, if('Week 5'!$A$21=G28, 'Week 5'!$H$21, if('Week 5'!$J$21=G28, 'Week 5'!$Q$21, if('Week 5'!$A$41=G28, 'Week 5'!$H$41, if('Week 5'!$J$41=G28, 'Week 5'!$Q$41))))))</f>
        <v>-1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5" t="s">
        <v>148</v>
      </c>
      <c r="B34" s="4" t="str">
        <f>vlookup(A28, 'Full Schedule'!$K$3:$L$8, 2, False)</f>
        <v>Team E</v>
      </c>
      <c r="C34" s="4" t="s">
        <v>178</v>
      </c>
      <c r="D34" s="4" t="str">
        <f>if('Week 6'!$A$1=A28, 'Week 6'!$E$1, if('Week 6'!$J$1=A28, 'Week 6'!$N$1, if('Week 6'!$A$21=A28, 'Week 6'!$E$21, if('Week 6'!$J$21=A28, 'Week 6'!$N$21, if('Week 6'!$A$41=A28, 'Week 6'!$E$41, if('Week 6'!J$41=A28, 'Week 6'!$N$41))))))</f>
        <v>Loss</v>
      </c>
      <c r="E34" s="6">
        <f>if('Week 6'!$A$1=A28, 'Week 6'!$H$1, if('Week 6'!$J$1=A28, 'Week 6'!$Q$1, if('Week 6'!$A$21=A28, 'Week 6'!$H$21, if('Week 6'!$J$21=A28, 'Week 6'!$Q$21, if('Week 6'!$A$41=A28, 'Week 6'!$H$41, if('Week 6'!$J$41=A28, 'Week 6'!$Q$41))))))</f>
        <v>-4</v>
      </c>
      <c r="F34" s="6"/>
      <c r="G34" s="6" t="s">
        <v>148</v>
      </c>
      <c r="H34" s="4" t="str">
        <f>vlookup(G28, 'Full Schedule'!$K$3:$L$8, 2, False)</f>
        <v>Team C</v>
      </c>
      <c r="I34" s="4" t="s">
        <v>179</v>
      </c>
      <c r="J34" s="4" t="str">
        <f>if('Week 6'!$A$1=G28, 'Week 6'!$E$1, if('Week 6'!$J$1=G28, 'Week 6'!$N$1, if('Week 6'!$A$21=G28, 'Week 6'!$E$21, if('Week 6'!$J$21=G28, 'Week 6'!$N$21, if('Week 6'!$A$41=G28, 'Week 6'!$E$41, if('Week 6'!$J$41=G28, 'Week 6'!$N$41))))))</f>
        <v>Win</v>
      </c>
      <c r="K34" s="6">
        <f>if('Week 6'!$A$1=G28, 'Week 6'!$H$1, if('Week 6'!$J$1=G28, 'Week 6'!$Q$1, if('Week 6'!$A$21=G28, 'Week 6'!$H$21, if('Week 6'!$J$21=G28, 'Week 6'!$Q$21, if('Week 6'!$A$41=G28, 'Week 6'!$H$41, if('Week 6'!$J$41=G28, 'Week 6'!$Q$41))))))</f>
        <v>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154</v>
      </c>
      <c r="B35" s="4" t="str">
        <f>vlookup(A28, 'Full Schedule'!$M$3:$N$8, 2, False)</f>
        <v>Team F</v>
      </c>
      <c r="C35" s="4" t="s">
        <v>182</v>
      </c>
      <c r="D35" s="4" t="str">
        <f>if('Week 7'!$A$1=A28, 'Week 7'!$E27, if('Week 7'!$J$1=A28, 'Week 7'!$N$1, if('Week 7'!$A$21=A28, 'Week 7'!$E$21, if('Week 7'!$J$21=A28, 'Week 7'!$N$21, if('Week 7'!$A$41=A28, 'Week 7'!$E$41, if('Week 7'!$J$41=A28, 'Week 7'!$N$41))))))</f>
        <v>Loss</v>
      </c>
      <c r="E35" s="6">
        <f>if('Week 7'!$A$1=A28, 'Week 7'!$H$1, if('Week 7'!$J$1=A28, 'Week 7'!$Q$1, if('Week 7'!$A$21=A28, 'Week 7'!$H$21, if('Week 7'!$J$21=A28, 'Week 7'!$Q$21, if('Week 7'!$A$41=A28, 'Week 7'!$H$41, if('Week 7'!$J$41=A28, 'Week 7'!$Q$41))))))</f>
        <v>-4</v>
      </c>
      <c r="F35" s="6"/>
      <c r="G35" s="6" t="s">
        <v>154</v>
      </c>
      <c r="H35" s="4" t="str">
        <f>vlookup(G28, 'Full Schedule'!$M$3:$N$8, 2, False)</f>
        <v>Gargantuan</v>
      </c>
      <c r="I35" s="4" t="s">
        <v>182</v>
      </c>
      <c r="J35" s="4" t="str">
        <f>if('Week 7'!$A$1=G28, 'Week 7'!$E27, if('Week 7'!$J$1=G28, 'Week 7'!$N$1, if('Week 7'!$A$21=G28, 'Week 7'!$E$21, if('Week 7'!$J$21=G28, 'Week 7'!$N$21, if('Week 7'!$A$41=G28, 'Week 7'!$E$41, if('Week 7'!$J$41=G28, 'Week 7'!$N$41))))))</f>
        <v>Win</v>
      </c>
      <c r="K35" s="6">
        <f>if('Week 7'!$A$1=G28, 'Week 7'!$H$1, if('Week 7'!$J$1=G28, 'Week 7'!$Q$1, if('Week 7'!$A$21=G28, 'Week 7'!$H$21, if('Week 7'!$J$21=G28, 'Week 7'!$Q$21, if('Week 7'!$A$41=G28, 'Week 7'!$H$41, if('Week 7'!$J$41=G28, 'Week 7'!$Q$41))))))</f>
        <v>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5"/>
      <c r="B36" s="7"/>
      <c r="C36" s="4"/>
      <c r="D36" s="4"/>
      <c r="E36" s="6"/>
      <c r="F36" s="6"/>
      <c r="G36" s="6"/>
      <c r="H36" s="7"/>
      <c r="I36" s="4"/>
      <c r="J36" s="4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2"/>
      <c r="B37" s="9"/>
      <c r="C37" s="3"/>
      <c r="D37" s="3"/>
      <c r="E37" s="25"/>
      <c r="F37" s="6"/>
      <c r="G37" s="25"/>
      <c r="H37" s="9"/>
      <c r="I37" s="3"/>
      <c r="J37" s="3"/>
      <c r="K37" s="2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8" t="s">
        <v>184</v>
      </c>
      <c r="B38" s="3"/>
      <c r="C38" s="3"/>
      <c r="D38" s="59">
        <f>countif(D29:D35, "Win")/(countif(D29:D35, "Win")+countif(D29:D35, "Loss"))</f>
        <v>0.1428571429</v>
      </c>
      <c r="E38" s="60">
        <f>SUM(E29:E37)</f>
        <v>-37</v>
      </c>
      <c r="F38" s="6"/>
      <c r="G38" s="49" t="s">
        <v>184</v>
      </c>
      <c r="H38" s="3"/>
      <c r="I38" s="3"/>
      <c r="J38" s="59">
        <f>countif(J29:J35, "Win")/(countif(J29:J35, "Win")+countif(J29:J35, "Loss"))</f>
        <v>0.7142857143</v>
      </c>
      <c r="K38" s="60">
        <f>SUM(K29:K37)</f>
        <v>20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178</v>
      </c>
      <c r="B1" s="62" t="s">
        <v>179</v>
      </c>
      <c r="C1" s="63" t="s">
        <v>178</v>
      </c>
      <c r="D1" s="64" t="s">
        <v>179</v>
      </c>
      <c r="E1" s="63" t="s">
        <v>178</v>
      </c>
      <c r="F1" s="64" t="s">
        <v>179</v>
      </c>
      <c r="G1" s="61" t="s">
        <v>178</v>
      </c>
      <c r="H1" s="62" t="s">
        <v>179</v>
      </c>
      <c r="I1" s="63" t="s">
        <v>178</v>
      </c>
      <c r="J1" s="64" t="s">
        <v>179</v>
      </c>
      <c r="K1" s="61" t="s">
        <v>178</v>
      </c>
      <c r="L1" s="62" t="s">
        <v>179</v>
      </c>
      <c r="M1" s="63" t="s">
        <v>178</v>
      </c>
      <c r="N1" s="64" t="s">
        <v>179</v>
      </c>
    </row>
    <row r="2">
      <c r="A2" s="65" t="s">
        <v>185</v>
      </c>
      <c r="C2" s="66" t="s">
        <v>186</v>
      </c>
      <c r="D2" s="67"/>
      <c r="E2" s="66" t="s">
        <v>187</v>
      </c>
      <c r="F2" s="67"/>
      <c r="G2" s="65" t="s">
        <v>188</v>
      </c>
      <c r="I2" s="66" t="s">
        <v>189</v>
      </c>
      <c r="J2" s="67"/>
      <c r="K2" s="65" t="s">
        <v>190</v>
      </c>
      <c r="M2" s="66" t="s">
        <v>191</v>
      </c>
      <c r="N2" s="67"/>
    </row>
    <row r="3">
      <c r="A3" s="68" t="s">
        <v>54</v>
      </c>
      <c r="B3" s="69" t="s">
        <v>59</v>
      </c>
      <c r="C3" s="70" t="s">
        <v>58</v>
      </c>
      <c r="D3" s="71" t="s">
        <v>54</v>
      </c>
      <c r="E3" s="68" t="s">
        <v>54</v>
      </c>
      <c r="F3" s="72" t="s">
        <v>57</v>
      </c>
      <c r="G3" s="73" t="s">
        <v>56</v>
      </c>
      <c r="H3" s="71" t="s">
        <v>54</v>
      </c>
      <c r="I3" s="68" t="s">
        <v>54</v>
      </c>
      <c r="J3" s="69" t="s">
        <v>58</v>
      </c>
      <c r="K3" s="70" t="s">
        <v>57</v>
      </c>
      <c r="L3" s="71" t="s">
        <v>54</v>
      </c>
      <c r="M3" s="68" t="s">
        <v>54</v>
      </c>
      <c r="N3" s="69" t="s">
        <v>55</v>
      </c>
    </row>
    <row r="4">
      <c r="A4" s="74" t="s">
        <v>55</v>
      </c>
      <c r="B4" s="75" t="s">
        <v>56</v>
      </c>
      <c r="C4" s="76" t="s">
        <v>56</v>
      </c>
      <c r="D4" s="77" t="s">
        <v>59</v>
      </c>
      <c r="E4" s="75" t="s">
        <v>59</v>
      </c>
      <c r="F4" s="75" t="s">
        <v>56</v>
      </c>
      <c r="G4" s="78" t="s">
        <v>55</v>
      </c>
      <c r="H4" s="77" t="s">
        <v>59</v>
      </c>
      <c r="I4" s="75" t="s">
        <v>56</v>
      </c>
      <c r="J4" s="74" t="s">
        <v>55</v>
      </c>
      <c r="K4" s="76" t="s">
        <v>58</v>
      </c>
      <c r="L4" s="77" t="s">
        <v>56</v>
      </c>
      <c r="M4" s="75" t="s">
        <v>56</v>
      </c>
      <c r="N4" s="75" t="s">
        <v>57</v>
      </c>
    </row>
    <row r="5">
      <c r="A5" s="75" t="s">
        <v>57</v>
      </c>
      <c r="B5" s="75" t="s">
        <v>58</v>
      </c>
      <c r="C5" s="76" t="s">
        <v>57</v>
      </c>
      <c r="D5" s="79" t="s">
        <v>55</v>
      </c>
      <c r="E5" s="74" t="s">
        <v>55</v>
      </c>
      <c r="F5" s="75" t="s">
        <v>58</v>
      </c>
      <c r="G5" s="76" t="s">
        <v>58</v>
      </c>
      <c r="H5" s="77" t="s">
        <v>57</v>
      </c>
      <c r="I5" s="75" t="s">
        <v>59</v>
      </c>
      <c r="J5" s="75" t="s">
        <v>57</v>
      </c>
      <c r="K5" s="76" t="s">
        <v>59</v>
      </c>
      <c r="L5" s="79" t="s">
        <v>55</v>
      </c>
      <c r="M5" s="75" t="s">
        <v>58</v>
      </c>
      <c r="N5" s="75" t="s">
        <v>59</v>
      </c>
    </row>
    <row r="6" hidden="1">
      <c r="A6" s="80" t="str">
        <f t="shared" ref="A6:A8" si="1">B3</f>
        <v>Team F</v>
      </c>
      <c r="B6" s="80" t="str">
        <f t="shared" ref="B6:B8" si="2">A3</f>
        <v>Candice?</v>
      </c>
      <c r="C6" s="80" t="str">
        <f t="shared" ref="C6:C8" si="3">D3</f>
        <v>Candice?</v>
      </c>
      <c r="D6" s="80" t="str">
        <f t="shared" ref="D6:D8" si="4">C3</f>
        <v>Gargantuan</v>
      </c>
      <c r="E6" s="80" t="str">
        <f t="shared" ref="E6:E8" si="5">F3</f>
        <v>Migos</v>
      </c>
      <c r="F6" s="80" t="str">
        <f t="shared" ref="F6:F8" si="6">E3</f>
        <v>Candice?</v>
      </c>
      <c r="G6" s="80" t="str">
        <f t="shared" ref="G6:G8" si="7">H3</f>
        <v>Candice?</v>
      </c>
      <c r="H6" s="80" t="str">
        <f t="shared" ref="H6:H8" si="8">G3</f>
        <v>Team E</v>
      </c>
      <c r="I6" s="80" t="str">
        <f t="shared" ref="I6:I8" si="9">J3</f>
        <v>Gargantuan</v>
      </c>
      <c r="J6" s="80" t="str">
        <f t="shared" ref="J6:J8" si="10">I3</f>
        <v>Candice?</v>
      </c>
      <c r="K6" s="80" t="str">
        <f t="shared" ref="K6:K8" si="11">L3</f>
        <v>Candice?</v>
      </c>
      <c r="L6" s="80" t="str">
        <f t="shared" ref="L6:L8" si="12">K3</f>
        <v>Migos</v>
      </c>
      <c r="M6" s="80" t="str">
        <f t="shared" ref="M6:M8" si="13">N3</f>
        <v>Team C</v>
      </c>
      <c r="N6" s="80" t="str">
        <f t="shared" ref="N6:N8" si="14">M3</f>
        <v>Candice?</v>
      </c>
    </row>
    <row r="7" hidden="1">
      <c r="A7" s="80" t="str">
        <f t="shared" si="1"/>
        <v>Team E</v>
      </c>
      <c r="B7" s="80" t="str">
        <f t="shared" si="2"/>
        <v>Team C</v>
      </c>
      <c r="C7" s="80" t="str">
        <f t="shared" si="3"/>
        <v>Team F</v>
      </c>
      <c r="D7" s="80" t="str">
        <f t="shared" si="4"/>
        <v>Team E</v>
      </c>
      <c r="E7" s="80" t="str">
        <f t="shared" si="5"/>
        <v>Team E</v>
      </c>
      <c r="F7" s="80" t="str">
        <f t="shared" si="6"/>
        <v>Team F</v>
      </c>
      <c r="G7" s="80" t="str">
        <f t="shared" si="7"/>
        <v>Team F</v>
      </c>
      <c r="H7" s="80" t="str">
        <f t="shared" si="8"/>
        <v>Team C</v>
      </c>
      <c r="I7" s="80" t="str">
        <f t="shared" si="9"/>
        <v>Team C</v>
      </c>
      <c r="J7" s="80" t="str">
        <f t="shared" si="10"/>
        <v>Team E</v>
      </c>
      <c r="K7" s="80" t="str">
        <f t="shared" si="11"/>
        <v>Team E</v>
      </c>
      <c r="L7" s="80" t="str">
        <f t="shared" si="12"/>
        <v>Gargantuan</v>
      </c>
      <c r="M7" s="80" t="str">
        <f t="shared" si="13"/>
        <v>Migos</v>
      </c>
      <c r="N7" s="80" t="str">
        <f t="shared" si="14"/>
        <v>Team E</v>
      </c>
    </row>
    <row r="8" hidden="1">
      <c r="A8" s="80" t="str">
        <f t="shared" si="1"/>
        <v>Gargantuan</v>
      </c>
      <c r="B8" s="80" t="str">
        <f t="shared" si="2"/>
        <v>Migos</v>
      </c>
      <c r="C8" s="80" t="str">
        <f t="shared" si="3"/>
        <v>Team C</v>
      </c>
      <c r="D8" s="80" t="str">
        <f t="shared" si="4"/>
        <v>Migos</v>
      </c>
      <c r="E8" s="80" t="str">
        <f t="shared" si="5"/>
        <v>Gargantuan</v>
      </c>
      <c r="F8" s="80" t="str">
        <f t="shared" si="6"/>
        <v>Team C</v>
      </c>
      <c r="G8" s="80" t="str">
        <f t="shared" si="7"/>
        <v>Migos</v>
      </c>
      <c r="H8" s="80" t="str">
        <f t="shared" si="8"/>
        <v>Gargantuan</v>
      </c>
      <c r="I8" s="80" t="str">
        <f t="shared" si="9"/>
        <v>Migos</v>
      </c>
      <c r="J8" s="80" t="str">
        <f t="shared" si="10"/>
        <v>Team F</v>
      </c>
      <c r="K8" s="80" t="str">
        <f t="shared" si="11"/>
        <v>Team C</v>
      </c>
      <c r="L8" s="80" t="str">
        <f t="shared" si="12"/>
        <v>Team F</v>
      </c>
      <c r="M8" s="80" t="str">
        <f t="shared" si="13"/>
        <v>Team F</v>
      </c>
      <c r="N8" s="80" t="str">
        <f t="shared" si="14"/>
        <v>Gargantuan</v>
      </c>
    </row>
  </sheetData>
  <mergeCells count="7">
    <mergeCell ref="A2:B2"/>
    <mergeCell ref="C2:D2"/>
    <mergeCell ref="E2:F2"/>
    <mergeCell ref="G2:H2"/>
    <mergeCell ref="I2:J2"/>
    <mergeCell ref="K2:L2"/>
    <mergeCell ref="M2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81" t="s">
        <v>192</v>
      </c>
      <c r="B1" s="81" t="s">
        <v>193</v>
      </c>
      <c r="C1" s="82" t="s">
        <v>181</v>
      </c>
      <c r="D1" s="81" t="s">
        <v>194</v>
      </c>
      <c r="E1" s="83" t="s">
        <v>195</v>
      </c>
      <c r="F1" s="83" t="s">
        <v>196</v>
      </c>
      <c r="G1" s="83" t="s">
        <v>197</v>
      </c>
      <c r="H1" s="83" t="s">
        <v>198</v>
      </c>
      <c r="I1" s="83" t="s">
        <v>199</v>
      </c>
      <c r="J1" s="83" t="s">
        <v>200</v>
      </c>
      <c r="K1" s="82" t="s">
        <v>201</v>
      </c>
      <c r="L1" s="7"/>
      <c r="M1" s="84" t="s">
        <v>202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83" t="str">
        <f>Draft!B44</f>
        <v>Elmer</v>
      </c>
      <c r="B2" s="85">
        <f>iferror(vlookup($A2, 'Player Game Stats'!$A:$J, 2, False), "")</f>
        <v>7</v>
      </c>
      <c r="C2" s="86">
        <f>iferror(vlookup($A2, 'Player Game Stats'!$A:$J, 3, False), "")</f>
        <v>0.4285714286</v>
      </c>
      <c r="D2" s="87">
        <f t="shared" ref="D2:D73" si="1">iferror(1.2*I2+1.1*H2+1.05*G2+1*F2, "")</f>
        <v>15.10714286</v>
      </c>
      <c r="E2" s="87">
        <f>iferror(vlookup($A2, 'Player Game Stats'!$A:$J, 4, False), "")</f>
        <v>14.14285714</v>
      </c>
      <c r="F2" s="87">
        <f>iferror(vlookup($A2, 'Player Game Stats'!$A:$J, 5, False), "")</f>
        <v>5.285714286</v>
      </c>
      <c r="G2" s="87">
        <f>iferror(vlookup($A2, 'Player Game Stats'!$A:$J, 6, False), "")</f>
        <v>1</v>
      </c>
      <c r="H2" s="87">
        <f>iferror(vlookup($A2, 'Player Game Stats'!$A:$J, 7, False), "")</f>
        <v>6.571428571</v>
      </c>
      <c r="I2" s="87">
        <f>IFERROR(vlookup($A2, 'Player Game Stats'!$A:$J, 8, False), "")</f>
        <v>1.285714286</v>
      </c>
      <c r="J2" s="87">
        <f>iferror(vlookup($A2, 'Player Game Stats'!$A:$J, 9, False), "")</f>
        <v>26.57142857</v>
      </c>
      <c r="K2" s="86">
        <f>iferror(vlookup($A2, 'Player Game Stats'!$A:$J, 10, False), "")</f>
        <v>0.3473684211</v>
      </c>
      <c r="L2" s="88">
        <f t="shared" ref="L2:L73" si="2">K2*D2</f>
        <v>5.247744361</v>
      </c>
      <c r="M2" s="87">
        <f t="shared" ref="M2:M73" si="3">iferror(L2*$L$75, "")</f>
        <v>14.1485083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3" t="str">
        <f>Draft!B46</f>
        <v>John</v>
      </c>
      <c r="B3" s="85">
        <f>iferror(vlookup($A3, 'Player Game Stats'!$A:$J, 2, False), "")</f>
        <v>0</v>
      </c>
      <c r="C3" s="86" t="str">
        <f>iferror(vlookup($A3, 'Player Game Stats'!$A:$J, 3, False), "")</f>
        <v/>
      </c>
      <c r="D3" s="87">
        <f t="shared" si="1"/>
        <v>0</v>
      </c>
      <c r="E3" s="87" t="str">
        <f>iferror(vlookup($A3, 'Player Game Stats'!$A:$J, 4, False), "")</f>
        <v/>
      </c>
      <c r="F3" s="87" t="str">
        <f>iferror(vlookup($A3, 'Player Game Stats'!$A:$J, 5, False), "")</f>
        <v/>
      </c>
      <c r="G3" s="87" t="str">
        <f>iferror(vlookup($A3, 'Player Game Stats'!$A:$J, 6, False), "")</f>
        <v/>
      </c>
      <c r="H3" s="87" t="str">
        <f>iferror(vlookup($A3, 'Player Game Stats'!$A:$J, 7, False), "")</f>
        <v/>
      </c>
      <c r="I3" s="87" t="str">
        <f>IFERROR(vlookup($A3, 'Player Game Stats'!$A:$J, 8, False), "")</f>
        <v/>
      </c>
      <c r="J3" s="87" t="str">
        <f>iferror(vlookup($A3, 'Player Game Stats'!$A:$J, 9, False), "")</f>
        <v/>
      </c>
      <c r="K3" s="86" t="str">
        <f>iferror(vlookup($A3, 'Player Game Stats'!$A:$J, 10, False), "")</f>
        <v/>
      </c>
      <c r="L3" s="88">
        <f t="shared" si="2"/>
        <v>0</v>
      </c>
      <c r="M3" s="87">
        <f t="shared" si="3"/>
        <v>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3" t="str">
        <f>Draft!B47</f>
        <v>Porco</v>
      </c>
      <c r="B4" s="85">
        <f>iferror(vlookup($A4, 'Player Game Stats'!$A:$J, 2, False), "")</f>
        <v>5</v>
      </c>
      <c r="C4" s="86">
        <f>iferror(vlookup($A4, 'Player Game Stats'!$A:$J, 3, False), "")</f>
        <v>0.4</v>
      </c>
      <c r="D4" s="87">
        <f t="shared" si="1"/>
        <v>19.28</v>
      </c>
      <c r="E4" s="87">
        <f>iferror(vlookup($A4, 'Player Game Stats'!$A:$J, 4, False), "")</f>
        <v>18</v>
      </c>
      <c r="F4" s="87">
        <f>iferror(vlookup($A4, 'Player Game Stats'!$A:$J, 5, False), "")</f>
        <v>6.4</v>
      </c>
      <c r="G4" s="87">
        <f>iferror(vlookup($A4, 'Player Game Stats'!$A:$J, 6, False), "")</f>
        <v>0.8</v>
      </c>
      <c r="H4" s="87">
        <f>iferror(vlookup($A4, 'Player Game Stats'!$A:$J, 7, False), "")</f>
        <v>9.2</v>
      </c>
      <c r="I4" s="87">
        <f>IFERROR(vlookup($A4, 'Player Game Stats'!$A:$J, 8, False), "")</f>
        <v>1.6</v>
      </c>
      <c r="J4" s="87">
        <f>iferror(vlookup($A4, 'Player Game Stats'!$A:$J, 9, False), "")</f>
        <v>25.6</v>
      </c>
      <c r="K4" s="86">
        <f>iferror(vlookup($A4, 'Player Game Stats'!$A:$J, 10, False), "")</f>
        <v>0.4128440367</v>
      </c>
      <c r="L4" s="88">
        <f t="shared" si="2"/>
        <v>7.959633028</v>
      </c>
      <c r="M4" s="87">
        <f t="shared" si="3"/>
        <v>21.46006478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3" t="str">
        <f>Draft!B48</f>
        <v>Marmo</v>
      </c>
      <c r="B5" s="85">
        <f>iferror(vlookup($A5, 'Player Game Stats'!$A:$J, 2, False), "")</f>
        <v>7</v>
      </c>
      <c r="C5" s="86">
        <f>iferror(vlookup($A5, 'Player Game Stats'!$A:$J, 3, False), "")</f>
        <v>0.4285714286</v>
      </c>
      <c r="D5" s="87">
        <f t="shared" si="1"/>
        <v>18.82857143</v>
      </c>
      <c r="E5" s="87">
        <f>iferror(vlookup($A5, 'Player Game Stats'!$A:$J, 4, False), "")</f>
        <v>18.57142857</v>
      </c>
      <c r="F5" s="87">
        <f>iferror(vlookup($A5, 'Player Game Stats'!$A:$J, 5, False), "")</f>
        <v>15.85714286</v>
      </c>
      <c r="G5" s="87">
        <f>iferror(vlookup($A5, 'Player Game Stats'!$A:$J, 6, False), "")</f>
        <v>0.5714285714</v>
      </c>
      <c r="H5" s="87">
        <f>iferror(vlookup($A5, 'Player Game Stats'!$A:$J, 7, False), "")</f>
        <v>2</v>
      </c>
      <c r="I5" s="87">
        <f>IFERROR(vlookup($A5, 'Player Game Stats'!$A:$J, 8, False), "")</f>
        <v>0.1428571429</v>
      </c>
      <c r="J5" s="87">
        <f>iferror(vlookup($A5, 'Player Game Stats'!$A:$J, 9, False), "")</f>
        <v>25.57142857</v>
      </c>
      <c r="K5" s="86">
        <f>iferror(vlookup($A5, 'Player Game Stats'!$A:$J, 10, False), "")</f>
        <v>0.4207119741</v>
      </c>
      <c r="L5" s="88">
        <f t="shared" si="2"/>
        <v>7.921405455</v>
      </c>
      <c r="M5" s="87">
        <f t="shared" si="3"/>
        <v>21.35699896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3" t="str">
        <f>Draft!B49</f>
        <v>Swit</v>
      </c>
      <c r="B6" s="85">
        <f>iferror(vlookup($A6, 'Player Game Stats'!$A:$J, 2, False), "")</f>
        <v>7</v>
      </c>
      <c r="C6" s="86">
        <f>iferror(vlookup($A6, 'Player Game Stats'!$A:$J, 3, False), "")</f>
        <v>0.4285714286</v>
      </c>
      <c r="D6" s="87">
        <f t="shared" si="1"/>
        <v>13.37857143</v>
      </c>
      <c r="E6" s="87">
        <f>iferror(vlookup($A6, 'Player Game Stats'!$A:$J, 4, False), "")</f>
        <v>12.57142857</v>
      </c>
      <c r="F6" s="87">
        <f>iferror(vlookup($A6, 'Player Game Stats'!$A:$J, 5, False), "")</f>
        <v>4.428571429</v>
      </c>
      <c r="G6" s="87">
        <f>iferror(vlookup($A6, 'Player Game Stats'!$A:$J, 6, False), "")</f>
        <v>0.4285714286</v>
      </c>
      <c r="H6" s="87">
        <f>iferror(vlookup($A6, 'Player Game Stats'!$A:$J, 7, False), "")</f>
        <v>7.571428571</v>
      </c>
      <c r="I6" s="87">
        <f>IFERROR(vlookup($A6, 'Player Game Stats'!$A:$J, 8, False), "")</f>
        <v>0.1428571429</v>
      </c>
      <c r="J6" s="87">
        <f>iferror(vlookup($A6, 'Player Game Stats'!$A:$J, 9, False), "")</f>
        <v>26</v>
      </c>
      <c r="K6" s="86">
        <f>iferror(vlookup($A6, 'Player Game Stats'!$A:$J, 10, False), "")</f>
        <v>0.3259259259</v>
      </c>
      <c r="L6" s="88">
        <f t="shared" si="2"/>
        <v>4.36042328</v>
      </c>
      <c r="M6" s="87">
        <f t="shared" si="3"/>
        <v>11.75619099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3" t="str">
        <f>Draft!B50</f>
        <v>Emi</v>
      </c>
      <c r="B7" s="85">
        <f>iferror(vlookup($A7, 'Player Game Stats'!$A:$J, 2, False), "")</f>
        <v>6</v>
      </c>
      <c r="C7" s="86">
        <f>iferror(vlookup($A7, 'Player Game Stats'!$A:$J, 3, False), "")</f>
        <v>0.5</v>
      </c>
      <c r="D7" s="87">
        <f t="shared" si="1"/>
        <v>19.4</v>
      </c>
      <c r="E7" s="87">
        <f>iferror(vlookup($A7, 'Player Game Stats'!$A:$J, 4, False), "")</f>
        <v>18.66666667</v>
      </c>
      <c r="F7" s="87">
        <f>iferror(vlookup($A7, 'Player Game Stats'!$A:$J, 5, False), "")</f>
        <v>12</v>
      </c>
      <c r="G7" s="87">
        <f>iferror(vlookup($A7, 'Player Game Stats'!$A:$J, 6, False), "")</f>
        <v>0.6666666667</v>
      </c>
      <c r="H7" s="87">
        <f>iferror(vlookup($A7, 'Player Game Stats'!$A:$J, 7, False), "")</f>
        <v>5</v>
      </c>
      <c r="I7" s="87">
        <f>IFERROR(vlookup($A7, 'Player Game Stats'!$A:$J, 8, False), "")</f>
        <v>1</v>
      </c>
      <c r="J7" s="87">
        <f>iferror(vlookup($A7, 'Player Game Stats'!$A:$J, 9, False), "")</f>
        <v>24.66666667</v>
      </c>
      <c r="K7" s="86">
        <f>iferror(vlookup($A7, 'Player Game Stats'!$A:$J, 10, False), "")</f>
        <v>0.4307692308</v>
      </c>
      <c r="L7" s="88">
        <f t="shared" si="2"/>
        <v>8.356923077</v>
      </c>
      <c r="M7" s="87">
        <f t="shared" si="3"/>
        <v>22.53120339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3" t="str">
        <f>Draft!B51</f>
        <v>SoHo</v>
      </c>
      <c r="B8" s="85">
        <f>iferror(vlookup($A8, 'Player Game Stats'!$A:$J, 2, False), "")</f>
        <v>4</v>
      </c>
      <c r="C8" s="86">
        <f>iferror(vlookup($A8, 'Player Game Stats'!$A:$J, 3, False), "")</f>
        <v>0.5</v>
      </c>
      <c r="D8" s="87">
        <f t="shared" si="1"/>
        <v>17.5875</v>
      </c>
      <c r="E8" s="87">
        <f>iferror(vlookup($A8, 'Player Game Stats'!$A:$J, 4, False), "")</f>
        <v>16.5</v>
      </c>
      <c r="F8" s="87">
        <f>iferror(vlookup($A8, 'Player Game Stats'!$A:$J, 5, False), "")</f>
        <v>5.25</v>
      </c>
      <c r="G8" s="87">
        <f>iferror(vlookup($A8, 'Player Game Stats'!$A:$J, 6, False), "")</f>
        <v>0.75</v>
      </c>
      <c r="H8" s="87">
        <f>iferror(vlookup($A8, 'Player Game Stats'!$A:$J, 7, False), "")</f>
        <v>10.5</v>
      </c>
      <c r="I8" s="87">
        <f>IFERROR(vlookup($A8, 'Player Game Stats'!$A:$J, 8, False), "")</f>
        <v>0</v>
      </c>
      <c r="J8" s="87">
        <f>iferror(vlookup($A8, 'Player Game Stats'!$A:$J, 9, False), "")</f>
        <v>27.75</v>
      </c>
      <c r="K8" s="86">
        <f>iferror(vlookup($A8, 'Player Game Stats'!$A:$J, 10, False), "")</f>
        <v>0.3728813559</v>
      </c>
      <c r="L8" s="88">
        <f t="shared" si="2"/>
        <v>6.558050847</v>
      </c>
      <c r="M8" s="87">
        <f t="shared" si="3"/>
        <v>17.68124178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83" t="str">
        <f>Draft!B52</f>
        <v/>
      </c>
      <c r="B9" s="85" t="str">
        <f>iferror(vlookup($A9, 'Player Game Stats'!$A:$J, 2, False), "")</f>
        <v/>
      </c>
      <c r="C9" s="86" t="str">
        <f>iferror(vlookup($A9, 'Player Game Stats'!$A:$J, 3, False), "")</f>
        <v/>
      </c>
      <c r="D9" s="87">
        <f t="shared" si="1"/>
        <v>0</v>
      </c>
      <c r="E9" s="87" t="str">
        <f>iferror(vlookup($A9, 'Player Game Stats'!$A:$J, 4, False), "")</f>
        <v/>
      </c>
      <c r="F9" s="87" t="str">
        <f>iferror(vlookup($A9, 'Player Game Stats'!$A:$J, 5, False), "")</f>
        <v/>
      </c>
      <c r="G9" s="87" t="str">
        <f>iferror(vlookup($A9, 'Player Game Stats'!$A:$J, 6, False), "")</f>
        <v/>
      </c>
      <c r="H9" s="87" t="str">
        <f>iferror(vlookup($A9, 'Player Game Stats'!$A:$J, 7, False), "")</f>
        <v/>
      </c>
      <c r="I9" s="87" t="str">
        <f>IFERROR(vlookup($A9, 'Player Game Stats'!$A:$J, 8, False), "")</f>
        <v/>
      </c>
      <c r="J9" s="87" t="str">
        <f>iferror(vlookup($A9, 'Player Game Stats'!$A:$J, 9, False), "")</f>
        <v/>
      </c>
      <c r="K9" s="86" t="str">
        <f>iferror(vlookup($A9, 'Player Game Stats'!$A:$J, 10, False), "")</f>
        <v/>
      </c>
      <c r="L9" s="88">
        <f t="shared" si="2"/>
        <v>0</v>
      </c>
      <c r="M9" s="87">
        <f t="shared" si="3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3" t="str">
        <f>Draft!B53</f>
        <v/>
      </c>
      <c r="B10" s="85" t="str">
        <f>iferror(vlookup($A10, 'Player Game Stats'!$A:$J, 2, False), "")</f>
        <v/>
      </c>
      <c r="C10" s="86" t="str">
        <f>iferror(vlookup($A10, 'Player Game Stats'!$A:$J, 3, False), "")</f>
        <v/>
      </c>
      <c r="D10" s="87">
        <f t="shared" si="1"/>
        <v>0</v>
      </c>
      <c r="E10" s="87" t="str">
        <f>iferror(vlookup($A10, 'Player Game Stats'!$A:$J, 4, False), "")</f>
        <v/>
      </c>
      <c r="F10" s="87" t="str">
        <f>iferror(vlookup($A10, 'Player Game Stats'!$A:$J, 5, False), "")</f>
        <v/>
      </c>
      <c r="G10" s="87" t="str">
        <f>iferror(vlookup($A10, 'Player Game Stats'!$A:$J, 6, False), "")</f>
        <v/>
      </c>
      <c r="H10" s="87" t="str">
        <f>iferror(vlookup($A10, 'Player Game Stats'!$A:$J, 7, False), "")</f>
        <v/>
      </c>
      <c r="I10" s="87" t="str">
        <f>IFERROR(vlookup($A10, 'Player Game Stats'!$A:$J, 8, False), "")</f>
        <v/>
      </c>
      <c r="J10" s="87" t="str">
        <f>iferror(vlookup($A10, 'Player Game Stats'!$A:$J, 9, False), "")</f>
        <v/>
      </c>
      <c r="K10" s="86" t="str">
        <f>iferror(vlookup($A10, 'Player Game Stats'!$A:$J, 10, False), "")</f>
        <v/>
      </c>
      <c r="L10" s="88">
        <f t="shared" si="2"/>
        <v>0</v>
      </c>
      <c r="M10" s="87">
        <f t="shared" si="3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3" t="str">
        <f>Draft!B54</f>
        <v/>
      </c>
      <c r="B11" s="85" t="str">
        <f>iferror(vlookup($A11, 'Player Game Stats'!$A:$J, 2, False), "")</f>
        <v/>
      </c>
      <c r="C11" s="89" t="str">
        <f>iferror(vlookup($A11, 'Player Game Stats'!$A:$J, 3, False), "")</f>
        <v/>
      </c>
      <c r="D11" s="87">
        <f t="shared" si="1"/>
        <v>0</v>
      </c>
      <c r="E11" s="90" t="str">
        <f>iferror(vlookup($A11, 'Player Game Stats'!$A:$J, 4, False), "")</f>
        <v/>
      </c>
      <c r="F11" s="90" t="str">
        <f>iferror(vlookup($A11, 'Player Game Stats'!$A:$J, 5, False), "")</f>
        <v/>
      </c>
      <c r="G11" s="90" t="str">
        <f>iferror(vlookup($A11, 'Player Game Stats'!$A:$J, 6, False), "")</f>
        <v/>
      </c>
      <c r="H11" s="90" t="str">
        <f>iferror(vlookup($A11, 'Player Game Stats'!$A:$J, 7, False), "")</f>
        <v/>
      </c>
      <c r="I11" s="90" t="str">
        <f>IFERROR(vlookup($A11, 'Player Game Stats'!$A:$J, 8, False), "")</f>
        <v/>
      </c>
      <c r="J11" s="90" t="str">
        <f>iferror(vlookup($A11, 'Player Game Stats'!$A:$J, 9, False), "")</f>
        <v/>
      </c>
      <c r="K11" s="89" t="str">
        <f>iferror(vlookup($A11, 'Player Game Stats'!$A:$J, 10, False), "")</f>
        <v/>
      </c>
      <c r="L11" s="88">
        <f t="shared" si="2"/>
        <v>0</v>
      </c>
      <c r="M11" s="87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91" t="str">
        <f>Draft!B55</f>
        <v/>
      </c>
      <c r="B12" s="92" t="str">
        <f>iferror(vlookup($A12, 'Player Game Stats'!$A:$J, 2, False), "")</f>
        <v/>
      </c>
      <c r="C12" s="89" t="str">
        <f>iferror(vlookup($A12, 'Player Game Stats'!$A:$J, 3, False), "")</f>
        <v/>
      </c>
      <c r="D12" s="87">
        <f t="shared" si="1"/>
        <v>0</v>
      </c>
      <c r="E12" s="90" t="str">
        <f>iferror(vlookup($A12, 'Player Game Stats'!$A:$J, 4, False), "")</f>
        <v/>
      </c>
      <c r="F12" s="90" t="str">
        <f>iferror(vlookup($A12, 'Player Game Stats'!$A:$J, 5, False), "")</f>
        <v/>
      </c>
      <c r="G12" s="90" t="str">
        <f>iferror(vlookup($A12, 'Player Game Stats'!$A:$J, 6, False), "")</f>
        <v/>
      </c>
      <c r="H12" s="90" t="str">
        <f>iferror(vlookup($A12, 'Player Game Stats'!$A:$J, 7, False), "")</f>
        <v/>
      </c>
      <c r="I12" s="90" t="str">
        <f>IFERROR(vlookup($A12, 'Player Game Stats'!$A:$J, 8, False), "")</f>
        <v/>
      </c>
      <c r="J12" s="90" t="str">
        <f>iferror(vlookup($A12, 'Player Game Stats'!$A:$J, 9, False), "")</f>
        <v/>
      </c>
      <c r="K12" s="89" t="str">
        <f>iferror(vlookup($A12, 'Player Game Stats'!$A:$J, 10, False), "")</f>
        <v/>
      </c>
      <c r="L12" s="88">
        <f t="shared" si="2"/>
        <v>0</v>
      </c>
      <c r="M12" s="87">
        <f t="shared" si="3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91" t="str">
        <f>Draft!B56</f>
        <v/>
      </c>
      <c r="B13" s="92" t="str">
        <f>iferror(vlookup($A13, 'Player Game Stats'!$A:$J, 2, False), "")</f>
        <v/>
      </c>
      <c r="C13" s="89" t="str">
        <f>iferror(vlookup($A13, 'Player Game Stats'!$A:$J, 3, False), "")</f>
        <v/>
      </c>
      <c r="D13" s="87">
        <f t="shared" si="1"/>
        <v>0</v>
      </c>
      <c r="E13" s="90" t="str">
        <f>iferror(vlookup($A13, 'Player Game Stats'!$A:$J, 4, False), "")</f>
        <v/>
      </c>
      <c r="F13" s="90" t="str">
        <f>iferror(vlookup($A13, 'Player Game Stats'!$A:$J, 5, False), "")</f>
        <v/>
      </c>
      <c r="G13" s="90" t="str">
        <f>iferror(vlookup($A13, 'Player Game Stats'!$A:$J, 6, False), "")</f>
        <v/>
      </c>
      <c r="H13" s="90" t="str">
        <f>iferror(vlookup($A13, 'Player Game Stats'!$A:$J, 7, False), "")</f>
        <v/>
      </c>
      <c r="I13" s="90" t="str">
        <f>IFERROR(vlookup($A13, 'Player Game Stats'!$A:$J, 8, False), "")</f>
        <v/>
      </c>
      <c r="J13" s="90" t="str">
        <f>iferror(vlookup($A13, 'Player Game Stats'!$A:$J, 9, False), "")</f>
        <v/>
      </c>
      <c r="K13" s="89" t="str">
        <f>iferror(vlookup($A13, 'Player Game Stats'!$A:$J, 10, False), "")</f>
        <v/>
      </c>
      <c r="L13" s="88">
        <f t="shared" si="2"/>
        <v>0</v>
      </c>
      <c r="M13" s="87">
        <f t="shared" si="3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3" t="str">
        <f>Draft!C44</f>
        <v>Matt</v>
      </c>
      <c r="B14" s="93">
        <f>iferror(vlookup($A14, 'Player Game Stats'!$K:$T, 2, False), "")</f>
        <v>7</v>
      </c>
      <c r="C14" s="94">
        <f>iferror(vlookup($A14, 'Player Game Stats'!$K:$T, 3, False), "")</f>
        <v>0.5714285714</v>
      </c>
      <c r="D14" s="95">
        <f t="shared" si="1"/>
        <v>16.06428571</v>
      </c>
      <c r="E14" s="95">
        <f>iferror(vlookup($A14, 'Player Game Stats'!$K:$T, 4, False), "")</f>
        <v>15.28571429</v>
      </c>
      <c r="F14" s="95">
        <f>iferror(vlookup($A14, 'Player Game Stats'!$K:$T, 5, False), "")</f>
        <v>7.571428571</v>
      </c>
      <c r="G14" s="95">
        <f>iferror(vlookup($A14, 'Player Game Stats'!$K:$T, 6, False), "")</f>
        <v>1.571428571</v>
      </c>
      <c r="H14" s="95">
        <f>iferror(vlookup($A14, 'Player Game Stats'!$K:$T, 7, False), "")</f>
        <v>5.285714286</v>
      </c>
      <c r="I14" s="95">
        <f>iferror(vlookup($A14, 'Player Game Stats'!$K:$T, 8, False), "")</f>
        <v>0.8571428571</v>
      </c>
      <c r="J14" s="95">
        <f>iferror(vlookup($A14, 'Player Game Stats'!$K:$T, 9, False), "")</f>
        <v>23.71428571</v>
      </c>
      <c r="K14" s="94">
        <f>iferror(vlookup($A14, 'Player Game Stats'!$K:$T, 10, False), "")</f>
        <v>0.3919413919</v>
      </c>
      <c r="L14" s="88">
        <f t="shared" si="2"/>
        <v>6.296258503</v>
      </c>
      <c r="M14" s="95">
        <f t="shared" si="3"/>
        <v>16.97542021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3" t="str">
        <f>Draft!C46</f>
        <v>Gid</v>
      </c>
      <c r="B15" s="93">
        <f>iferror(vlookup($A15, 'Player Game Stats'!$K:$T, 2, False), "")</f>
        <v>7</v>
      </c>
      <c r="C15" s="94">
        <f>iferror(vlookup($A15, 'Player Game Stats'!$K:$T, 3, False), "")</f>
        <v>0.5714285714</v>
      </c>
      <c r="D15" s="95">
        <f t="shared" si="1"/>
        <v>20.27857143</v>
      </c>
      <c r="E15" s="95">
        <f>iferror(vlookup($A15, 'Player Game Stats'!$K:$T, 4, False), "")</f>
        <v>19.28571429</v>
      </c>
      <c r="F15" s="95">
        <f>iferror(vlookup($A15, 'Player Game Stats'!$K:$T, 5, False), "")</f>
        <v>9.428571429</v>
      </c>
      <c r="G15" s="95">
        <f>iferror(vlookup($A15, 'Player Game Stats'!$K:$T, 6, False), "")</f>
        <v>2.142857143</v>
      </c>
      <c r="H15" s="95">
        <f>iferror(vlookup($A15, 'Player Game Stats'!$K:$T, 7, False), "")</f>
        <v>6.571428571</v>
      </c>
      <c r="I15" s="95">
        <f>iferror(vlookup($A15, 'Player Game Stats'!$K:$T, 8, False), "")</f>
        <v>1.142857143</v>
      </c>
      <c r="J15" s="95">
        <f>iferror(vlookup($A15, 'Player Game Stats'!$K:$T, 9, False), "")</f>
        <v>22.85714286</v>
      </c>
      <c r="K15" s="94">
        <f>iferror(vlookup($A15, 'Player Game Stats'!$K:$T, 10, False), "")</f>
        <v>0.4576271186</v>
      </c>
      <c r="L15" s="88">
        <f t="shared" si="2"/>
        <v>9.280024213</v>
      </c>
      <c r="M15" s="95">
        <f t="shared" si="3"/>
        <v>25.01998775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3" t="str">
        <f>Draft!C47</f>
        <v>Skeet</v>
      </c>
      <c r="B16" s="93">
        <f>iferror(vlookup($A16, 'Player Game Stats'!$K:$T, 2, False), "")</f>
        <v>0</v>
      </c>
      <c r="C16" s="94" t="str">
        <f>iferror(vlookup($A16, 'Player Game Stats'!$K:$T, 3, False), "")</f>
        <v/>
      </c>
      <c r="D16" s="95">
        <f t="shared" si="1"/>
        <v>0</v>
      </c>
      <c r="E16" s="95" t="str">
        <f>iferror(vlookup($A16, 'Player Game Stats'!$K:$T, 4, False), "")</f>
        <v/>
      </c>
      <c r="F16" s="95" t="str">
        <f>iferror(vlookup($A16, 'Player Game Stats'!$K:$T, 5, False), "")</f>
        <v/>
      </c>
      <c r="G16" s="95" t="str">
        <f>iferror(vlookup($A16, 'Player Game Stats'!$K:$T, 6, False), "")</f>
        <v/>
      </c>
      <c r="H16" s="95" t="str">
        <f>iferror(vlookup($A16, 'Player Game Stats'!$K:$T, 7, False), "")</f>
        <v/>
      </c>
      <c r="I16" s="95" t="str">
        <f>iferror(vlookup($A16, 'Player Game Stats'!$K:$T, 8, False), "")</f>
        <v/>
      </c>
      <c r="J16" s="95" t="str">
        <f>iferror(vlookup($A16, 'Player Game Stats'!$K:$T, 9, False), "")</f>
        <v/>
      </c>
      <c r="K16" s="94" t="str">
        <f>iferror(vlookup($A16, 'Player Game Stats'!$K:$T, 10, False), "")</f>
        <v/>
      </c>
      <c r="L16" s="88">
        <f t="shared" si="2"/>
        <v>0</v>
      </c>
      <c r="M16" s="95">
        <f t="shared" si="3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3" t="str">
        <f>Draft!C48</f>
        <v>Sonne</v>
      </c>
      <c r="B17" s="93">
        <f>iferror(vlookup($A17, 'Player Game Stats'!$K:$T, 2, False), "")</f>
        <v>4</v>
      </c>
      <c r="C17" s="94">
        <f>iferror(vlookup($A17, 'Player Game Stats'!$K:$T, 3, False), "")</f>
        <v>0.75</v>
      </c>
      <c r="D17" s="95">
        <f t="shared" si="1"/>
        <v>13.15</v>
      </c>
      <c r="E17" s="95">
        <f>iferror(vlookup($A17, 'Player Game Stats'!$K:$T, 4, False), "")</f>
        <v>12.5</v>
      </c>
      <c r="F17" s="95">
        <f>iferror(vlookup($A17, 'Player Game Stats'!$K:$T, 5, False), "")</f>
        <v>7</v>
      </c>
      <c r="G17" s="95">
        <f>iferror(vlookup($A17, 'Player Game Stats'!$K:$T, 6, False), "")</f>
        <v>0</v>
      </c>
      <c r="H17" s="95">
        <f>iferror(vlookup($A17, 'Player Game Stats'!$K:$T, 7, False), "")</f>
        <v>4.5</v>
      </c>
      <c r="I17" s="95">
        <f>iferror(vlookup($A17, 'Player Game Stats'!$K:$T, 8, False), "")</f>
        <v>1</v>
      </c>
      <c r="J17" s="95">
        <f>iferror(vlookup($A17, 'Player Game Stats'!$K:$T, 9, False), "")</f>
        <v>25.25</v>
      </c>
      <c r="K17" s="94">
        <f>iferror(vlookup($A17, 'Player Game Stats'!$K:$T, 10, False), "")</f>
        <v>0.3311258278</v>
      </c>
      <c r="L17" s="88">
        <f t="shared" si="2"/>
        <v>4.354304636</v>
      </c>
      <c r="M17" s="95">
        <f t="shared" si="3"/>
        <v>11.73969444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3" t="str">
        <f>Draft!C49</f>
        <v>Crosby</v>
      </c>
      <c r="B18" s="93">
        <f>iferror(vlookup($A18, 'Player Game Stats'!$K:$T, 2, False), "")</f>
        <v>5</v>
      </c>
      <c r="C18" s="94">
        <f>iferror(vlookup($A18, 'Player Game Stats'!$K:$T, 3, False), "")</f>
        <v>0.6</v>
      </c>
      <c r="D18" s="95">
        <f t="shared" si="1"/>
        <v>20.06</v>
      </c>
      <c r="E18" s="95">
        <f>iferror(vlookup($A18, 'Player Game Stats'!$K:$T, 4, False), "")</f>
        <v>19.2</v>
      </c>
      <c r="F18" s="95">
        <f>iferror(vlookup($A18, 'Player Game Stats'!$K:$T, 5, False), "")</f>
        <v>11</v>
      </c>
      <c r="G18" s="95">
        <f>iferror(vlookup($A18, 'Player Game Stats'!$K:$T, 6, False), "")</f>
        <v>0.8</v>
      </c>
      <c r="H18" s="95">
        <f>iferror(vlookup($A18, 'Player Game Stats'!$K:$T, 7, False), "")</f>
        <v>6.6</v>
      </c>
      <c r="I18" s="95">
        <f>iferror(vlookup($A18, 'Player Game Stats'!$K:$T, 8, False), "")</f>
        <v>0.8</v>
      </c>
      <c r="J18" s="95">
        <f>iferror(vlookup($A18, 'Player Game Stats'!$K:$T, 9, False), "")</f>
        <v>23</v>
      </c>
      <c r="K18" s="94">
        <f>iferror(vlookup($A18, 'Player Game Stats'!$K:$T, 10, False), "")</f>
        <v>0.4549763033</v>
      </c>
      <c r="L18" s="88">
        <f t="shared" si="2"/>
        <v>9.126824645</v>
      </c>
      <c r="M18" s="95">
        <f t="shared" si="3"/>
        <v>24.6069445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3" t="str">
        <f>Draft!C50</f>
        <v>Kevin Zhou</v>
      </c>
      <c r="B19" s="93">
        <f>iferror(vlookup($A19, 'Player Game Stats'!$K:$T, 2, False), "")</f>
        <v>4</v>
      </c>
      <c r="C19" s="94">
        <f>iferror(vlookup($A19, 'Player Game Stats'!$K:$T, 3, False), "")</f>
        <v>0.5</v>
      </c>
      <c r="D19" s="95">
        <f t="shared" si="1"/>
        <v>19.875</v>
      </c>
      <c r="E19" s="95">
        <f>iferror(vlookup($A19, 'Player Game Stats'!$K:$T, 4, False), "")</f>
        <v>16.75</v>
      </c>
      <c r="F19" s="95">
        <f>iferror(vlookup($A19, 'Player Game Stats'!$K:$T, 5, False), "")</f>
        <v>7.75</v>
      </c>
      <c r="G19" s="95">
        <f>iferror(vlookup($A19, 'Player Game Stats'!$K:$T, 6, False), "")</f>
        <v>0.5</v>
      </c>
      <c r="H19" s="95">
        <f>iferror(vlookup($A19, 'Player Game Stats'!$K:$T, 7, False), "")</f>
        <v>10</v>
      </c>
      <c r="I19" s="95">
        <f>iferror(vlookup($A19, 'Player Game Stats'!$K:$T, 8, False), "")</f>
        <v>0.5</v>
      </c>
      <c r="J19" s="95">
        <f>iferror(vlookup($A19, 'Player Game Stats'!$K:$T, 9, False), "")</f>
        <v>23</v>
      </c>
      <c r="K19" s="94">
        <f>iferror(vlookup($A19, 'Player Game Stats'!$K:$T, 10, False), "")</f>
        <v>0.4213836478</v>
      </c>
      <c r="L19" s="88">
        <f t="shared" si="2"/>
        <v>8.375</v>
      </c>
      <c r="M19" s="95">
        <f t="shared" si="3"/>
        <v>22.5799408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3" t="str">
        <f>Draft!C51</f>
        <v>Somil</v>
      </c>
      <c r="B20" s="93">
        <f>iferror(vlookup($A20, 'Player Game Stats'!$K:$T, 2, False), "")</f>
        <v>3</v>
      </c>
      <c r="C20" s="94">
        <f>iferror(vlookup($A20, 'Player Game Stats'!$K:$T, 3, False), "")</f>
        <v>0.6666666667</v>
      </c>
      <c r="D20" s="95">
        <f t="shared" si="1"/>
        <v>14.33333333</v>
      </c>
      <c r="E20" s="95">
        <f>iferror(vlookup($A20, 'Player Game Stats'!$K:$T, 4, False), "")</f>
        <v>13.66666667</v>
      </c>
      <c r="F20" s="95">
        <f>iferror(vlookup($A20, 'Player Game Stats'!$K:$T, 5, False), "")</f>
        <v>7</v>
      </c>
      <c r="G20" s="95">
        <f>iferror(vlookup($A20, 'Player Game Stats'!$K:$T, 6, False), "")</f>
        <v>0.6666666667</v>
      </c>
      <c r="H20" s="95">
        <f>iferror(vlookup($A20, 'Player Game Stats'!$K:$T, 7, False), "")</f>
        <v>5.666666667</v>
      </c>
      <c r="I20" s="95">
        <f>iferror(vlookup($A20, 'Player Game Stats'!$K:$T, 8, False), "")</f>
        <v>0.3333333333</v>
      </c>
      <c r="J20" s="95">
        <f>iferror(vlookup($A20, 'Player Game Stats'!$K:$T, 9, False), "")</f>
        <v>25</v>
      </c>
      <c r="K20" s="94">
        <f>iferror(vlookup($A20, 'Player Game Stats'!$K:$T, 10, False), "")</f>
        <v>0.3534482759</v>
      </c>
      <c r="L20" s="88">
        <f t="shared" si="2"/>
        <v>5.066091954</v>
      </c>
      <c r="M20" s="95">
        <f t="shared" si="3"/>
        <v>13.65875301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3" t="str">
        <f>Draft!C52</f>
        <v>Suyoag</v>
      </c>
      <c r="B21" s="93">
        <f>iferror(vlookup($A21, 'Player Game Stats'!$K:$T, 2, False), "")</f>
        <v>2</v>
      </c>
      <c r="C21" s="96">
        <f>iferror(vlookup($A21, 'Player Game Stats'!$K:$T, 3, False), "")</f>
        <v>0</v>
      </c>
      <c r="D21" s="95">
        <f t="shared" si="1"/>
        <v>14.95</v>
      </c>
      <c r="E21" s="97">
        <f>iferror(vlookup($A21, 'Player Game Stats'!$K:$T, 4, False), "")</f>
        <v>14.5</v>
      </c>
      <c r="F21" s="97">
        <f>iferror(vlookup($A21, 'Player Game Stats'!$K:$T, 5, False), "")</f>
        <v>10</v>
      </c>
      <c r="G21" s="97">
        <f>iferror(vlookup($A21, 'Player Game Stats'!$K:$T, 6, False), "")</f>
        <v>0</v>
      </c>
      <c r="H21" s="97">
        <f>iferror(vlookup($A21, 'Player Game Stats'!$K:$T, 7, False), "")</f>
        <v>4.5</v>
      </c>
      <c r="I21" s="97">
        <f>iferror(vlookup($A21, 'Player Game Stats'!$K:$T, 8, False), "")</f>
        <v>0</v>
      </c>
      <c r="J21" s="97">
        <f>iferror(vlookup($A21, 'Player Game Stats'!$K:$T, 9, False), "")</f>
        <v>24.5</v>
      </c>
      <c r="K21" s="96">
        <f>iferror(vlookup($A21, 'Player Game Stats'!$K:$T, 10, False), "")</f>
        <v>0.3717948718</v>
      </c>
      <c r="L21" s="88">
        <f t="shared" si="2"/>
        <v>5.558333333</v>
      </c>
      <c r="M21" s="95">
        <f t="shared" si="3"/>
        <v>14.98589106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3" t="str">
        <f>Draft!C53</f>
        <v>Will Ho</v>
      </c>
      <c r="B22" s="93">
        <f>iferror(vlookup($A22, 'Player Game Stats'!$K:$T, 2, False), "")</f>
        <v>4</v>
      </c>
      <c r="C22" s="96">
        <f>iferror(vlookup($A22, 'Player Game Stats'!$K:$T, 3, False), "")</f>
        <v>0.5</v>
      </c>
      <c r="D22" s="95">
        <f t="shared" si="1"/>
        <v>12.2875</v>
      </c>
      <c r="E22" s="97">
        <f>iferror(vlookup($A22, 'Player Game Stats'!$K:$T, 4, False), "")</f>
        <v>11.75</v>
      </c>
      <c r="F22" s="97">
        <f>iferror(vlookup($A22, 'Player Game Stats'!$K:$T, 5, False), "")</f>
        <v>6.75</v>
      </c>
      <c r="G22" s="97">
        <f>iferror(vlookup($A22, 'Player Game Stats'!$K:$T, 6, False), "")</f>
        <v>0.75</v>
      </c>
      <c r="H22" s="97">
        <f>iferror(vlookup($A22, 'Player Game Stats'!$K:$T, 7, False), "")</f>
        <v>3.5</v>
      </c>
      <c r="I22" s="97">
        <f>iferror(vlookup($A22, 'Player Game Stats'!$K:$T, 8, False), "")</f>
        <v>0.75</v>
      </c>
      <c r="J22" s="97">
        <f>iferror(vlookup($A22, 'Player Game Stats'!$K:$T, 9, False), "")</f>
        <v>25.5</v>
      </c>
      <c r="K22" s="96">
        <f>iferror(vlookup($A22, 'Player Game Stats'!$K:$T, 10, False), "")</f>
        <v>0.3154362416</v>
      </c>
      <c r="L22" s="88">
        <f t="shared" si="2"/>
        <v>3.875922819</v>
      </c>
      <c r="M22" s="95">
        <f t="shared" si="3"/>
        <v>10.44992332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3" t="str">
        <f>Draft!C54</f>
        <v>Nagle</v>
      </c>
      <c r="B23" s="93">
        <f>iferror(vlookup($A23, 'Player Game Stats'!$K:$T, 2, False), "")</f>
        <v>1</v>
      </c>
      <c r="C23" s="96">
        <f>iferror(vlookup($A23, 'Player Game Stats'!$K:$T, 3, False), "")</f>
        <v>1</v>
      </c>
      <c r="D23" s="95">
        <f t="shared" si="1"/>
        <v>10.6</v>
      </c>
      <c r="E23" s="97">
        <f>iferror(vlookup($A23, 'Player Game Stats'!$K:$T, 4, False), "")</f>
        <v>10</v>
      </c>
      <c r="F23" s="97">
        <f>iferror(vlookup($A23, 'Player Game Stats'!$K:$T, 5, False), "")</f>
        <v>4</v>
      </c>
      <c r="G23" s="97">
        <f>iferror(vlookup($A23, 'Player Game Stats'!$K:$T, 6, False), "")</f>
        <v>0</v>
      </c>
      <c r="H23" s="97">
        <f>iferror(vlookup($A23, 'Player Game Stats'!$K:$T, 7, False), "")</f>
        <v>6</v>
      </c>
      <c r="I23" s="97">
        <f>iferror(vlookup($A23, 'Player Game Stats'!$K:$T, 8, False), "")</f>
        <v>0</v>
      </c>
      <c r="J23" s="97">
        <f>iferror(vlookup($A23, 'Player Game Stats'!$K:$T, 9, False), "")</f>
        <v>27</v>
      </c>
      <c r="K23" s="96">
        <f>iferror(vlookup($A23, 'Player Game Stats'!$K:$T, 10, False), "")</f>
        <v>0.2702702703</v>
      </c>
      <c r="L23" s="88">
        <f t="shared" si="2"/>
        <v>2.864864865</v>
      </c>
      <c r="M23" s="95">
        <f t="shared" si="3"/>
        <v>7.723997499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91" t="str">
        <f>Draft!C55</f>
        <v/>
      </c>
      <c r="B24" s="98" t="str">
        <f>iferror(vlookup($A24, 'Player Game Stats'!$K:$T, 2, False), "")</f>
        <v/>
      </c>
      <c r="C24" s="96" t="str">
        <f>iferror(vlookup($A24, 'Player Game Stats'!$K:$T, 3, False), "")</f>
        <v/>
      </c>
      <c r="D24" s="95">
        <f t="shared" si="1"/>
        <v>0</v>
      </c>
      <c r="E24" s="97" t="str">
        <f>iferror(vlookup($A24, 'Player Game Stats'!$K:$T, 4, False), "")</f>
        <v/>
      </c>
      <c r="F24" s="97" t="str">
        <f>iferror(vlookup($A24, 'Player Game Stats'!$K:$T, 5, False), "")</f>
        <v/>
      </c>
      <c r="G24" s="97" t="str">
        <f>iferror(vlookup($A24, 'Player Game Stats'!$K:$T, 6, False), "")</f>
        <v/>
      </c>
      <c r="H24" s="97" t="str">
        <f>iferror(vlookup($A24, 'Player Game Stats'!$K:$T, 7, False), "")</f>
        <v/>
      </c>
      <c r="I24" s="97" t="str">
        <f>iferror(vlookup($A24, 'Player Game Stats'!$K:$T, 8, False), "")</f>
        <v/>
      </c>
      <c r="J24" s="97" t="str">
        <f>iferror(vlookup($A24, 'Player Game Stats'!$K:$T, 9, False), "")</f>
        <v/>
      </c>
      <c r="K24" s="96" t="str">
        <f>iferror(vlookup($A24, 'Player Game Stats'!$K:$T, 10, False), "")</f>
        <v/>
      </c>
      <c r="L24" s="88">
        <f t="shared" si="2"/>
        <v>0</v>
      </c>
      <c r="M24" s="95">
        <f t="shared" si="3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91" t="str">
        <f>Draft!C56</f>
        <v/>
      </c>
      <c r="B25" s="98" t="str">
        <f>iferror(vlookup($A25, 'Player Game Stats'!$K:$T, 2, False), "")</f>
        <v/>
      </c>
      <c r="C25" s="96" t="str">
        <f>iferror(vlookup($A25, 'Player Game Stats'!$K:$T, 3, False), "")</f>
        <v/>
      </c>
      <c r="D25" s="95">
        <f t="shared" si="1"/>
        <v>0</v>
      </c>
      <c r="E25" s="97" t="str">
        <f>iferror(vlookup($A25, 'Player Game Stats'!$K:$T, 4, False), "")</f>
        <v/>
      </c>
      <c r="F25" s="97" t="str">
        <f>iferror(vlookup($A25, 'Player Game Stats'!$K:$T, 5, False), "")</f>
        <v/>
      </c>
      <c r="G25" s="97" t="str">
        <f>iferror(vlookup($A25, 'Player Game Stats'!$K:$T, 6, False), "")</f>
        <v/>
      </c>
      <c r="H25" s="97" t="str">
        <f>iferror(vlookup($A25, 'Player Game Stats'!$K:$T, 7, False), "")</f>
        <v/>
      </c>
      <c r="I25" s="97" t="str">
        <f>iferror(vlookup($A25, 'Player Game Stats'!$K:$T, 8, False), "")</f>
        <v/>
      </c>
      <c r="J25" s="97" t="str">
        <f>iferror(vlookup($A25, 'Player Game Stats'!$K:$T, 9, False), "")</f>
        <v/>
      </c>
      <c r="K25" s="96" t="str">
        <f>iferror(vlookup($A25, 'Player Game Stats'!$K:$T, 10, False), "")</f>
        <v/>
      </c>
      <c r="L25" s="88">
        <f t="shared" si="2"/>
        <v>0</v>
      </c>
      <c r="M25" s="95">
        <f t="shared" si="3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3" t="str">
        <f>Draft!D44</f>
        <v>Taran</v>
      </c>
      <c r="B26" s="99">
        <f>iferror(vlookup($A26, 'Player Game Stats'!$U:$AD, 2, False), "")</f>
        <v>7</v>
      </c>
      <c r="C26" s="100">
        <f>iferror(vlookup($A26, 'Player Game Stats'!$U:$AD, 3, False), "")</f>
        <v>0.2857142857</v>
      </c>
      <c r="D26" s="101">
        <f t="shared" si="1"/>
        <v>20.17857143</v>
      </c>
      <c r="E26" s="101">
        <f>iferror(vlookup($A26, 'Player Game Stats'!$U:$AD, 4, False), "")</f>
        <v>18.85714286</v>
      </c>
      <c r="F26" s="101">
        <f>iferror(vlookup($A26, 'Player Game Stats'!$U:$AD, 5, False), "")</f>
        <v>6.571428571</v>
      </c>
      <c r="G26" s="101">
        <f>iferror(vlookup($A26, 'Player Game Stats'!$U:$AD, 6, False), "")</f>
        <v>3</v>
      </c>
      <c r="H26" s="101">
        <f>iferror(vlookup($A26, 'Player Game Stats'!$U:$AD, 7, False), "")</f>
        <v>6.857142857</v>
      </c>
      <c r="I26" s="101">
        <f>iferror(vlookup($A26, 'Player Game Stats'!$U:$AD, 8, False), "")</f>
        <v>2.428571429</v>
      </c>
      <c r="J26" s="101">
        <f>iferror(vlookup($A26, 'Player Game Stats'!$U:$AD, 9, False), "")</f>
        <v>26.71428571</v>
      </c>
      <c r="K26" s="100">
        <f>iferror(vlookup($A26, 'Player Game Stats'!$U:$AD, 10, False), "")</f>
        <v>0.4137931034</v>
      </c>
      <c r="L26" s="88">
        <f t="shared" si="2"/>
        <v>8.349753695</v>
      </c>
      <c r="M26" s="101">
        <f t="shared" si="3"/>
        <v>22.51187393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3" t="str">
        <f>Draft!D46</f>
        <v>Guel</v>
      </c>
      <c r="B27" s="99">
        <f>iferror(vlookup($A27, 'Player Game Stats'!$U:$AD, 2, False), "")</f>
        <v>0</v>
      </c>
      <c r="C27" s="100" t="str">
        <f>iferror(vlookup($A27, 'Player Game Stats'!$U:$AD, 3, False), "")</f>
        <v/>
      </c>
      <c r="D27" s="101">
        <f t="shared" si="1"/>
        <v>0</v>
      </c>
      <c r="E27" s="101" t="str">
        <f>iferror(vlookup($A27, 'Player Game Stats'!$U:$AD, 4, False), "")</f>
        <v/>
      </c>
      <c r="F27" s="101" t="str">
        <f>iferror(vlookup($A27, 'Player Game Stats'!$U:$AD, 5, False), "")</f>
        <v/>
      </c>
      <c r="G27" s="101" t="str">
        <f>iferror(vlookup($A27, 'Player Game Stats'!$U:$AD, 6, False), "")</f>
        <v/>
      </c>
      <c r="H27" s="101" t="str">
        <f>iferror(vlookup($A27, 'Player Game Stats'!$U:$AD, 7, False), "")</f>
        <v/>
      </c>
      <c r="I27" s="101" t="str">
        <f>iferror(vlookup($A27, 'Player Game Stats'!$U:$AD, 8, False), "")</f>
        <v/>
      </c>
      <c r="J27" s="101" t="str">
        <f>iferror(vlookup($A27, 'Player Game Stats'!$U:$AD, 9, False), "")</f>
        <v/>
      </c>
      <c r="K27" s="100" t="str">
        <f>iferror(vlookup($A27, 'Player Game Stats'!$U:$AD, 10, False), "")</f>
        <v/>
      </c>
      <c r="L27" s="88">
        <f t="shared" si="2"/>
        <v>0</v>
      </c>
      <c r="M27" s="101">
        <f t="shared" si="3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3" t="str">
        <f>Draft!D47</f>
        <v>Mike Harrison</v>
      </c>
      <c r="B28" s="99">
        <f>iferror(vlookup($A28, 'Player Game Stats'!$U:$AD, 2, False), "")</f>
        <v>0</v>
      </c>
      <c r="C28" s="100" t="str">
        <f>iferror(vlookup($A28, 'Player Game Stats'!$U:$AD, 3, False), "")</f>
        <v/>
      </c>
      <c r="D28" s="101">
        <f t="shared" si="1"/>
        <v>0</v>
      </c>
      <c r="E28" s="101" t="str">
        <f>iferror(vlookup($A28, 'Player Game Stats'!$U:$AD, 4, False), "")</f>
        <v/>
      </c>
      <c r="F28" s="101" t="str">
        <f>iferror(vlookup($A28, 'Player Game Stats'!$U:$AD, 5, False), "")</f>
        <v/>
      </c>
      <c r="G28" s="101" t="str">
        <f>iferror(vlookup($A28, 'Player Game Stats'!$U:$AD, 6, False), "")</f>
        <v/>
      </c>
      <c r="H28" s="101" t="str">
        <f>iferror(vlookup($A28, 'Player Game Stats'!$U:$AD, 7, False), "")</f>
        <v/>
      </c>
      <c r="I28" s="101" t="str">
        <f>iferror(vlookup($A28, 'Player Game Stats'!$U:$AD, 8, False), "")</f>
        <v/>
      </c>
      <c r="J28" s="101" t="str">
        <f>iferror(vlookup($A28, 'Player Game Stats'!$U:$AD, 9, False), "")</f>
        <v/>
      </c>
      <c r="K28" s="100" t="str">
        <f>iferror(vlookup($A28, 'Player Game Stats'!$U:$AD, 10, False), "")</f>
        <v/>
      </c>
      <c r="L28" s="88">
        <f t="shared" si="2"/>
        <v>0</v>
      </c>
      <c r="M28" s="101">
        <f t="shared" si="3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3" t="str">
        <f>Draft!D48</f>
        <v>Madams</v>
      </c>
      <c r="B29" s="99">
        <f>iferror(vlookup($A29, 'Player Game Stats'!$U:$AD, 2, False), "")</f>
        <v>7</v>
      </c>
      <c r="C29" s="100">
        <f>iferror(vlookup($A29, 'Player Game Stats'!$U:$AD, 3, False), "")</f>
        <v>0.2857142857</v>
      </c>
      <c r="D29" s="101">
        <f t="shared" si="1"/>
        <v>16.02142857</v>
      </c>
      <c r="E29" s="101">
        <f>iferror(vlookup($A29, 'Player Game Stats'!$U:$AD, 4, False), "")</f>
        <v>15.28571429</v>
      </c>
      <c r="F29" s="101">
        <f>iferror(vlookup($A29, 'Player Game Stats'!$U:$AD, 5, False), "")</f>
        <v>8.285714286</v>
      </c>
      <c r="G29" s="101">
        <f>iferror(vlookup($A29, 'Player Game Stats'!$U:$AD, 6, False), "")</f>
        <v>1</v>
      </c>
      <c r="H29" s="101">
        <f>iferror(vlookup($A29, 'Player Game Stats'!$U:$AD, 7, False), "")</f>
        <v>5.142857143</v>
      </c>
      <c r="I29" s="101">
        <f>iferror(vlookup($A29, 'Player Game Stats'!$U:$AD, 8, False), "")</f>
        <v>0.8571428571</v>
      </c>
      <c r="J29" s="101">
        <f>iferror(vlookup($A29, 'Player Game Stats'!$U:$AD, 9, False), "")</f>
        <v>28.42857143</v>
      </c>
      <c r="K29" s="100">
        <f>iferror(vlookup($A29, 'Player Game Stats'!$U:$AD, 10, False), "")</f>
        <v>0.3496732026</v>
      </c>
      <c r="L29" s="88">
        <f t="shared" si="2"/>
        <v>5.602264239</v>
      </c>
      <c r="M29" s="101">
        <f t="shared" si="3"/>
        <v>15.10433372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83" t="str">
        <f>Draft!D49</f>
        <v>Saluja</v>
      </c>
      <c r="B30" s="99">
        <f>iferror(vlookup($A30, 'Player Game Stats'!$U:$AD, 2, False), "")</f>
        <v>0</v>
      </c>
      <c r="C30" s="100" t="str">
        <f>iferror(vlookup($A30, 'Player Game Stats'!$U:$AD, 3, False), "")</f>
        <v/>
      </c>
      <c r="D30" s="101">
        <f t="shared" si="1"/>
        <v>0</v>
      </c>
      <c r="E30" s="101" t="str">
        <f>iferror(vlookup($A30, 'Player Game Stats'!$U:$AD, 4, False), "")</f>
        <v/>
      </c>
      <c r="F30" s="101" t="str">
        <f>iferror(vlookup($A30, 'Player Game Stats'!$U:$AD, 5, False), "")</f>
        <v/>
      </c>
      <c r="G30" s="101" t="str">
        <f>iferror(vlookup($A30, 'Player Game Stats'!$U:$AD, 6, False), "")</f>
        <v/>
      </c>
      <c r="H30" s="101" t="str">
        <f>iferror(vlookup($A30, 'Player Game Stats'!$U:$AD, 7, False), "")</f>
        <v/>
      </c>
      <c r="I30" s="101" t="str">
        <f>iferror(vlookup($A30, 'Player Game Stats'!$U:$AD, 8, False), "")</f>
        <v/>
      </c>
      <c r="J30" s="101" t="str">
        <f>iferror(vlookup($A30, 'Player Game Stats'!$U:$AD, 9, False), "")</f>
        <v/>
      </c>
      <c r="K30" s="100" t="str">
        <f>iferror(vlookup($A30, 'Player Game Stats'!$U:$AD, 10, False), "")</f>
        <v/>
      </c>
      <c r="L30" s="88">
        <f t="shared" si="2"/>
        <v>0</v>
      </c>
      <c r="M30" s="101">
        <f t="shared" si="3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3" t="str">
        <f>Draft!D50</f>
        <v>Tripp</v>
      </c>
      <c r="B31" s="99">
        <f>iferror(vlookup($A31, 'Player Game Stats'!$U:$AD, 2, False), "")</f>
        <v>2</v>
      </c>
      <c r="C31" s="100">
        <f>iferror(vlookup($A31, 'Player Game Stats'!$U:$AD, 3, False), "")</f>
        <v>0</v>
      </c>
      <c r="D31" s="101">
        <f t="shared" si="1"/>
        <v>10.55</v>
      </c>
      <c r="E31" s="101">
        <f>iferror(vlookup($A31, 'Player Game Stats'!$U:$AD, 4, False), "")</f>
        <v>10</v>
      </c>
      <c r="F31" s="101">
        <f>iferror(vlookup($A31, 'Player Game Stats'!$U:$AD, 5, False), "")</f>
        <v>5.5</v>
      </c>
      <c r="G31" s="101">
        <f>iferror(vlookup($A31, 'Player Game Stats'!$U:$AD, 6, False), "")</f>
        <v>0</v>
      </c>
      <c r="H31" s="101">
        <f>iferror(vlookup($A31, 'Player Game Stats'!$U:$AD, 7, False), "")</f>
        <v>3.5</v>
      </c>
      <c r="I31" s="101">
        <f>iferror(vlookup($A31, 'Player Game Stats'!$U:$AD, 8, False), "")</f>
        <v>1</v>
      </c>
      <c r="J31" s="101">
        <f>iferror(vlookup($A31, 'Player Game Stats'!$U:$AD, 9, False), "")</f>
        <v>30</v>
      </c>
      <c r="K31" s="100">
        <f>iferror(vlookup($A31, 'Player Game Stats'!$U:$AD, 10, False), "")</f>
        <v>0.25</v>
      </c>
      <c r="L31" s="88">
        <f t="shared" si="2"/>
        <v>2.6375</v>
      </c>
      <c r="M31" s="101">
        <f t="shared" si="3"/>
        <v>7.110996283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83" t="str">
        <f>Draft!D51</f>
        <v>Lulu</v>
      </c>
      <c r="B32" s="99">
        <f>iferror(vlookup($A32, 'Player Game Stats'!$U:$AD, 2, False), "")</f>
        <v>3</v>
      </c>
      <c r="C32" s="100">
        <f>iferror(vlookup($A32, 'Player Game Stats'!$U:$AD, 3, False), "")</f>
        <v>0.3333333333</v>
      </c>
      <c r="D32" s="101">
        <f t="shared" si="1"/>
        <v>15.53333333</v>
      </c>
      <c r="E32" s="101">
        <f>iferror(vlookup($A32, 'Player Game Stats'!$U:$AD, 4, False), "")</f>
        <v>14.66666667</v>
      </c>
      <c r="F32" s="101">
        <f>iferror(vlookup($A32, 'Player Game Stats'!$U:$AD, 5, False), "")</f>
        <v>6.333333333</v>
      </c>
      <c r="G32" s="101">
        <f>iferror(vlookup($A32, 'Player Game Stats'!$U:$AD, 6, False), "")</f>
        <v>0</v>
      </c>
      <c r="H32" s="101">
        <f>iferror(vlookup($A32, 'Player Game Stats'!$U:$AD, 7, False), "")</f>
        <v>8</v>
      </c>
      <c r="I32" s="101">
        <f>iferror(vlookup($A32, 'Player Game Stats'!$U:$AD, 8, False), "")</f>
        <v>0.3333333333</v>
      </c>
      <c r="J32" s="101">
        <f>iferror(vlookup($A32, 'Player Game Stats'!$U:$AD, 9, False), "")</f>
        <v>28.33333333</v>
      </c>
      <c r="K32" s="100">
        <f>iferror(vlookup($A32, 'Player Game Stats'!$U:$AD, 10, False), "")</f>
        <v>0.3410852713</v>
      </c>
      <c r="L32" s="88">
        <f t="shared" si="2"/>
        <v>5.298191214</v>
      </c>
      <c r="M32" s="101">
        <f t="shared" si="3"/>
        <v>14.28451868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3" t="str">
        <f>Draft!D52</f>
        <v>Ilt</v>
      </c>
      <c r="B33" s="99">
        <f>iferror(vlookup($A33, 'Player Game Stats'!$U:$AD, 2, False), "")</f>
        <v>2</v>
      </c>
      <c r="C33" s="100">
        <f>iferror(vlookup($A33, 'Player Game Stats'!$U:$AD, 3, False), "")</f>
        <v>0</v>
      </c>
      <c r="D33" s="101">
        <f t="shared" si="1"/>
        <v>13.25</v>
      </c>
      <c r="E33" s="101">
        <f>iferror(vlookup($A33, 'Player Game Stats'!$U:$AD, 4, False), "")</f>
        <v>13</v>
      </c>
      <c r="F33" s="101">
        <f>iferror(vlookup($A33, 'Player Game Stats'!$U:$AD, 5, False), "")</f>
        <v>10.5</v>
      </c>
      <c r="G33" s="101">
        <f>iferror(vlookup($A33, 'Player Game Stats'!$U:$AD, 6, False), "")</f>
        <v>0</v>
      </c>
      <c r="H33" s="101">
        <f>iferror(vlookup($A33, 'Player Game Stats'!$U:$AD, 7, False), "")</f>
        <v>2.5</v>
      </c>
      <c r="I33" s="101">
        <f>iferror(vlookup($A33, 'Player Game Stats'!$U:$AD, 8, False), "")</f>
        <v>0</v>
      </c>
      <c r="J33" s="101">
        <f>iferror(vlookup($A33, 'Player Game Stats'!$U:$AD, 9, False), "")</f>
        <v>25.5</v>
      </c>
      <c r="K33" s="100">
        <f>iferror(vlookup($A33, 'Player Game Stats'!$U:$AD, 10, False), "")</f>
        <v>0.3376623377</v>
      </c>
      <c r="L33" s="88">
        <f t="shared" si="2"/>
        <v>4.474025974</v>
      </c>
      <c r="M33" s="101">
        <f t="shared" si="3"/>
        <v>12.06247661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83" t="str">
        <f>Draft!D53</f>
        <v>Pasha</v>
      </c>
      <c r="B34" s="99">
        <f>iferror(vlookup($A34, 'Player Game Stats'!$U:$AD, 2, False), "")</f>
        <v>2</v>
      </c>
      <c r="C34" s="100">
        <f>iferror(vlookup($A34, 'Player Game Stats'!$U:$AD, 3, False), "")</f>
        <v>0.5</v>
      </c>
      <c r="D34" s="101">
        <f t="shared" si="1"/>
        <v>16.525</v>
      </c>
      <c r="E34" s="101">
        <f>iferror(vlookup($A34, 'Player Game Stats'!$U:$AD, 4, False), "")</f>
        <v>16</v>
      </c>
      <c r="F34" s="101">
        <f>iferror(vlookup($A34, 'Player Game Stats'!$U:$AD, 5, False), "")</f>
        <v>11.5</v>
      </c>
      <c r="G34" s="101">
        <f>iferror(vlookup($A34, 'Player Game Stats'!$U:$AD, 6, False), "")</f>
        <v>1.5</v>
      </c>
      <c r="H34" s="101">
        <f>iferror(vlookup($A34, 'Player Game Stats'!$U:$AD, 7, False), "")</f>
        <v>1.5</v>
      </c>
      <c r="I34" s="101">
        <f>iferror(vlookup($A34, 'Player Game Stats'!$U:$AD, 8, False), "")</f>
        <v>1.5</v>
      </c>
      <c r="J34" s="101">
        <f>iferror(vlookup($A34, 'Player Game Stats'!$U:$AD, 9, False), "")</f>
        <v>30</v>
      </c>
      <c r="K34" s="100">
        <f>iferror(vlookup($A34, 'Player Game Stats'!$U:$AD, 10, False), "")</f>
        <v>0.347826087</v>
      </c>
      <c r="L34" s="88">
        <f t="shared" si="2"/>
        <v>5.747826087</v>
      </c>
      <c r="M34" s="101">
        <f t="shared" si="3"/>
        <v>15.49678481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3" t="str">
        <f>Draft!D54</f>
        <v/>
      </c>
      <c r="B35" s="99" t="str">
        <f>iferror(vlookup($A35, 'Player Game Stats'!$U:$AD, 2, False), "")</f>
        <v/>
      </c>
      <c r="C35" s="102" t="str">
        <f>iferror(vlookup($A35, 'Player Game Stats'!$U:$AD, 3, False), "")</f>
        <v/>
      </c>
      <c r="D35" s="101">
        <f t="shared" si="1"/>
        <v>0</v>
      </c>
      <c r="E35" s="103" t="str">
        <f>iferror(vlookup($A35, 'Player Game Stats'!$U:$AD, 4, False), "")</f>
        <v/>
      </c>
      <c r="F35" s="103" t="str">
        <f>iferror(vlookup($A35, 'Player Game Stats'!$U:$AD, 5, False), "")</f>
        <v/>
      </c>
      <c r="G35" s="103" t="str">
        <f>iferror(vlookup($A35, 'Player Game Stats'!$U:$AD, 6, False), "")</f>
        <v/>
      </c>
      <c r="H35" s="103" t="str">
        <f>iferror(vlookup($A35, 'Player Game Stats'!$U:$AD, 7, False), "")</f>
        <v/>
      </c>
      <c r="I35" s="103" t="str">
        <f>iferror(vlookup($A35, 'Player Game Stats'!$U:$AD, 8, False), "")</f>
        <v/>
      </c>
      <c r="J35" s="103" t="str">
        <f>iferror(vlookup($A35, 'Player Game Stats'!$U:$AD, 9, False), "")</f>
        <v/>
      </c>
      <c r="K35" s="102" t="str">
        <f>iferror(vlookup($A35, 'Player Game Stats'!$U:$AD, 10, False), "")</f>
        <v/>
      </c>
      <c r="L35" s="88">
        <f t="shared" si="2"/>
        <v>0</v>
      </c>
      <c r="M35" s="101">
        <f t="shared" si="3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83" t="str">
        <f>Draft!D55</f>
        <v/>
      </c>
      <c r="B36" s="99" t="str">
        <f>iferror(vlookup($A36, 'Player Game Stats'!$U:$AD, 2, False), "")</f>
        <v/>
      </c>
      <c r="C36" s="100" t="str">
        <f>iferror(vlookup($A36, 'Player Game Stats'!$U:$AD, 3, False), "")</f>
        <v/>
      </c>
      <c r="D36" s="101">
        <f t="shared" si="1"/>
        <v>0</v>
      </c>
      <c r="E36" s="101" t="str">
        <f>iferror(vlookup($A36, 'Player Game Stats'!$U:$AD, 4, False), "")</f>
        <v/>
      </c>
      <c r="F36" s="101" t="str">
        <f>iferror(vlookup($A36, 'Player Game Stats'!$U:$AD, 5, False), "")</f>
        <v/>
      </c>
      <c r="G36" s="101" t="str">
        <f>iferror(vlookup($A36, 'Player Game Stats'!$U:$AD, 6, False), "")</f>
        <v/>
      </c>
      <c r="H36" s="101" t="str">
        <f>iferror(vlookup($A36, 'Player Game Stats'!$U:$AD, 7, False), "")</f>
        <v/>
      </c>
      <c r="I36" s="101" t="str">
        <f>iferror(vlookup($A36, 'Player Game Stats'!$U:$AD, 8, False), "")</f>
        <v/>
      </c>
      <c r="J36" s="101" t="str">
        <f>iferror(vlookup($A36, 'Player Game Stats'!$U:$AD, 9, False), "")</f>
        <v/>
      </c>
      <c r="K36" s="100" t="str">
        <f>iferror(vlookup($A36, 'Player Game Stats'!$U:$AD, 10, False), "")</f>
        <v/>
      </c>
      <c r="L36" s="88">
        <f t="shared" si="2"/>
        <v>0</v>
      </c>
      <c r="M36" s="101">
        <f t="shared" si="3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91" t="str">
        <f>Draft!D56</f>
        <v/>
      </c>
      <c r="B37" s="104" t="str">
        <f>iferror(vlookup($A37, 'Player Game Stats'!$U:$AD, 2, False), "")</f>
        <v/>
      </c>
      <c r="C37" s="102" t="str">
        <f>iferror(vlookup($A37, 'Player Game Stats'!$U:$AD, 3, False), "")</f>
        <v/>
      </c>
      <c r="D37" s="101">
        <f t="shared" si="1"/>
        <v>0</v>
      </c>
      <c r="E37" s="103" t="str">
        <f>iferror(vlookup($A37, 'Player Game Stats'!$U:$AD, 4, False), "")</f>
        <v/>
      </c>
      <c r="F37" s="103" t="str">
        <f>iferror(vlookup($A37, 'Player Game Stats'!$U:$AD, 5, False), "")</f>
        <v/>
      </c>
      <c r="G37" s="103" t="str">
        <f>iferror(vlookup($A37, 'Player Game Stats'!$U:$AD, 6, False), "")</f>
        <v/>
      </c>
      <c r="H37" s="103" t="str">
        <f>iferror(vlookup($A37, 'Player Game Stats'!$U:$AD, 7, False), "")</f>
        <v/>
      </c>
      <c r="I37" s="103" t="str">
        <f>iferror(vlookup($A37, 'Player Game Stats'!$U:$AD, 8, False), "")</f>
        <v/>
      </c>
      <c r="J37" s="103" t="str">
        <f>iferror(vlookup($A37, 'Player Game Stats'!$U:$AD, 9, False), "")</f>
        <v/>
      </c>
      <c r="K37" s="102" t="str">
        <f>iferror(vlookup($A37, 'Player Game Stats'!$U:$AD, 10, False), "")</f>
        <v/>
      </c>
      <c r="L37" s="88">
        <f t="shared" si="2"/>
        <v>0</v>
      </c>
      <c r="M37" s="101">
        <f t="shared" si="3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3" t="str">
        <f>Draft!E44</f>
        <v>Leo</v>
      </c>
      <c r="B38" s="105">
        <f>iferror(vlookup($A38, 'Player Game Stats'!$AE:$AN, 2, False), "")</f>
        <v>7</v>
      </c>
      <c r="C38" s="106">
        <f>iferror(vlookup($A38, 'Player Game Stats'!$AE:$AN, 3, False), "")</f>
        <v>0.7142857143</v>
      </c>
      <c r="D38" s="107">
        <f t="shared" si="1"/>
        <v>17.41428571</v>
      </c>
      <c r="E38" s="107">
        <f>iferror(vlookup($A38, 'Player Game Stats'!$AE:$AN, 4, False), "")</f>
        <v>16.28571429</v>
      </c>
      <c r="F38" s="107">
        <f>iferror(vlookup($A38, 'Player Game Stats'!$AE:$AN, 5, False), "")</f>
        <v>5</v>
      </c>
      <c r="G38" s="107">
        <f>iferror(vlookup($A38, 'Player Game Stats'!$AE:$AN, 6, False), "")</f>
        <v>1.714285714</v>
      </c>
      <c r="H38" s="107">
        <f>iferror(vlookup($A38, 'Player Game Stats'!$AE:$AN, 7, False), "")</f>
        <v>8.714285714</v>
      </c>
      <c r="I38" s="107">
        <f>iferror(vlookup($A38, 'Player Game Stats'!$AE:$AN, 8, False), "")</f>
        <v>0.8571428571</v>
      </c>
      <c r="J38" s="107">
        <f>iferror(vlookup($A38, 'Player Game Stats'!$AE:$AN, 9, False), "")</f>
        <v>28.71428571</v>
      </c>
      <c r="K38" s="106">
        <f>iferror(vlookup($A38, 'Player Game Stats'!$AE:$AN, 10, False), "")</f>
        <v>0.3619047619</v>
      </c>
      <c r="L38" s="88">
        <f t="shared" si="2"/>
        <v>6.302312925</v>
      </c>
      <c r="M38" s="107">
        <f t="shared" si="3"/>
        <v>16.99174361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3" t="str">
        <f>Draft!E46</f>
        <v>Seb</v>
      </c>
      <c r="B39" s="105">
        <f>iferror(vlookup($A39, 'Player Game Stats'!$AE:$AN, 2, False), "")</f>
        <v>6</v>
      </c>
      <c r="C39" s="106">
        <f>iferror(vlookup($A39, 'Player Game Stats'!$AE:$AN, 3, False), "")</f>
        <v>0.6666666667</v>
      </c>
      <c r="D39" s="107">
        <f t="shared" si="1"/>
        <v>21.79166667</v>
      </c>
      <c r="E39" s="107">
        <f>iferror(vlookup($A39, 'Player Game Stats'!$AE:$AN, 4, False), "")</f>
        <v>20.33333333</v>
      </c>
      <c r="F39" s="107">
        <f>iferror(vlookup($A39, 'Player Game Stats'!$AE:$AN, 5, False), "")</f>
        <v>7.166666667</v>
      </c>
      <c r="G39" s="107">
        <f>iferror(vlookup($A39, 'Player Game Stats'!$AE:$AN, 6, False), "")</f>
        <v>2.833333333</v>
      </c>
      <c r="H39" s="107">
        <f>iferror(vlookup($A39, 'Player Game Stats'!$AE:$AN, 7, False), "")</f>
        <v>7.5</v>
      </c>
      <c r="I39" s="107">
        <f>iferror(vlookup($A39, 'Player Game Stats'!$AE:$AN, 8, False), "")</f>
        <v>2.833333333</v>
      </c>
      <c r="J39" s="107">
        <f>iferror(vlookup($A39, 'Player Game Stats'!$AE:$AN, 9, False), "")</f>
        <v>25.66666667</v>
      </c>
      <c r="K39" s="106">
        <f>iferror(vlookup($A39, 'Player Game Stats'!$AE:$AN, 10, False), "")</f>
        <v>0.4420289855</v>
      </c>
      <c r="L39" s="88">
        <f t="shared" si="2"/>
        <v>9.632548309</v>
      </c>
      <c r="M39" s="107">
        <f t="shared" si="3"/>
        <v>25.97043231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3" t="str">
        <f>Draft!E47</f>
        <v>Fritz</v>
      </c>
      <c r="B40" s="105">
        <f>iferror(vlookup($A40, 'Player Game Stats'!$AE:$AN, 2, False), "")</f>
        <v>6</v>
      </c>
      <c r="C40" s="106">
        <f>iferror(vlookup($A40, 'Player Game Stats'!$AE:$AN, 3, False), "")</f>
        <v>0.8333333333</v>
      </c>
      <c r="D40" s="107">
        <f t="shared" si="1"/>
        <v>18.125</v>
      </c>
      <c r="E40" s="107">
        <f>iferror(vlookup($A40, 'Player Game Stats'!$AE:$AN, 4, False), "")</f>
        <v>17</v>
      </c>
      <c r="F40" s="107">
        <f>iferror(vlookup($A40, 'Player Game Stats'!$AE:$AN, 5, False), "")</f>
        <v>6.5</v>
      </c>
      <c r="G40" s="107">
        <f>iferror(vlookup($A40, 'Player Game Stats'!$AE:$AN, 6, False), "")</f>
        <v>1.5</v>
      </c>
      <c r="H40" s="107">
        <f>iferror(vlookup($A40, 'Player Game Stats'!$AE:$AN, 7, False), "")</f>
        <v>7.5</v>
      </c>
      <c r="I40" s="107">
        <f>iferror(vlookup($A40, 'Player Game Stats'!$AE:$AN, 8, False), "")</f>
        <v>1.5</v>
      </c>
      <c r="J40" s="107">
        <f>iferror(vlookup($A40, 'Player Game Stats'!$AE:$AN, 9, False), "")</f>
        <v>27.16666667</v>
      </c>
      <c r="K40" s="106">
        <f>iferror(vlookup($A40, 'Player Game Stats'!$AE:$AN, 10, False), "")</f>
        <v>0.3849056604</v>
      </c>
      <c r="L40" s="88">
        <f t="shared" si="2"/>
        <v>6.976415094</v>
      </c>
      <c r="M40" s="107">
        <f t="shared" si="3"/>
        <v>18.80919879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3" t="str">
        <f>Draft!E48</f>
        <v>Arnav</v>
      </c>
      <c r="B41" s="105">
        <f>iferror(vlookup($A41, 'Player Game Stats'!$AE:$AN, 2, False), "")</f>
        <v>7</v>
      </c>
      <c r="C41" s="108">
        <f>iferror(vlookup($A41, 'Player Game Stats'!$AE:$AN, 3, False), "")</f>
        <v>0.7142857143</v>
      </c>
      <c r="D41" s="107">
        <f t="shared" si="1"/>
        <v>17.68571429</v>
      </c>
      <c r="E41" s="109">
        <f>iferror(vlookup($A41, 'Player Game Stats'!$AE:$AN, 4, False), "")</f>
        <v>16.57142857</v>
      </c>
      <c r="F41" s="109">
        <f>iferror(vlookup($A41, 'Player Game Stats'!$AE:$AN, 5, False), "")</f>
        <v>5.857142857</v>
      </c>
      <c r="G41" s="109">
        <f>iferror(vlookup($A41, 'Player Game Stats'!$AE:$AN, 6, False), "")</f>
        <v>1.714285714</v>
      </c>
      <c r="H41" s="109">
        <f>iferror(vlookup($A41, 'Player Game Stats'!$AE:$AN, 7, False), "")</f>
        <v>7.714285714</v>
      </c>
      <c r="I41" s="109">
        <f>iferror(vlookup($A41, 'Player Game Stats'!$AE:$AN, 8, False), "")</f>
        <v>1.285714286</v>
      </c>
      <c r="J41" s="109">
        <f>iferror(vlookup($A41, 'Player Game Stats'!$AE:$AN, 9, False), "")</f>
        <v>28</v>
      </c>
      <c r="K41" s="108">
        <f>iferror(vlookup($A41, 'Player Game Stats'!$AE:$AN, 10, False), "")</f>
        <v>0.3717948718</v>
      </c>
      <c r="L41" s="88">
        <f t="shared" si="2"/>
        <v>6.575457875</v>
      </c>
      <c r="M41" s="107">
        <f t="shared" si="3"/>
        <v>17.72817308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83" t="str">
        <f>Draft!E49</f>
        <v>Lanuza</v>
      </c>
      <c r="B42" s="105">
        <f>iferror(vlookup($A42, 'Player Game Stats'!$AE:$AN, 2, False), "")</f>
        <v>3</v>
      </c>
      <c r="C42" s="106">
        <f>iferror(vlookup($A42, 'Player Game Stats'!$AE:$AN, 3, False), "")</f>
        <v>0.3333333333</v>
      </c>
      <c r="D42" s="107">
        <f t="shared" si="1"/>
        <v>15.76666667</v>
      </c>
      <c r="E42" s="107">
        <f>iferror(vlookup($A42, 'Player Game Stats'!$AE:$AN, 4, False), "")</f>
        <v>15.66666667</v>
      </c>
      <c r="F42" s="107">
        <f>iferror(vlookup($A42, 'Player Game Stats'!$AE:$AN, 5, False), "")</f>
        <v>14.66666667</v>
      </c>
      <c r="G42" s="107">
        <f>iferror(vlookup($A42, 'Player Game Stats'!$AE:$AN, 6, False), "")</f>
        <v>0</v>
      </c>
      <c r="H42" s="107">
        <f>iferror(vlookup($A42, 'Player Game Stats'!$AE:$AN, 7, False), "")</f>
        <v>1</v>
      </c>
      <c r="I42" s="107">
        <f>iferror(vlookup($A42, 'Player Game Stats'!$AE:$AN, 8, False), "")</f>
        <v>0</v>
      </c>
      <c r="J42" s="107">
        <f>iferror(vlookup($A42, 'Player Game Stats'!$AE:$AN, 9, False), "")</f>
        <v>30.66666667</v>
      </c>
      <c r="K42" s="106">
        <f>iferror(vlookup($A42, 'Player Game Stats'!$AE:$AN, 10, False), "")</f>
        <v>0.3381294964</v>
      </c>
      <c r="L42" s="88">
        <f t="shared" si="2"/>
        <v>5.33117506</v>
      </c>
      <c r="M42" s="107">
        <f t="shared" si="3"/>
        <v>14.37344684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3" t="str">
        <f>Draft!E50</f>
        <v>Samos</v>
      </c>
      <c r="B43" s="105">
        <f>iferror(vlookup($A43, 'Player Game Stats'!$AE:$AN, 2, False), "")</f>
        <v>6</v>
      </c>
      <c r="C43" s="106">
        <f>iferror(vlookup($A43, 'Player Game Stats'!$AE:$AN, 3, False), "")</f>
        <v>0.8333333333</v>
      </c>
      <c r="D43" s="107">
        <f t="shared" si="1"/>
        <v>16.18333333</v>
      </c>
      <c r="E43" s="107">
        <f>iferror(vlookup($A43, 'Player Game Stats'!$AE:$AN, 4, False), "")</f>
        <v>15.5</v>
      </c>
      <c r="F43" s="107">
        <f>iferror(vlookup($A43, 'Player Game Stats'!$AE:$AN, 5, False), "")</f>
        <v>9</v>
      </c>
      <c r="G43" s="107">
        <f>iferror(vlookup($A43, 'Player Game Stats'!$AE:$AN, 6, False), "")</f>
        <v>1.333333333</v>
      </c>
      <c r="H43" s="107">
        <f>iferror(vlookup($A43, 'Player Game Stats'!$AE:$AN, 7, False), "")</f>
        <v>4.166666667</v>
      </c>
      <c r="I43" s="107">
        <f>iferror(vlookup($A43, 'Player Game Stats'!$AE:$AN, 8, False), "")</f>
        <v>1</v>
      </c>
      <c r="J43" s="107">
        <f>iferror(vlookup($A43, 'Player Game Stats'!$AE:$AN, 9, False), "")</f>
        <v>27.16666667</v>
      </c>
      <c r="K43" s="106">
        <f>iferror(vlookup($A43, 'Player Game Stats'!$AE:$AN, 10, False), "")</f>
        <v>0.36328125</v>
      </c>
      <c r="L43" s="88">
        <f t="shared" si="2"/>
        <v>5.879101563</v>
      </c>
      <c r="M43" s="107">
        <f t="shared" si="3"/>
        <v>15.85071824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83" t="str">
        <f>Draft!E51</f>
        <v>Kyi</v>
      </c>
      <c r="B44" s="105">
        <f>iferror(vlookup($A44, 'Player Game Stats'!$AE:$AN, 2, False), "")</f>
        <v>1</v>
      </c>
      <c r="C44" s="106">
        <f>iferror(vlookup($A44, 'Player Game Stats'!$AE:$AN, 3, False), "")</f>
        <v>1</v>
      </c>
      <c r="D44" s="107">
        <f t="shared" si="1"/>
        <v>15.3</v>
      </c>
      <c r="E44" s="107">
        <f>iferror(vlookup($A44, 'Player Game Stats'!$AE:$AN, 4, False), "")</f>
        <v>15</v>
      </c>
      <c r="F44" s="107">
        <f>iferror(vlookup($A44, 'Player Game Stats'!$AE:$AN, 5, False), "")</f>
        <v>12</v>
      </c>
      <c r="G44" s="107">
        <f>iferror(vlookup($A44, 'Player Game Stats'!$AE:$AN, 6, False), "")</f>
        <v>0</v>
      </c>
      <c r="H44" s="107">
        <f>iferror(vlookup($A44, 'Player Game Stats'!$AE:$AN, 7, False), "")</f>
        <v>3</v>
      </c>
      <c r="I44" s="107">
        <f>iferror(vlookup($A44, 'Player Game Stats'!$AE:$AN, 8, False), "")</f>
        <v>0</v>
      </c>
      <c r="J44" s="107">
        <f>iferror(vlookup($A44, 'Player Game Stats'!$AE:$AN, 9, False), "")</f>
        <v>29</v>
      </c>
      <c r="K44" s="106">
        <f>iferror(vlookup($A44, 'Player Game Stats'!$AE:$AN, 10, False), "")</f>
        <v>0.3409090909</v>
      </c>
      <c r="L44" s="88">
        <f t="shared" si="2"/>
        <v>5.215909091</v>
      </c>
      <c r="M44" s="107">
        <f t="shared" si="3"/>
        <v>14.06267684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3" t="str">
        <f>Draft!E52</f>
        <v>TC</v>
      </c>
      <c r="B45" s="105">
        <f>iferror(vlookup($A45, 'Player Game Stats'!$AE:$AN, 2, False), "")</f>
        <v>5</v>
      </c>
      <c r="C45" s="106">
        <f>iferror(vlookup($A45, 'Player Game Stats'!$AE:$AN, 3, False), "")</f>
        <v>0.8</v>
      </c>
      <c r="D45" s="107">
        <f t="shared" si="1"/>
        <v>13.98</v>
      </c>
      <c r="E45" s="107">
        <f>iferror(vlookup($A45, 'Player Game Stats'!$AE:$AN, 4, False), "")</f>
        <v>13.6</v>
      </c>
      <c r="F45" s="107">
        <f>iferror(vlookup($A45, 'Player Game Stats'!$AE:$AN, 5, False), "")</f>
        <v>9.8</v>
      </c>
      <c r="G45" s="107">
        <f>iferror(vlookup($A45, 'Player Game Stats'!$AE:$AN, 6, False), "")</f>
        <v>0</v>
      </c>
      <c r="H45" s="107">
        <f>iferror(vlookup($A45, 'Player Game Stats'!$AE:$AN, 7, False), "")</f>
        <v>3.8</v>
      </c>
      <c r="I45" s="107">
        <f>iferror(vlookup($A45, 'Player Game Stats'!$AE:$AN, 8, False), "")</f>
        <v>0</v>
      </c>
      <c r="J45" s="107">
        <f>iferror(vlookup($A45, 'Player Game Stats'!$AE:$AN, 9, False), "")</f>
        <v>27.2</v>
      </c>
      <c r="K45" s="106">
        <f>iferror(vlookup($A45, 'Player Game Stats'!$AE:$AN, 10, False), "")</f>
        <v>0.3333333333</v>
      </c>
      <c r="L45" s="88">
        <f t="shared" si="2"/>
        <v>4.66</v>
      </c>
      <c r="M45" s="107">
        <f t="shared" si="3"/>
        <v>12.56388348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3" t="str">
        <f>Draft!E53</f>
        <v>Adi</v>
      </c>
      <c r="B46" s="105">
        <f>iferror(vlookup($A46, 'Player Game Stats'!$AE:$AN, 2, False), "")</f>
        <v>1</v>
      </c>
      <c r="C46" s="106">
        <f>iferror(vlookup($A46, 'Player Game Stats'!$AE:$AN, 3, False), "")</f>
        <v>0</v>
      </c>
      <c r="D46" s="107">
        <f t="shared" si="1"/>
        <v>20.2</v>
      </c>
      <c r="E46" s="107">
        <f>iferror(vlookup($A46, 'Player Game Stats'!$AE:$AN, 4, False), "")</f>
        <v>19</v>
      </c>
      <c r="F46" s="107">
        <f>iferror(vlookup($A46, 'Player Game Stats'!$AE:$AN, 5, False), "")</f>
        <v>8</v>
      </c>
      <c r="G46" s="107">
        <f>iferror(vlookup($A46, 'Player Game Stats'!$AE:$AN, 6, False), "")</f>
        <v>0</v>
      </c>
      <c r="H46" s="107">
        <f>iferror(vlookup($A46, 'Player Game Stats'!$AE:$AN, 7, False), "")</f>
        <v>10</v>
      </c>
      <c r="I46" s="107">
        <f>iferror(vlookup($A46, 'Player Game Stats'!$AE:$AN, 8, False), "")</f>
        <v>1</v>
      </c>
      <c r="J46" s="107">
        <f>iferror(vlookup($A46, 'Player Game Stats'!$AE:$AN, 9, False), "")</f>
        <v>30</v>
      </c>
      <c r="K46" s="106">
        <f>iferror(vlookup($A46, 'Player Game Stats'!$AE:$AN, 10, False), "")</f>
        <v>0.387755102</v>
      </c>
      <c r="L46" s="88">
        <f t="shared" si="2"/>
        <v>7.832653061</v>
      </c>
      <c r="M46" s="107">
        <f t="shared" si="3"/>
        <v>21.11771253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3" t="str">
        <f>Draft!E54</f>
        <v/>
      </c>
      <c r="B47" s="105" t="str">
        <f>iferror(vlookup($A47, 'Player Game Stats'!$AE:$AN, 2, False), "")</f>
        <v/>
      </c>
      <c r="C47" s="108" t="str">
        <f>iferror(vlookup($A47, 'Player Game Stats'!$AE:$AN, 3, False), "")</f>
        <v/>
      </c>
      <c r="D47" s="107">
        <f t="shared" si="1"/>
        <v>0</v>
      </c>
      <c r="E47" s="109" t="str">
        <f>iferror(vlookup($A47, 'Player Game Stats'!$AE:$AN, 4, False), "")</f>
        <v/>
      </c>
      <c r="F47" s="109" t="str">
        <f>iferror(vlookup($A47, 'Player Game Stats'!$AE:$AN, 5, False), "")</f>
        <v/>
      </c>
      <c r="G47" s="109" t="str">
        <f>iferror(vlookup($A47, 'Player Game Stats'!$AE:$AN, 6, False), "")</f>
        <v/>
      </c>
      <c r="H47" s="109" t="str">
        <f>iferror(vlookup($A47, 'Player Game Stats'!$AE:$AN, 7, False), "")</f>
        <v/>
      </c>
      <c r="I47" s="109" t="str">
        <f>iferror(vlookup($A47, 'Player Game Stats'!$AE:$AN, 8, False), "")</f>
        <v/>
      </c>
      <c r="J47" s="109" t="str">
        <f>iferror(vlookup($A47, 'Player Game Stats'!$AE:$AN, 9, False), "")</f>
        <v/>
      </c>
      <c r="K47" s="108" t="str">
        <f>iferror(vlookup($A47, 'Player Game Stats'!$AE:$AN, 10, False), "")</f>
        <v/>
      </c>
      <c r="L47" s="88">
        <f t="shared" si="2"/>
        <v>0</v>
      </c>
      <c r="M47" s="107">
        <f t="shared" si="3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3" t="str">
        <f>Draft!E55</f>
        <v/>
      </c>
      <c r="B48" s="105" t="str">
        <f>iferror(vlookup($A48, 'Player Game Stats'!$AE:$AN, 2, False), "")</f>
        <v/>
      </c>
      <c r="C48" s="106" t="str">
        <f>iferror(vlookup($A48, 'Player Game Stats'!$AE:$AN, 3, False), "")</f>
        <v/>
      </c>
      <c r="D48" s="107">
        <f t="shared" si="1"/>
        <v>0</v>
      </c>
      <c r="E48" s="107" t="str">
        <f>iferror(vlookup($A48, 'Player Game Stats'!$AE:$AN, 4, False), "")</f>
        <v/>
      </c>
      <c r="F48" s="107" t="str">
        <f>iferror(vlookup($A48, 'Player Game Stats'!$AE:$AN, 5, False), "")</f>
        <v/>
      </c>
      <c r="G48" s="107" t="str">
        <f>iferror(vlookup($A48, 'Player Game Stats'!$AE:$AN, 6, False), "")</f>
        <v/>
      </c>
      <c r="H48" s="107" t="str">
        <f>iferror(vlookup($A48, 'Player Game Stats'!$AE:$AN, 7, False), "")</f>
        <v/>
      </c>
      <c r="I48" s="107" t="str">
        <f>iferror(vlookup($A48, 'Player Game Stats'!$AE:$AN, 8, False), "")</f>
        <v/>
      </c>
      <c r="J48" s="107" t="str">
        <f>iferror(vlookup($A48, 'Player Game Stats'!$AE:$AN, 9, False), "")</f>
        <v/>
      </c>
      <c r="K48" s="106" t="str">
        <f>iferror(vlookup($A48, 'Player Game Stats'!$AE:$AN, 10, False), "")</f>
        <v/>
      </c>
      <c r="L48" s="88">
        <f t="shared" si="2"/>
        <v>0</v>
      </c>
      <c r="M48" s="107">
        <f t="shared" si="3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91" t="str">
        <f>Draft!E56</f>
        <v/>
      </c>
      <c r="B49" s="110" t="str">
        <f>iferror(vlookup($A49, 'Player Game Stats'!$AE:$AN, 2, False), "")</f>
        <v/>
      </c>
      <c r="C49" s="108" t="str">
        <f>iferror(vlookup($A49, 'Player Game Stats'!$AE:$AN, 3, False), "")</f>
        <v/>
      </c>
      <c r="D49" s="107">
        <f t="shared" si="1"/>
        <v>0</v>
      </c>
      <c r="E49" s="109" t="str">
        <f>iferror(vlookup($A49, 'Player Game Stats'!$AE:$AN, 4, False), "")</f>
        <v/>
      </c>
      <c r="F49" s="109" t="str">
        <f>iferror(vlookup($A49, 'Player Game Stats'!$AE:$AN, 5, False), "")</f>
        <v/>
      </c>
      <c r="G49" s="109" t="str">
        <f>iferror(vlookup($A49, 'Player Game Stats'!$AE:$AN, 6, False), "")</f>
        <v/>
      </c>
      <c r="H49" s="109" t="str">
        <f>iferror(vlookup($A49, 'Player Game Stats'!$AE:$AN, 7, False), "")</f>
        <v/>
      </c>
      <c r="I49" s="109" t="str">
        <f>iferror(vlookup($A49, 'Player Game Stats'!$AE:$AN, 8, False), "")</f>
        <v/>
      </c>
      <c r="J49" s="109" t="str">
        <f>iferror(vlookup($A49, 'Player Game Stats'!$AE:$AN, 9, False), "")</f>
        <v/>
      </c>
      <c r="K49" s="108" t="str">
        <f>iferror(vlookup($A49, 'Player Game Stats'!$AE:$AN, 10, False), "")</f>
        <v/>
      </c>
      <c r="L49" s="88">
        <f t="shared" si="2"/>
        <v>0</v>
      </c>
      <c r="M49" s="107">
        <f t="shared" si="3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3" t="str">
        <f>Draft!F44</f>
        <v>Maas</v>
      </c>
      <c r="B50" s="111">
        <f>iferror(vlookup($A50, 'Player Game Stats'!$AO:$AX, 2, False), "")</f>
        <v>5</v>
      </c>
      <c r="C50" s="112">
        <f>iferror(vlookup($A50, 'Player Game Stats'!$AO:$AX, 3, False), "")</f>
        <v>0.2</v>
      </c>
      <c r="D50" s="113">
        <f t="shared" si="1"/>
        <v>18.82</v>
      </c>
      <c r="E50" s="113">
        <f>iferror(vlookup($A50, 'Player Game Stats'!$AO:$AX, 4, False), "")</f>
        <v>17.4</v>
      </c>
      <c r="F50" s="113">
        <f>iferror(vlookup($A50, 'Player Game Stats'!$AO:$AX, 5, False), "")</f>
        <v>5</v>
      </c>
      <c r="G50" s="113">
        <f>iferror(vlookup($A50, 'Player Game Stats'!$AO:$AX, 6, False), "")</f>
        <v>2</v>
      </c>
      <c r="H50" s="113">
        <f>iferror(vlookup($A50, 'Player Game Stats'!$AO:$AX, 7, False), "")</f>
        <v>7.6</v>
      </c>
      <c r="I50" s="113">
        <f>iferror(vlookup($A50, 'Player Game Stats'!$AO:$AX, 8, False), "")</f>
        <v>2.8</v>
      </c>
      <c r="J50" s="113">
        <f>iferror(vlookup($A50, 'Player Game Stats'!$AO:$AX, 9, False), "")</f>
        <v>28.4</v>
      </c>
      <c r="K50" s="112">
        <f>iferror(vlookup($A50, 'Player Game Stats'!$AO:$AX, 10, False), "")</f>
        <v>0.3799126638</v>
      </c>
      <c r="L50" s="88">
        <f t="shared" si="2"/>
        <v>7.149956332</v>
      </c>
      <c r="M50" s="113">
        <f t="shared" si="3"/>
        <v>19.27708546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3" t="str">
        <f>Draft!F46</f>
        <v>Hawkins</v>
      </c>
      <c r="B51" s="111">
        <f>iferror(vlookup($A51, 'Player Game Stats'!$AO:$AX, 2, False), "")</f>
        <v>7</v>
      </c>
      <c r="C51" s="112">
        <f>iferror(vlookup($A51, 'Player Game Stats'!$AO:$AX, 3, False), "")</f>
        <v>0.1428571429</v>
      </c>
      <c r="D51" s="113">
        <f t="shared" si="1"/>
        <v>21.53571429</v>
      </c>
      <c r="E51" s="113">
        <f>iferror(vlookup($A51, 'Player Game Stats'!$AO:$AX, 4, False), "")</f>
        <v>20.71428571</v>
      </c>
      <c r="F51" s="113">
        <f>iferror(vlookup($A51, 'Player Game Stats'!$AO:$AX, 5, False), "")</f>
        <v>12.85714286</v>
      </c>
      <c r="G51" s="113">
        <f>iferror(vlookup($A51, 'Player Game Stats'!$AO:$AX, 6, False), "")</f>
        <v>1.571428571</v>
      </c>
      <c r="H51" s="113">
        <f>iferror(vlookup($A51, 'Player Game Stats'!$AO:$AX, 7, False), "")</f>
        <v>5.142857143</v>
      </c>
      <c r="I51" s="113">
        <f>iferror(vlookup($A51, 'Player Game Stats'!$AO:$AX, 8, False), "")</f>
        <v>1.142857143</v>
      </c>
      <c r="J51" s="113">
        <f>iferror(vlookup($A51, 'Player Game Stats'!$AO:$AX, 9, False), "")</f>
        <v>27.14285714</v>
      </c>
      <c r="K51" s="112">
        <f>iferror(vlookup($A51, 'Player Game Stats'!$AO:$AX, 10, False), "")</f>
        <v>0.4328358209</v>
      </c>
      <c r="L51" s="88">
        <f t="shared" si="2"/>
        <v>9.321428571</v>
      </c>
      <c r="M51" s="113">
        <f t="shared" si="3"/>
        <v>25.13161855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83" t="str">
        <f>Draft!F47</f>
        <v>Grish</v>
      </c>
      <c r="B52" s="111">
        <f>iferror(vlookup($A52, 'Player Game Stats'!$AO:$AX, 2, False), "")</f>
        <v>7</v>
      </c>
      <c r="C52" s="112">
        <f>iferror(vlookup($A52, 'Player Game Stats'!$AO:$AX, 3, False), "")</f>
        <v>0.1428571429</v>
      </c>
      <c r="D52" s="113">
        <f t="shared" si="1"/>
        <v>15.09285714</v>
      </c>
      <c r="E52" s="113">
        <f>iferror(vlookup($A52, 'Player Game Stats'!$AO:$AX, 4, False), "")</f>
        <v>14.14285714</v>
      </c>
      <c r="F52" s="113">
        <f>iferror(vlookup($A52, 'Player Game Stats'!$AO:$AX, 5, False), "")</f>
        <v>5.142857143</v>
      </c>
      <c r="G52" s="113">
        <f>iferror(vlookup($A52, 'Player Game Stats'!$AO:$AX, 6, False), "")</f>
        <v>0.1428571429</v>
      </c>
      <c r="H52" s="113">
        <f>iferror(vlookup($A52, 'Player Game Stats'!$AO:$AX, 7, False), "")</f>
        <v>8.285714286</v>
      </c>
      <c r="I52" s="113">
        <f>iferror(vlookup($A52, 'Player Game Stats'!$AO:$AX, 8, False), "")</f>
        <v>0.5714285714</v>
      </c>
      <c r="J52" s="113">
        <f>iferror(vlookup($A52, 'Player Game Stats'!$AO:$AX, 9, False), "")</f>
        <v>28.57142857</v>
      </c>
      <c r="K52" s="112">
        <f>iferror(vlookup($A52, 'Player Game Stats'!$AO:$AX, 10, False), "")</f>
        <v>0.3311036789</v>
      </c>
      <c r="L52" s="88">
        <f t="shared" si="2"/>
        <v>4.997300526</v>
      </c>
      <c r="M52" s="113">
        <f t="shared" si="3"/>
        <v>13.47328359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3" t="str">
        <f>Draft!F48</f>
        <v>Rockett</v>
      </c>
      <c r="B53" s="111">
        <f>iferror(vlookup($A53, 'Player Game Stats'!$AO:$AX, 2, False), "")</f>
        <v>6</v>
      </c>
      <c r="C53" s="112">
        <f>iferror(vlookup($A53, 'Player Game Stats'!$AO:$AX, 3, False), "")</f>
        <v>0.1666666667</v>
      </c>
      <c r="D53" s="113">
        <f t="shared" si="1"/>
        <v>15</v>
      </c>
      <c r="E53" s="113">
        <f>iferror(vlookup($A53, 'Player Game Stats'!$AO:$AX, 4, False), "")</f>
        <v>14</v>
      </c>
      <c r="F53" s="113">
        <f>iferror(vlookup($A53, 'Player Game Stats'!$AO:$AX, 5, False), "")</f>
        <v>5</v>
      </c>
      <c r="G53" s="113">
        <f>iferror(vlookup($A53, 'Player Game Stats'!$AO:$AX, 6, False), "")</f>
        <v>0.6666666667</v>
      </c>
      <c r="H53" s="113">
        <f>iferror(vlookup($A53, 'Player Game Stats'!$AO:$AX, 7, False), "")</f>
        <v>7</v>
      </c>
      <c r="I53" s="113">
        <f>iferror(vlookup($A53, 'Player Game Stats'!$AO:$AX, 8, False), "")</f>
        <v>1.333333333</v>
      </c>
      <c r="J53" s="113">
        <f>iferror(vlookup($A53, 'Player Game Stats'!$AO:$AX, 9, False), "")</f>
        <v>29.5</v>
      </c>
      <c r="K53" s="112">
        <f>iferror(vlookup($A53, 'Player Game Stats'!$AO:$AX, 10, False), "")</f>
        <v>0.3218390805</v>
      </c>
      <c r="L53" s="88">
        <f t="shared" si="2"/>
        <v>4.827586207</v>
      </c>
      <c r="M53" s="113">
        <f t="shared" si="3"/>
        <v>13.01571472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83" t="str">
        <f>Draft!F49</f>
        <v>Du</v>
      </c>
      <c r="B54" s="111">
        <f>iferror(vlookup($A54, 'Player Game Stats'!$AO:$AX, 2, False), "")</f>
        <v>4</v>
      </c>
      <c r="C54" s="112">
        <f>iferror(vlookup($A54, 'Player Game Stats'!$AO:$AX, 3, False), "")</f>
        <v>0</v>
      </c>
      <c r="D54" s="113">
        <f t="shared" si="1"/>
        <v>14</v>
      </c>
      <c r="E54" s="113">
        <f>iferror(vlookup($A54, 'Player Game Stats'!$AO:$AX, 4, False), "")</f>
        <v>13.25</v>
      </c>
      <c r="F54" s="113">
        <f>iferror(vlookup($A54, 'Player Game Stats'!$AO:$AX, 5, False), "")</f>
        <v>6</v>
      </c>
      <c r="G54" s="113">
        <f>iferror(vlookup($A54, 'Player Game Stats'!$AO:$AX, 6, False), "")</f>
        <v>0</v>
      </c>
      <c r="H54" s="113">
        <f>iferror(vlookup($A54, 'Player Game Stats'!$AO:$AX, 7, False), "")</f>
        <v>7</v>
      </c>
      <c r="I54" s="113">
        <f>iferror(vlookup($A54, 'Player Game Stats'!$AO:$AX, 8, False), "")</f>
        <v>0.25</v>
      </c>
      <c r="J54" s="113">
        <f>iferror(vlookup($A54, 'Player Game Stats'!$AO:$AX, 9, False), "")</f>
        <v>30</v>
      </c>
      <c r="K54" s="112">
        <f>iferror(vlookup($A54, 'Player Game Stats'!$AO:$AX, 10, False), "")</f>
        <v>0.3063583815</v>
      </c>
      <c r="L54" s="88">
        <f t="shared" si="2"/>
        <v>4.289017341</v>
      </c>
      <c r="M54" s="113">
        <f t="shared" si="3"/>
        <v>11.56367256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3" t="str">
        <f>Draft!F50</f>
        <v>Raymond</v>
      </c>
      <c r="B55" s="111">
        <f>iferror(vlookup($A55, 'Player Game Stats'!$AO:$AX, 2, False), "")</f>
        <v>2</v>
      </c>
      <c r="C55" s="112">
        <f>iferror(vlookup($A55, 'Player Game Stats'!$AO:$AX, 3, False), "")</f>
        <v>0</v>
      </c>
      <c r="D55" s="113">
        <f t="shared" si="1"/>
        <v>12.75</v>
      </c>
      <c r="E55" s="113">
        <f>iferror(vlookup($A55, 'Player Game Stats'!$AO:$AX, 4, False), "")</f>
        <v>12</v>
      </c>
      <c r="F55" s="113">
        <f>iferror(vlookup($A55, 'Player Game Stats'!$AO:$AX, 5, False), "")</f>
        <v>6</v>
      </c>
      <c r="G55" s="113">
        <f>iferror(vlookup($A55, 'Player Game Stats'!$AO:$AX, 6, False), "")</f>
        <v>0</v>
      </c>
      <c r="H55" s="113">
        <f>iferror(vlookup($A55, 'Player Game Stats'!$AO:$AX, 7, False), "")</f>
        <v>4.5</v>
      </c>
      <c r="I55" s="113">
        <f>iferror(vlookup($A55, 'Player Game Stats'!$AO:$AX, 8, False), "")</f>
        <v>1.5</v>
      </c>
      <c r="J55" s="113">
        <f>iferror(vlookup($A55, 'Player Game Stats'!$AO:$AX, 9, False), "")</f>
        <v>32.5</v>
      </c>
      <c r="K55" s="112">
        <f>iferror(vlookup($A55, 'Player Game Stats'!$AO:$AX, 10, False), "")</f>
        <v>0.2696629213</v>
      </c>
      <c r="L55" s="88">
        <f t="shared" si="2"/>
        <v>3.438202247</v>
      </c>
      <c r="M55" s="113">
        <f t="shared" si="3"/>
        <v>9.269779488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3" t="str">
        <f>Draft!F51</f>
        <v>Derek</v>
      </c>
      <c r="B56" s="111">
        <f>iferror(vlookup($A56, 'Player Game Stats'!$AO:$AX, 2, False), "")</f>
        <v>5</v>
      </c>
      <c r="C56" s="112">
        <f>iferror(vlookup($A56, 'Player Game Stats'!$AO:$AX, 3, False), "")</f>
        <v>0.2</v>
      </c>
      <c r="D56" s="113">
        <f t="shared" si="1"/>
        <v>16.08</v>
      </c>
      <c r="E56" s="113">
        <f>iferror(vlookup($A56, 'Player Game Stats'!$AO:$AX, 4, False), "")</f>
        <v>15.6</v>
      </c>
      <c r="F56" s="113">
        <f>iferror(vlookup($A56, 'Player Game Stats'!$AO:$AX, 5, False), "")</f>
        <v>10.6</v>
      </c>
      <c r="G56" s="113">
        <f>iferror(vlookup($A56, 'Player Game Stats'!$AO:$AX, 6, False), "")</f>
        <v>0.8</v>
      </c>
      <c r="H56" s="113">
        <f>iferror(vlookup($A56, 'Player Game Stats'!$AO:$AX, 7, False), "")</f>
        <v>4</v>
      </c>
      <c r="I56" s="113">
        <f>iferror(vlookup($A56, 'Player Game Stats'!$AO:$AX, 8, False), "")</f>
        <v>0.2</v>
      </c>
      <c r="J56" s="113">
        <f>iferror(vlookup($A56, 'Player Game Stats'!$AO:$AX, 9, False), "")</f>
        <v>28.6</v>
      </c>
      <c r="K56" s="112">
        <f>iferror(vlookup($A56, 'Player Game Stats'!$AO:$AX, 10, False), "")</f>
        <v>0.3529411765</v>
      </c>
      <c r="L56" s="88">
        <f t="shared" si="2"/>
        <v>5.675294118</v>
      </c>
      <c r="M56" s="113">
        <f t="shared" si="3"/>
        <v>15.30123047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3" t="str">
        <f>Draft!F52</f>
        <v>Neo</v>
      </c>
      <c r="B57" s="111">
        <f>iferror(vlookup($A57, 'Player Game Stats'!$AO:$AX, 2, False), "")</f>
        <v>2</v>
      </c>
      <c r="C57" s="112">
        <f>iferror(vlookup($A57, 'Player Game Stats'!$AO:$AX, 3, False), "")</f>
        <v>0</v>
      </c>
      <c r="D57" s="113">
        <f t="shared" si="1"/>
        <v>9.3</v>
      </c>
      <c r="E57" s="113">
        <f>iferror(vlookup($A57, 'Player Game Stats'!$AO:$AX, 4, False), "")</f>
        <v>9</v>
      </c>
      <c r="F57" s="113">
        <f>iferror(vlookup($A57, 'Player Game Stats'!$AO:$AX, 5, False), "")</f>
        <v>6.5</v>
      </c>
      <c r="G57" s="113">
        <f>iferror(vlookup($A57, 'Player Game Stats'!$AO:$AX, 6, False), "")</f>
        <v>0</v>
      </c>
      <c r="H57" s="113">
        <f>iferror(vlookup($A57, 'Player Game Stats'!$AO:$AX, 7, False), "")</f>
        <v>2</v>
      </c>
      <c r="I57" s="113">
        <f>iferror(vlookup($A57, 'Player Game Stats'!$AO:$AX, 8, False), "")</f>
        <v>0.5</v>
      </c>
      <c r="J57" s="113">
        <f>iferror(vlookup($A57, 'Player Game Stats'!$AO:$AX, 9, False), "")</f>
        <v>26</v>
      </c>
      <c r="K57" s="112">
        <f>iferror(vlookup($A57, 'Player Game Stats'!$AO:$AX, 10, False), "")</f>
        <v>0.2571428571</v>
      </c>
      <c r="L57" s="88">
        <f t="shared" si="2"/>
        <v>2.391428571</v>
      </c>
      <c r="M57" s="113">
        <f t="shared" si="3"/>
        <v>6.447560069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83" t="str">
        <f>Draft!F53</f>
        <v>Brendan</v>
      </c>
      <c r="B58" s="111">
        <f>iferror(vlookup($A58, 'Player Game Stats'!$AO:$AX, 2, False), "")</f>
        <v>3</v>
      </c>
      <c r="C58" s="114">
        <f>iferror(vlookup($A58, 'Player Game Stats'!$AO:$AX, 3, False), "")</f>
        <v>0.3333333333</v>
      </c>
      <c r="D58" s="113">
        <f t="shared" si="1"/>
        <v>16.5</v>
      </c>
      <c r="E58" s="115">
        <f>iferror(vlookup($A58, 'Player Game Stats'!$AO:$AX, 4, False), "")</f>
        <v>15.33333333</v>
      </c>
      <c r="F58" s="115">
        <f>iferror(vlookup($A58, 'Player Game Stats'!$AO:$AX, 5, False), "")</f>
        <v>5.666666667</v>
      </c>
      <c r="G58" s="115">
        <f>iferror(vlookup($A58, 'Player Game Stats'!$AO:$AX, 6, False), "")</f>
        <v>0</v>
      </c>
      <c r="H58" s="115">
        <f>iferror(vlookup($A58, 'Player Game Stats'!$AO:$AX, 7, False), "")</f>
        <v>7.666666667</v>
      </c>
      <c r="I58" s="115">
        <f>iferror(vlookup($A58, 'Player Game Stats'!$AO:$AX, 8, False), "")</f>
        <v>2</v>
      </c>
      <c r="J58" s="115">
        <f>iferror(vlookup($A58, 'Player Game Stats'!$AO:$AX, 9, False), "")</f>
        <v>26.66666667</v>
      </c>
      <c r="K58" s="114">
        <f>iferror(vlookup($A58, 'Player Game Stats'!$AO:$AX, 10, False), "")</f>
        <v>0.3650793651</v>
      </c>
      <c r="L58" s="88">
        <f t="shared" si="2"/>
        <v>6.023809524</v>
      </c>
      <c r="M58" s="113">
        <f t="shared" si="3"/>
        <v>16.24086716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3" t="str">
        <f>Draft!F54</f>
        <v>Hanono</v>
      </c>
      <c r="B59" s="111">
        <f>iferror(vlookup($A59, 'Player Game Stats'!$AO:$AX, 2, False), "")</f>
        <v>1</v>
      </c>
      <c r="C59" s="114">
        <f>iferror(vlookup($A59, 'Player Game Stats'!$AO:$AX, 3, False), "")</f>
        <v>0</v>
      </c>
      <c r="D59" s="113">
        <f t="shared" si="1"/>
        <v>12.7</v>
      </c>
      <c r="E59" s="115">
        <f>iferror(vlookup($A59, 'Player Game Stats'!$AO:$AX, 4, False), "")</f>
        <v>12</v>
      </c>
      <c r="F59" s="115">
        <f>iferror(vlookup($A59, 'Player Game Stats'!$AO:$AX, 5, False), "")</f>
        <v>6</v>
      </c>
      <c r="G59" s="115">
        <f>iferror(vlookup($A59, 'Player Game Stats'!$AO:$AX, 6, False), "")</f>
        <v>0</v>
      </c>
      <c r="H59" s="115">
        <f>iferror(vlookup($A59, 'Player Game Stats'!$AO:$AX, 7, False), "")</f>
        <v>5</v>
      </c>
      <c r="I59" s="115">
        <f>iferror(vlookup($A59, 'Player Game Stats'!$AO:$AX, 8, False), "")</f>
        <v>1</v>
      </c>
      <c r="J59" s="115">
        <f>iferror(vlookup($A59, 'Player Game Stats'!$AO:$AX, 9, False), "")</f>
        <v>27</v>
      </c>
      <c r="K59" s="114">
        <f>iferror(vlookup($A59, 'Player Game Stats'!$AO:$AX, 10, False), "")</f>
        <v>0.3076923077</v>
      </c>
      <c r="L59" s="88">
        <f t="shared" si="2"/>
        <v>3.907692308</v>
      </c>
      <c r="M59" s="113">
        <f t="shared" si="3"/>
        <v>10.53557743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83" t="str">
        <f>Draft!F55</f>
        <v/>
      </c>
      <c r="B60" s="111" t="str">
        <f>iferror(vlookup($A60, 'Player Game Stats'!$AO:$AX, 2, False), "")</f>
        <v/>
      </c>
      <c r="C60" s="114" t="str">
        <f>iferror(vlookup($A60, 'Player Game Stats'!$AO:$AX, 3, False), "")</f>
        <v/>
      </c>
      <c r="D60" s="113">
        <f t="shared" si="1"/>
        <v>0</v>
      </c>
      <c r="E60" s="115" t="str">
        <f>iferror(vlookup($A60, 'Player Game Stats'!$AO:$AX, 4, False), "")</f>
        <v/>
      </c>
      <c r="F60" s="115" t="str">
        <f>iferror(vlookup($A60, 'Player Game Stats'!$AO:$AX, 5, False), "")</f>
        <v/>
      </c>
      <c r="G60" s="115" t="str">
        <f>iferror(vlookup($A60, 'Player Game Stats'!$AO:$AX, 6, False), "")</f>
        <v/>
      </c>
      <c r="H60" s="115" t="str">
        <f>iferror(vlookup($A60, 'Player Game Stats'!$AO:$AX, 7, False), "")</f>
        <v/>
      </c>
      <c r="I60" s="115" t="str">
        <f>iferror(vlookup($A60, 'Player Game Stats'!$AO:$AX, 8, False), "")</f>
        <v/>
      </c>
      <c r="J60" s="115" t="str">
        <f>iferror(vlookup($A60, 'Player Game Stats'!$AO:$AX, 9, False), "")</f>
        <v/>
      </c>
      <c r="K60" s="114" t="str">
        <f>iferror(vlookup($A60, 'Player Game Stats'!$AO:$AX, 10, False), "")</f>
        <v/>
      </c>
      <c r="L60" s="88">
        <f t="shared" si="2"/>
        <v>0</v>
      </c>
      <c r="M60" s="113">
        <f t="shared" si="3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1" t="str">
        <f>Draft!F56</f>
        <v/>
      </c>
      <c r="B61" s="116" t="str">
        <f>iferror(vlookup($A61, 'Player Game Stats'!$AO:$AX, 2, False), "")</f>
        <v/>
      </c>
      <c r="C61" s="114" t="str">
        <f>iferror(vlookup($A61, 'Player Game Stats'!$AO:$AX, 3, False), "")</f>
        <v/>
      </c>
      <c r="D61" s="113">
        <f t="shared" si="1"/>
        <v>0</v>
      </c>
      <c r="E61" s="115" t="str">
        <f>iferror(vlookup($A61, 'Player Game Stats'!$AO:$AX, 4, False), "")</f>
        <v/>
      </c>
      <c r="F61" s="115" t="str">
        <f>iferror(vlookup($A61, 'Player Game Stats'!$AO:$AX, 5, False), "")</f>
        <v/>
      </c>
      <c r="G61" s="115" t="str">
        <f>iferror(vlookup($A61, 'Player Game Stats'!$AO:$AX, 6, False), "")</f>
        <v/>
      </c>
      <c r="H61" s="115" t="str">
        <f>iferror(vlookup($A61, 'Player Game Stats'!$AO:$AX, 7, False), "")</f>
        <v/>
      </c>
      <c r="I61" s="115" t="str">
        <f>iferror(vlookup($A61, 'Player Game Stats'!$AO:$AX, 8, False), "")</f>
        <v/>
      </c>
      <c r="J61" s="115" t="str">
        <f>iferror(vlookup($A61, 'Player Game Stats'!$AO:$AX, 9, False), "")</f>
        <v/>
      </c>
      <c r="K61" s="114" t="str">
        <f>iferror(vlookup($A61, 'Player Game Stats'!$AO:$AX, 10, False), "")</f>
        <v/>
      </c>
      <c r="L61" s="88">
        <f t="shared" si="2"/>
        <v>0</v>
      </c>
      <c r="M61" s="113">
        <f t="shared" si="3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83" t="str">
        <f>Draft!G44</f>
        <v>BXu</v>
      </c>
      <c r="B62" s="117">
        <f>iferror(vlookup($A62, 'Player Game Stats'!$AY:$BH, 2, False), "")</f>
        <v>6</v>
      </c>
      <c r="C62" s="118">
        <f>iferror(vlookup($A62, 'Player Game Stats'!$AY:$BH, 3, False), "")</f>
        <v>0.6666666667</v>
      </c>
      <c r="D62" s="119">
        <f t="shared" si="1"/>
        <v>16.63333333</v>
      </c>
      <c r="E62" s="119">
        <f>iferror(vlookup($A62, 'Player Game Stats'!$AY:$BH, 4, False), "")</f>
        <v>15.5</v>
      </c>
      <c r="F62" s="119">
        <f>iferror(vlookup($A62, 'Player Game Stats'!$AY:$BH, 5, False), "")</f>
        <v>5.166666667</v>
      </c>
      <c r="G62" s="119">
        <f>iferror(vlookup($A62, 'Player Game Stats'!$AY:$BH, 6, False), "")</f>
        <v>1.666666667</v>
      </c>
      <c r="H62" s="119">
        <f>iferror(vlookup($A62, 'Player Game Stats'!$AY:$BH, 7, False), "")</f>
        <v>6.833333333</v>
      </c>
      <c r="I62" s="119">
        <f>iferror(vlookup($A62, 'Player Game Stats'!$AY:$BH, 8, False), "")</f>
        <v>1.833333333</v>
      </c>
      <c r="J62" s="119">
        <f>iferror(vlookup($A62, 'Player Game Stats'!$AY:$BH, 9, False), "")</f>
        <v>27.33333333</v>
      </c>
      <c r="K62" s="118">
        <f>iferror(vlookup($A62, 'Player Game Stats'!$AY:$BH, 10, False), "")</f>
        <v>0.3618677043</v>
      </c>
      <c r="L62" s="88">
        <f t="shared" si="2"/>
        <v>6.019066148</v>
      </c>
      <c r="M62" s="119">
        <f t="shared" si="3"/>
        <v>16.22807848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3" t="str">
        <f>Draft!G46</f>
        <v>JChan</v>
      </c>
      <c r="B63" s="117">
        <f>iferror(vlookup($A63, 'Player Game Stats'!$AY:$BH, 2, False), "")</f>
        <v>7</v>
      </c>
      <c r="C63" s="118">
        <f>iferror(vlookup($A63, 'Player Game Stats'!$AY:$BH, 3, False), "")</f>
        <v>0.7142857143</v>
      </c>
      <c r="D63" s="119">
        <f t="shared" si="1"/>
        <v>14.94285714</v>
      </c>
      <c r="E63" s="119">
        <f>iferror(vlookup($A63, 'Player Game Stats'!$AY:$BH, 4, False), "")</f>
        <v>13.71428571</v>
      </c>
      <c r="F63" s="119">
        <f>iferror(vlookup($A63, 'Player Game Stats'!$AY:$BH, 5, False), "")</f>
        <v>4</v>
      </c>
      <c r="G63" s="119">
        <f>iferror(vlookup($A63, 'Player Game Stats'!$AY:$BH, 6, False), "")</f>
        <v>1.428571429</v>
      </c>
      <c r="H63" s="119">
        <f>iferror(vlookup($A63, 'Player Game Stats'!$AY:$BH, 7, False), "")</f>
        <v>5</v>
      </c>
      <c r="I63" s="119">
        <f>iferror(vlookup($A63, 'Player Game Stats'!$AY:$BH, 8, False), "")</f>
        <v>3.285714286</v>
      </c>
      <c r="J63" s="119">
        <f>iferror(vlookup($A63, 'Player Game Stats'!$AY:$BH, 9, False), "")</f>
        <v>26.85714286</v>
      </c>
      <c r="K63" s="118">
        <f>iferror(vlookup($A63, 'Player Game Stats'!$AY:$BH, 10, False), "")</f>
        <v>0.338028169</v>
      </c>
      <c r="L63" s="88">
        <f t="shared" si="2"/>
        <v>5.05110664</v>
      </c>
      <c r="M63" s="119">
        <f t="shared" si="3"/>
        <v>13.61835092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83" t="str">
        <f>Draft!G47</f>
        <v>DC</v>
      </c>
      <c r="B64" s="117">
        <f>iferror(vlookup($A64, 'Player Game Stats'!$AY:$BH, 2, False), "")</f>
        <v>6</v>
      </c>
      <c r="C64" s="118">
        <f>iferror(vlookup($A64, 'Player Game Stats'!$AY:$BH, 3, False), "")</f>
        <v>0.8333333333</v>
      </c>
      <c r="D64" s="119">
        <f t="shared" si="1"/>
        <v>16.53333333</v>
      </c>
      <c r="E64" s="119">
        <f>iferror(vlookup($A64, 'Player Game Stats'!$AY:$BH, 4, False), "")</f>
        <v>15.5</v>
      </c>
      <c r="F64" s="119">
        <f>iferror(vlookup($A64, 'Player Game Stats'!$AY:$BH, 5, False), "")</f>
        <v>5.666666667</v>
      </c>
      <c r="G64" s="119">
        <f>iferror(vlookup($A64, 'Player Game Stats'!$AY:$BH, 6, False), "")</f>
        <v>0.3333333333</v>
      </c>
      <c r="H64" s="119">
        <f>iferror(vlookup($A64, 'Player Game Stats'!$AY:$BH, 7, False), "")</f>
        <v>8.833333333</v>
      </c>
      <c r="I64" s="119">
        <f>iferror(vlookup($A64, 'Player Game Stats'!$AY:$BH, 8, False), "")</f>
        <v>0.6666666667</v>
      </c>
      <c r="J64" s="119">
        <f>iferror(vlookup($A64, 'Player Game Stats'!$AY:$BH, 9, False), "")</f>
        <v>26</v>
      </c>
      <c r="K64" s="118">
        <f>iferror(vlookup($A64, 'Player Game Stats'!$AY:$BH, 10, False), "")</f>
        <v>0.3734939759</v>
      </c>
      <c r="L64" s="88">
        <f t="shared" si="2"/>
        <v>6.175100402</v>
      </c>
      <c r="M64" s="119">
        <f t="shared" si="3"/>
        <v>16.64876436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3" t="str">
        <f>Draft!G48</f>
        <v>Schmid</v>
      </c>
      <c r="B65" s="117">
        <f>iferror(vlookup($A65, 'Player Game Stats'!$AY:$BH, 2, False), "")</f>
        <v>7</v>
      </c>
      <c r="C65" s="118">
        <f>iferror(vlookup($A65, 'Player Game Stats'!$AY:$BH, 3, False), "")</f>
        <v>0.7142857143</v>
      </c>
      <c r="D65" s="119">
        <f t="shared" si="1"/>
        <v>25.29285714</v>
      </c>
      <c r="E65" s="119">
        <f>iferror(vlookup($A65, 'Player Game Stats'!$AY:$BH, 4, False), "")</f>
        <v>24.57142857</v>
      </c>
      <c r="F65" s="119">
        <f>iferror(vlookup($A65, 'Player Game Stats'!$AY:$BH, 5, False), "")</f>
        <v>16.57142857</v>
      </c>
      <c r="G65" s="119">
        <f>iferror(vlookup($A65, 'Player Game Stats'!$AY:$BH, 6, False), "")</f>
        <v>2.714285714</v>
      </c>
      <c r="H65" s="119">
        <f>iferror(vlookup($A65, 'Player Game Stats'!$AY:$BH, 7, False), "")</f>
        <v>4.714285714</v>
      </c>
      <c r="I65" s="119">
        <f>iferror(vlookup($A65, 'Player Game Stats'!$AY:$BH, 8, False), "")</f>
        <v>0.5714285714</v>
      </c>
      <c r="J65" s="119">
        <f>iferror(vlookup($A65, 'Player Game Stats'!$AY:$BH, 9, False), "")</f>
        <v>23.57142857</v>
      </c>
      <c r="K65" s="118">
        <f>iferror(vlookup($A65, 'Player Game Stats'!$AY:$BH, 10, False), "")</f>
        <v>0.5103857567</v>
      </c>
      <c r="L65" s="88">
        <f t="shared" si="2"/>
        <v>12.90911403</v>
      </c>
      <c r="M65" s="119">
        <f t="shared" si="3"/>
        <v>34.80442157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83" t="str">
        <f>Draft!G49</f>
        <v>Kian</v>
      </c>
      <c r="B66" s="117">
        <f>iferror(vlookup($A66, 'Player Game Stats'!$AY:$BH, 2, False), "")</f>
        <v>7</v>
      </c>
      <c r="C66" s="118">
        <f>iferror(vlookup($A66, 'Player Game Stats'!$AY:$BH, 3, False), "")</f>
        <v>0.7142857143</v>
      </c>
      <c r="D66" s="119">
        <f t="shared" si="1"/>
        <v>14.55</v>
      </c>
      <c r="E66" s="119">
        <f>iferror(vlookup($A66, 'Player Game Stats'!$AY:$BH, 4, False), "")</f>
        <v>13.57142857</v>
      </c>
      <c r="F66" s="119">
        <f>iferror(vlookup($A66, 'Player Game Stats'!$AY:$BH, 5, False), "")</f>
        <v>5</v>
      </c>
      <c r="G66" s="119">
        <f>iferror(vlookup($A66, 'Player Game Stats'!$AY:$BH, 6, False), "")</f>
        <v>1.285714286</v>
      </c>
      <c r="H66" s="119">
        <f>iferror(vlookup($A66, 'Player Game Stats'!$AY:$BH, 7, False), "")</f>
        <v>5.428571429</v>
      </c>
      <c r="I66" s="119">
        <f>iferror(vlookup($A66, 'Player Game Stats'!$AY:$BH, 8, False), "")</f>
        <v>1.857142857</v>
      </c>
      <c r="J66" s="119">
        <f>iferror(vlookup($A66, 'Player Game Stats'!$AY:$BH, 9, False), "")</f>
        <v>28.42857143</v>
      </c>
      <c r="K66" s="118">
        <f>iferror(vlookup($A66, 'Player Game Stats'!$AY:$BH, 10, False), "")</f>
        <v>0.3231292517</v>
      </c>
      <c r="L66" s="88">
        <f t="shared" si="2"/>
        <v>4.701530612</v>
      </c>
      <c r="M66" s="119">
        <f t="shared" si="3"/>
        <v>12.67585468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83" t="str">
        <f>Draft!G50</f>
        <v>Hando</v>
      </c>
      <c r="B67" s="117">
        <f>iferror(vlookup($A67, 'Player Game Stats'!$AY:$BH, 2, False), "")</f>
        <v>6</v>
      </c>
      <c r="C67" s="118">
        <f>iferror(vlookup($A67, 'Player Game Stats'!$AY:$BH, 3, False), "")</f>
        <v>0.8333333333</v>
      </c>
      <c r="D67" s="119">
        <f t="shared" si="1"/>
        <v>16.56666667</v>
      </c>
      <c r="E67" s="119">
        <f>iferror(vlookup($A67, 'Player Game Stats'!$AY:$BH, 4, False), "")</f>
        <v>15.66666667</v>
      </c>
      <c r="F67" s="119">
        <f>iferror(vlookup($A67, 'Player Game Stats'!$AY:$BH, 5, False), "")</f>
        <v>6.5</v>
      </c>
      <c r="G67" s="119">
        <f>iferror(vlookup($A67, 'Player Game Stats'!$AY:$BH, 6, False), "")</f>
        <v>0.6666666667</v>
      </c>
      <c r="H67" s="119">
        <f>iferror(vlookup($A67, 'Player Game Stats'!$AY:$BH, 7, False), "")</f>
        <v>8.333333333</v>
      </c>
      <c r="I67" s="119">
        <f>iferror(vlookup($A67, 'Player Game Stats'!$AY:$BH, 8, False), "")</f>
        <v>0.1666666667</v>
      </c>
      <c r="J67" s="119">
        <f>iferror(vlookup($A67, 'Player Game Stats'!$AY:$BH, 9, False), "")</f>
        <v>26.33333333</v>
      </c>
      <c r="K67" s="118">
        <f>iferror(vlookup($A67, 'Player Game Stats'!$AY:$BH, 10, False), "")</f>
        <v>0.373015873</v>
      </c>
      <c r="L67" s="88">
        <f t="shared" si="2"/>
        <v>6.17962963</v>
      </c>
      <c r="M67" s="119">
        <f t="shared" si="3"/>
        <v>16.66097567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83" t="str">
        <f>Draft!G51</f>
        <v>Petric</v>
      </c>
      <c r="B68" s="117">
        <f>iferror(vlookup($A68, 'Player Game Stats'!$AY:$BH, 2, False), "")</f>
        <v>2</v>
      </c>
      <c r="C68" s="118">
        <f>iferror(vlookup($A68, 'Player Game Stats'!$AY:$BH, 3, False), "")</f>
        <v>0.5</v>
      </c>
      <c r="D68" s="119">
        <f t="shared" si="1"/>
        <v>12.8</v>
      </c>
      <c r="E68" s="119">
        <f>iferror(vlookup($A68, 'Player Game Stats'!$AY:$BH, 4, False), "")</f>
        <v>12.5</v>
      </c>
      <c r="F68" s="119">
        <f>iferror(vlookup($A68, 'Player Game Stats'!$AY:$BH, 5, False), "")</f>
        <v>9.5</v>
      </c>
      <c r="G68" s="119">
        <f>iferror(vlookup($A68, 'Player Game Stats'!$AY:$BH, 6, False), "")</f>
        <v>0</v>
      </c>
      <c r="H68" s="119">
        <f>iferror(vlookup($A68, 'Player Game Stats'!$AY:$BH, 7, False), "")</f>
        <v>3</v>
      </c>
      <c r="I68" s="119">
        <f>iferror(vlookup($A68, 'Player Game Stats'!$AY:$BH, 8, False), "")</f>
        <v>0</v>
      </c>
      <c r="J68" s="119">
        <f>iferror(vlookup($A68, 'Player Game Stats'!$AY:$BH, 9, False), "")</f>
        <v>25.5</v>
      </c>
      <c r="K68" s="118">
        <f>iferror(vlookup($A68, 'Player Game Stats'!$AY:$BH, 10, False), "")</f>
        <v>0.3289473684</v>
      </c>
      <c r="L68" s="88">
        <f t="shared" si="2"/>
        <v>4.210526316</v>
      </c>
      <c r="M68" s="119">
        <f t="shared" si="3"/>
        <v>11.35205194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83" t="str">
        <f>Draft!G52</f>
        <v>Mike Zhou</v>
      </c>
      <c r="B69" s="117">
        <f>iferror(vlookup($A69, 'Player Game Stats'!$AY:$BH, 2, False), "")</f>
        <v>0</v>
      </c>
      <c r="C69" s="118" t="str">
        <f>iferror(vlookup($A69, 'Player Game Stats'!$AY:$BH, 3, False), "")</f>
        <v/>
      </c>
      <c r="D69" s="119">
        <f t="shared" si="1"/>
        <v>0</v>
      </c>
      <c r="E69" s="119" t="str">
        <f>iferror(vlookup($A69, 'Player Game Stats'!$AY:$BH, 4, False), "")</f>
        <v/>
      </c>
      <c r="F69" s="119" t="str">
        <f>iferror(vlookup($A69, 'Player Game Stats'!$AY:$BH, 5, False), "")</f>
        <v/>
      </c>
      <c r="G69" s="119" t="str">
        <f>iferror(vlookup($A69, 'Player Game Stats'!$AY:$BH, 6, False), "")</f>
        <v/>
      </c>
      <c r="H69" s="119" t="str">
        <f>iferror(vlookup($A69, 'Player Game Stats'!$AY:$BH, 7, False), "")</f>
        <v/>
      </c>
      <c r="I69" s="119" t="str">
        <f>iferror(vlookup($A69, 'Player Game Stats'!$AY:$BH, 8, False), "")</f>
        <v/>
      </c>
      <c r="J69" s="119" t="str">
        <f>iferror(vlookup($A69, 'Player Game Stats'!$AY:$BH, 9, False), "")</f>
        <v/>
      </c>
      <c r="K69" s="118" t="str">
        <f>iferror(vlookup($A69, 'Player Game Stats'!$AY:$BH, 10, False), "")</f>
        <v/>
      </c>
      <c r="L69" s="88">
        <f t="shared" si="2"/>
        <v>0</v>
      </c>
      <c r="M69" s="119">
        <f t="shared" si="3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83" t="str">
        <f>Draft!G53</f>
        <v>Cole</v>
      </c>
      <c r="B70" s="117">
        <f>iferror(vlookup($A70, 'Player Game Stats'!$AY:$BH, 2, False), "")</f>
        <v>1</v>
      </c>
      <c r="C70" s="120">
        <f>iferror(vlookup($A70, 'Player Game Stats'!$AY:$BH, 3, False), "")</f>
        <v>0</v>
      </c>
      <c r="D70" s="119">
        <f t="shared" si="1"/>
        <v>18.3</v>
      </c>
      <c r="E70" s="121">
        <f>iferror(vlookup($A70, 'Player Game Stats'!$AY:$BH, 4, False), "")</f>
        <v>18</v>
      </c>
      <c r="F70" s="121">
        <f>iferror(vlookup($A70, 'Player Game Stats'!$AY:$BH, 5, False), "")</f>
        <v>15</v>
      </c>
      <c r="G70" s="121">
        <f>iferror(vlookup($A70, 'Player Game Stats'!$AY:$BH, 6, False), "")</f>
        <v>0</v>
      </c>
      <c r="H70" s="121">
        <f>iferror(vlookup($A70, 'Player Game Stats'!$AY:$BH, 7, False), "")</f>
        <v>3</v>
      </c>
      <c r="I70" s="121">
        <f>iferror(vlookup($A70, 'Player Game Stats'!$AY:$BH, 8, False), "")</f>
        <v>0</v>
      </c>
      <c r="J70" s="121">
        <f>iferror(vlookup($A70, 'Player Game Stats'!$AY:$BH, 9, False), "")</f>
        <v>31</v>
      </c>
      <c r="K70" s="120">
        <f>iferror(vlookup($A70, 'Player Game Stats'!$AY:$BH, 10, False), "")</f>
        <v>0.3673469388</v>
      </c>
      <c r="L70" s="88">
        <f t="shared" si="2"/>
        <v>6.72244898</v>
      </c>
      <c r="M70" s="119">
        <f t="shared" si="3"/>
        <v>18.12447761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83" t="str">
        <f>Draft!G54</f>
        <v/>
      </c>
      <c r="B71" s="117" t="str">
        <f>iferror(vlookup($A71, 'Player Game Stats'!$AY:$BH, 2, False), "")</f>
        <v/>
      </c>
      <c r="C71" s="118" t="str">
        <f>iferror(vlookup($A71, 'Player Game Stats'!$AY:$BH, 3, False), "")</f>
        <v/>
      </c>
      <c r="D71" s="119">
        <f t="shared" si="1"/>
        <v>0</v>
      </c>
      <c r="E71" s="119" t="str">
        <f>iferror(vlookup($A71, 'Player Game Stats'!$AY:$BH, 4, False), "")</f>
        <v/>
      </c>
      <c r="F71" s="119" t="str">
        <f>iferror(vlookup($A71, 'Player Game Stats'!$AY:$BH, 5, False), "")</f>
        <v/>
      </c>
      <c r="G71" s="119" t="str">
        <f>iferror(vlookup($A71, 'Player Game Stats'!$AY:$BH, 6, False), "")</f>
        <v/>
      </c>
      <c r="H71" s="119" t="str">
        <f>iferror(vlookup($A71, 'Player Game Stats'!$AY:$BH, 7, False), "")</f>
        <v/>
      </c>
      <c r="I71" s="119" t="str">
        <f>iferror(vlookup($A71, 'Player Game Stats'!$AY:$BH, 8, False), "")</f>
        <v/>
      </c>
      <c r="J71" s="119" t="str">
        <f>iferror(vlookup($A71, 'Player Game Stats'!$AY:$BH, 9, False), "")</f>
        <v/>
      </c>
      <c r="K71" s="118" t="str">
        <f>iferror(vlookup($A71, 'Player Game Stats'!$AY:$BH, 10, False), "")</f>
        <v/>
      </c>
      <c r="L71" s="88">
        <f t="shared" si="2"/>
        <v>0</v>
      </c>
      <c r="M71" s="119">
        <f t="shared" si="3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83" t="str">
        <f>Draft!G55</f>
        <v/>
      </c>
      <c r="B72" s="117" t="str">
        <f>iferror(vlookup($A72, 'Player Game Stats'!$AY:$BH, 2, False), "")</f>
        <v/>
      </c>
      <c r="C72" s="120" t="str">
        <f>iferror(vlookup($A72, 'Player Game Stats'!$AY:$BH, 3, False), "")</f>
        <v/>
      </c>
      <c r="D72" s="119">
        <f t="shared" si="1"/>
        <v>0</v>
      </c>
      <c r="E72" s="121" t="str">
        <f>iferror(vlookup($A72, 'Player Game Stats'!$AY:$BH, 4, False), "")</f>
        <v/>
      </c>
      <c r="F72" s="121" t="str">
        <f>iferror(vlookup($A72, 'Player Game Stats'!$AY:$BH, 5, False), "")</f>
        <v/>
      </c>
      <c r="G72" s="121" t="str">
        <f>iferror(vlookup($A72, 'Player Game Stats'!$AY:$BH, 6, False), "")</f>
        <v/>
      </c>
      <c r="H72" s="121" t="str">
        <f>iferror(vlookup($A72, 'Player Game Stats'!$AY:$BH, 7, False), "")</f>
        <v/>
      </c>
      <c r="I72" s="121" t="str">
        <f>iferror(vlookup($A72, 'Player Game Stats'!$AY:$BH, 8, False), "")</f>
        <v/>
      </c>
      <c r="J72" s="121" t="str">
        <f>iferror(vlookup($A72, 'Player Game Stats'!$AY:$BH, 9, False), "")</f>
        <v/>
      </c>
      <c r="K72" s="120" t="str">
        <f>iferror(vlookup($A72, 'Player Game Stats'!$AY:$BH, 10, False), "")</f>
        <v/>
      </c>
      <c r="L72" s="88">
        <f t="shared" si="2"/>
        <v>0</v>
      </c>
      <c r="M72" s="119">
        <f t="shared" si="3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91" t="str">
        <f>Draft!G56</f>
        <v/>
      </c>
      <c r="B73" s="122" t="str">
        <f>iferror(vlookup($A73, 'Player Game Stats'!$AY:$BH, 2, False), "")</f>
        <v/>
      </c>
      <c r="C73" s="120" t="str">
        <f>iferror(vlookup($A73, 'Player Game Stats'!$AY:$BH, 3, False), "")</f>
        <v/>
      </c>
      <c r="D73" s="119">
        <f t="shared" si="1"/>
        <v>0</v>
      </c>
      <c r="E73" s="121" t="str">
        <f>iferror(vlookup($A73, 'Player Game Stats'!$AY:$BH, 4, False), "")</f>
        <v/>
      </c>
      <c r="F73" s="121" t="str">
        <f>iferror(vlookup($A73, 'Player Game Stats'!$AY:$BH, 5, False), "")</f>
        <v/>
      </c>
      <c r="G73" s="121" t="str">
        <f>iferror(vlookup($A73, 'Player Game Stats'!$AY:$BH, 6, False), "")</f>
        <v/>
      </c>
      <c r="H73" s="121" t="str">
        <f>iferror(vlookup($A73, 'Player Game Stats'!$AY:$BH, 7, False), "")</f>
        <v/>
      </c>
      <c r="I73" s="121" t="str">
        <f>iferror(vlookup($A73, 'Player Game Stats'!$AY:$BH, 8, False), "")</f>
        <v/>
      </c>
      <c r="J73" s="121" t="str">
        <f>iferror(vlookup($A73, 'Player Game Stats'!$AY:$BH, 9, False), "")</f>
        <v/>
      </c>
      <c r="K73" s="120" t="str">
        <f>iferror(vlookup($A73, 'Player Game Stats'!$AY:$BH, 10, False), "")</f>
        <v/>
      </c>
      <c r="L73" s="88">
        <f t="shared" si="2"/>
        <v>0</v>
      </c>
      <c r="M73" s="119">
        <f t="shared" si="3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123"/>
      <c r="D74" s="124">
        <f>averageif(D2:D73, "&gt;0")</f>
        <v>16.27256448</v>
      </c>
      <c r="E74" s="4"/>
      <c r="F74" s="4"/>
      <c r="G74" s="4"/>
      <c r="H74" s="4"/>
      <c r="I74" s="4"/>
      <c r="J74" s="4"/>
      <c r="K74" s="123"/>
      <c r="L74" s="88">
        <f>averageif(L2:L73, "&gt;0")</f>
        <v>6.035566202</v>
      </c>
      <c r="M74" s="12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123"/>
      <c r="D75" s="4"/>
      <c r="E75" s="4"/>
      <c r="F75" s="4"/>
      <c r="G75" s="4"/>
      <c r="H75" s="4"/>
      <c r="I75" s="4"/>
      <c r="J75" s="4"/>
      <c r="K75" s="123"/>
      <c r="L75" s="88">
        <f>D74/L74</f>
        <v>2.696112335</v>
      </c>
      <c r="M75" s="12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123"/>
      <c r="D76" s="4"/>
      <c r="E76" s="4"/>
      <c r="F76" s="4"/>
      <c r="G76" s="4"/>
      <c r="H76" s="4"/>
      <c r="I76" s="4"/>
      <c r="J76" s="4"/>
      <c r="K76" s="123"/>
      <c r="L76" s="7"/>
      <c r="M76" s="12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123"/>
      <c r="D77" s="4"/>
      <c r="E77" s="4"/>
      <c r="F77" s="4"/>
      <c r="G77" s="4"/>
      <c r="H77" s="4"/>
      <c r="I77" s="4"/>
      <c r="J77" s="4"/>
      <c r="K77" s="123"/>
      <c r="L77" s="7"/>
      <c r="M77" s="12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123"/>
      <c r="D78" s="4"/>
      <c r="E78" s="4"/>
      <c r="F78" s="4"/>
      <c r="G78" s="4"/>
      <c r="H78" s="4"/>
      <c r="I78" s="4"/>
      <c r="J78" s="4"/>
      <c r="K78" s="123"/>
      <c r="L78" s="7"/>
      <c r="M78" s="12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123"/>
      <c r="D79" s="4"/>
      <c r="E79" s="4"/>
      <c r="F79" s="4"/>
      <c r="G79" s="4"/>
      <c r="H79" s="4"/>
      <c r="I79" s="4"/>
      <c r="J79" s="4"/>
      <c r="K79" s="123"/>
      <c r="L79" s="7"/>
      <c r="M79" s="12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123"/>
      <c r="D80" s="4"/>
      <c r="E80" s="4"/>
      <c r="F80" s="4"/>
      <c r="G80" s="4"/>
      <c r="H80" s="4"/>
      <c r="I80" s="4"/>
      <c r="J80" s="4"/>
      <c r="K80" s="123"/>
      <c r="L80" s="7"/>
      <c r="M80" s="12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23"/>
      <c r="D81" s="4"/>
      <c r="E81" s="4"/>
      <c r="F81" s="4"/>
      <c r="G81" s="4"/>
      <c r="H81" s="4"/>
      <c r="I81" s="4"/>
      <c r="J81" s="4"/>
      <c r="K81" s="123"/>
      <c r="L81" s="7"/>
      <c r="M81" s="12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23"/>
      <c r="D82" s="4"/>
      <c r="E82" s="4"/>
      <c r="F82" s="4"/>
      <c r="G82" s="4"/>
      <c r="H82" s="4"/>
      <c r="I82" s="4"/>
      <c r="J82" s="4"/>
      <c r="K82" s="123"/>
      <c r="L82" s="7"/>
      <c r="M82" s="12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23"/>
      <c r="D83" s="4"/>
      <c r="E83" s="4"/>
      <c r="F83" s="4"/>
      <c r="G83" s="4"/>
      <c r="H83" s="4"/>
      <c r="I83" s="4"/>
      <c r="J83" s="4"/>
      <c r="K83" s="123"/>
      <c r="L83" s="7"/>
      <c r="M83" s="12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23"/>
      <c r="D84" s="4"/>
      <c r="E84" s="4"/>
      <c r="F84" s="4"/>
      <c r="G84" s="4"/>
      <c r="H84" s="4"/>
      <c r="I84" s="4"/>
      <c r="J84" s="4"/>
      <c r="K84" s="123"/>
      <c r="L84" s="7"/>
      <c r="M84" s="12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23"/>
      <c r="D85" s="4"/>
      <c r="E85" s="4"/>
      <c r="F85" s="4"/>
      <c r="G85" s="4"/>
      <c r="H85" s="4"/>
      <c r="I85" s="4"/>
      <c r="J85" s="4"/>
      <c r="K85" s="123"/>
      <c r="L85" s="7"/>
      <c r="M85" s="12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23"/>
      <c r="D86" s="4"/>
      <c r="E86" s="4"/>
      <c r="F86" s="4"/>
      <c r="G86" s="4"/>
      <c r="H86" s="4"/>
      <c r="I86" s="4"/>
      <c r="J86" s="4"/>
      <c r="K86" s="123"/>
      <c r="L86" s="7"/>
      <c r="M86" s="12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23"/>
      <c r="D87" s="4"/>
      <c r="E87" s="4"/>
      <c r="F87" s="4"/>
      <c r="G87" s="4"/>
      <c r="H87" s="4"/>
      <c r="I87" s="4"/>
      <c r="J87" s="4"/>
      <c r="K87" s="123"/>
      <c r="L87" s="7"/>
      <c r="M87" s="12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23"/>
      <c r="D88" s="4"/>
      <c r="E88" s="4"/>
      <c r="F88" s="4"/>
      <c r="G88" s="4"/>
      <c r="H88" s="4"/>
      <c r="I88" s="4"/>
      <c r="J88" s="4"/>
      <c r="K88" s="123"/>
      <c r="L88" s="7"/>
      <c r="M88" s="12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23"/>
      <c r="D89" s="4"/>
      <c r="E89" s="4"/>
      <c r="F89" s="4"/>
      <c r="G89" s="4"/>
      <c r="H89" s="4"/>
      <c r="I89" s="4"/>
      <c r="J89" s="4"/>
      <c r="K89" s="123"/>
      <c r="L89" s="7"/>
      <c r="M89" s="12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23"/>
      <c r="D90" s="4"/>
      <c r="E90" s="4"/>
      <c r="F90" s="4"/>
      <c r="G90" s="4"/>
      <c r="H90" s="4"/>
      <c r="I90" s="4"/>
      <c r="J90" s="4"/>
      <c r="K90" s="123"/>
      <c r="L90" s="7"/>
      <c r="M90" s="12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23"/>
      <c r="D91" s="4"/>
      <c r="E91" s="4"/>
      <c r="F91" s="4"/>
      <c r="G91" s="4"/>
      <c r="H91" s="4"/>
      <c r="I91" s="4"/>
      <c r="J91" s="4"/>
      <c r="K91" s="123"/>
      <c r="L91" s="7"/>
      <c r="M91" s="12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23"/>
      <c r="D92" s="4"/>
      <c r="E92" s="4"/>
      <c r="F92" s="4"/>
      <c r="G92" s="4"/>
      <c r="H92" s="4"/>
      <c r="I92" s="4"/>
      <c r="J92" s="4"/>
      <c r="K92" s="123"/>
      <c r="L92" s="7"/>
      <c r="M92" s="12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23"/>
      <c r="D93" s="4"/>
      <c r="E93" s="4"/>
      <c r="F93" s="4"/>
      <c r="G93" s="4"/>
      <c r="H93" s="4"/>
      <c r="I93" s="4"/>
      <c r="J93" s="4"/>
      <c r="K93" s="123"/>
      <c r="L93" s="7"/>
      <c r="M93" s="12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23"/>
      <c r="D94" s="4"/>
      <c r="E94" s="4"/>
      <c r="F94" s="4"/>
      <c r="G94" s="4"/>
      <c r="H94" s="4"/>
      <c r="I94" s="4"/>
      <c r="J94" s="4"/>
      <c r="K94" s="123"/>
      <c r="L94" s="7"/>
      <c r="M94" s="12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23"/>
      <c r="D95" s="4"/>
      <c r="E95" s="4"/>
      <c r="F95" s="4"/>
      <c r="G95" s="4"/>
      <c r="H95" s="4"/>
      <c r="I95" s="4"/>
      <c r="J95" s="4"/>
      <c r="K95" s="123"/>
      <c r="L95" s="7"/>
      <c r="M95" s="12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23"/>
      <c r="D96" s="4"/>
      <c r="E96" s="4"/>
      <c r="F96" s="4"/>
      <c r="G96" s="4"/>
      <c r="H96" s="4"/>
      <c r="I96" s="4"/>
      <c r="J96" s="4"/>
      <c r="K96" s="123"/>
      <c r="L96" s="7"/>
      <c r="M96" s="12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23"/>
      <c r="D97" s="4"/>
      <c r="E97" s="4"/>
      <c r="F97" s="4"/>
      <c r="G97" s="4"/>
      <c r="H97" s="4"/>
      <c r="I97" s="4"/>
      <c r="J97" s="4"/>
      <c r="K97" s="123"/>
      <c r="L97" s="7"/>
      <c r="M97" s="12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23"/>
      <c r="D98" s="4"/>
      <c r="E98" s="4"/>
      <c r="F98" s="4"/>
      <c r="G98" s="4"/>
      <c r="H98" s="4"/>
      <c r="I98" s="4"/>
      <c r="J98" s="4"/>
      <c r="K98" s="123"/>
      <c r="L98" s="7"/>
      <c r="M98" s="12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23"/>
      <c r="D99" s="4"/>
      <c r="E99" s="4"/>
      <c r="F99" s="4"/>
      <c r="G99" s="4"/>
      <c r="H99" s="4"/>
      <c r="I99" s="4"/>
      <c r="J99" s="4"/>
      <c r="K99" s="123"/>
      <c r="L99" s="7"/>
      <c r="M99" s="12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23"/>
      <c r="D100" s="4"/>
      <c r="E100" s="4"/>
      <c r="F100" s="4"/>
      <c r="G100" s="4"/>
      <c r="H100" s="4"/>
      <c r="I100" s="4"/>
      <c r="J100" s="4"/>
      <c r="K100" s="123"/>
      <c r="L100" s="7"/>
      <c r="M100" s="12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23"/>
      <c r="D101" s="4"/>
      <c r="E101" s="4"/>
      <c r="F101" s="4"/>
      <c r="G101" s="4"/>
      <c r="H101" s="4"/>
      <c r="I101" s="4"/>
      <c r="J101" s="4"/>
      <c r="K101" s="123"/>
      <c r="L101" s="7"/>
      <c r="M101" s="12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23"/>
      <c r="D102" s="4"/>
      <c r="E102" s="4"/>
      <c r="F102" s="4"/>
      <c r="G102" s="4"/>
      <c r="H102" s="4"/>
      <c r="I102" s="4"/>
      <c r="J102" s="4"/>
      <c r="K102" s="123"/>
      <c r="L102" s="7"/>
      <c r="M102" s="12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23"/>
      <c r="D103" s="4"/>
      <c r="E103" s="4"/>
      <c r="F103" s="4"/>
      <c r="G103" s="4"/>
      <c r="H103" s="4"/>
      <c r="I103" s="4"/>
      <c r="J103" s="4"/>
      <c r="K103" s="123"/>
      <c r="L103" s="7"/>
      <c r="M103" s="12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23"/>
      <c r="D104" s="4"/>
      <c r="E104" s="4"/>
      <c r="F104" s="4"/>
      <c r="G104" s="4"/>
      <c r="H104" s="4"/>
      <c r="I104" s="4"/>
      <c r="J104" s="4"/>
      <c r="K104" s="123"/>
      <c r="L104" s="7"/>
      <c r="M104" s="12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23"/>
      <c r="D105" s="4"/>
      <c r="E105" s="4"/>
      <c r="F105" s="4"/>
      <c r="G105" s="4"/>
      <c r="H105" s="4"/>
      <c r="I105" s="4"/>
      <c r="J105" s="4"/>
      <c r="K105" s="123"/>
      <c r="L105" s="7"/>
      <c r="M105" s="12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23"/>
      <c r="D106" s="4"/>
      <c r="E106" s="4"/>
      <c r="F106" s="4"/>
      <c r="G106" s="4"/>
      <c r="H106" s="4"/>
      <c r="I106" s="4"/>
      <c r="J106" s="4"/>
      <c r="K106" s="123"/>
      <c r="L106" s="7"/>
      <c r="M106" s="12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23"/>
      <c r="D107" s="4"/>
      <c r="E107" s="4"/>
      <c r="F107" s="4"/>
      <c r="G107" s="4"/>
      <c r="H107" s="4"/>
      <c r="I107" s="4"/>
      <c r="J107" s="4"/>
      <c r="K107" s="123"/>
      <c r="L107" s="7"/>
      <c r="M107" s="12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23"/>
      <c r="D108" s="4"/>
      <c r="E108" s="4"/>
      <c r="F108" s="4"/>
      <c r="G108" s="4"/>
      <c r="H108" s="4"/>
      <c r="I108" s="4"/>
      <c r="J108" s="4"/>
      <c r="K108" s="123"/>
      <c r="L108" s="7"/>
      <c r="M108" s="12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23"/>
      <c r="D109" s="4"/>
      <c r="E109" s="4"/>
      <c r="F109" s="4"/>
      <c r="G109" s="4"/>
      <c r="H109" s="4"/>
      <c r="I109" s="4"/>
      <c r="J109" s="4"/>
      <c r="K109" s="123"/>
      <c r="L109" s="7"/>
      <c r="M109" s="12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23"/>
      <c r="D110" s="4"/>
      <c r="E110" s="4"/>
      <c r="F110" s="4"/>
      <c r="G110" s="4"/>
      <c r="H110" s="4"/>
      <c r="I110" s="4"/>
      <c r="J110" s="4"/>
      <c r="K110" s="123"/>
      <c r="L110" s="7"/>
      <c r="M110" s="12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23"/>
      <c r="D111" s="4"/>
      <c r="E111" s="4"/>
      <c r="F111" s="4"/>
      <c r="G111" s="4"/>
      <c r="H111" s="4"/>
      <c r="I111" s="4"/>
      <c r="J111" s="4"/>
      <c r="K111" s="123"/>
      <c r="L111" s="7"/>
      <c r="M111" s="12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23"/>
      <c r="D112" s="4"/>
      <c r="E112" s="4"/>
      <c r="F112" s="4"/>
      <c r="G112" s="4"/>
      <c r="H112" s="4"/>
      <c r="I112" s="4"/>
      <c r="J112" s="4"/>
      <c r="K112" s="123"/>
      <c r="L112" s="7"/>
      <c r="M112" s="12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23"/>
      <c r="D113" s="4"/>
      <c r="E113" s="4"/>
      <c r="F113" s="4"/>
      <c r="G113" s="4"/>
      <c r="H113" s="4"/>
      <c r="I113" s="4"/>
      <c r="J113" s="4"/>
      <c r="K113" s="123"/>
      <c r="L113" s="7"/>
      <c r="M113" s="12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23"/>
      <c r="D114" s="4"/>
      <c r="E114" s="4"/>
      <c r="F114" s="4"/>
      <c r="G114" s="4"/>
      <c r="H114" s="4"/>
      <c r="I114" s="4"/>
      <c r="J114" s="4"/>
      <c r="K114" s="123"/>
      <c r="L114" s="7"/>
      <c r="M114" s="12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23"/>
      <c r="D115" s="4"/>
      <c r="E115" s="4"/>
      <c r="F115" s="4"/>
      <c r="G115" s="4"/>
      <c r="H115" s="4"/>
      <c r="I115" s="4"/>
      <c r="J115" s="4"/>
      <c r="K115" s="123"/>
      <c r="L115" s="7"/>
      <c r="M115" s="12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23"/>
      <c r="D116" s="4"/>
      <c r="E116" s="4"/>
      <c r="F116" s="4"/>
      <c r="G116" s="4"/>
      <c r="H116" s="4"/>
      <c r="I116" s="4"/>
      <c r="J116" s="4"/>
      <c r="K116" s="123"/>
      <c r="L116" s="7"/>
      <c r="M116" s="12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23"/>
      <c r="D117" s="4"/>
      <c r="E117" s="4"/>
      <c r="F117" s="4"/>
      <c r="G117" s="4"/>
      <c r="H117" s="4"/>
      <c r="I117" s="4"/>
      <c r="J117" s="4"/>
      <c r="K117" s="123"/>
      <c r="L117" s="7"/>
      <c r="M117" s="12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23"/>
      <c r="D118" s="4"/>
      <c r="E118" s="4"/>
      <c r="F118" s="4"/>
      <c r="G118" s="4"/>
      <c r="H118" s="4"/>
      <c r="I118" s="4"/>
      <c r="J118" s="4"/>
      <c r="K118" s="123"/>
      <c r="L118" s="7"/>
      <c r="M118" s="12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23"/>
      <c r="D119" s="4"/>
      <c r="E119" s="4"/>
      <c r="F119" s="4"/>
      <c r="G119" s="4"/>
      <c r="H119" s="4"/>
      <c r="I119" s="4"/>
      <c r="J119" s="4"/>
      <c r="K119" s="123"/>
      <c r="L119" s="7"/>
      <c r="M119" s="12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23"/>
      <c r="D120" s="4"/>
      <c r="E120" s="4"/>
      <c r="F120" s="4"/>
      <c r="G120" s="4"/>
      <c r="H120" s="4"/>
      <c r="I120" s="4"/>
      <c r="J120" s="4"/>
      <c r="K120" s="123"/>
      <c r="L120" s="7"/>
      <c r="M120" s="12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23"/>
      <c r="D121" s="4"/>
      <c r="E121" s="4"/>
      <c r="F121" s="4"/>
      <c r="G121" s="4"/>
      <c r="H121" s="4"/>
      <c r="I121" s="4"/>
      <c r="J121" s="4"/>
      <c r="K121" s="123"/>
      <c r="L121" s="7"/>
      <c r="M121" s="12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23"/>
      <c r="D122" s="4"/>
      <c r="E122" s="4"/>
      <c r="F122" s="4"/>
      <c r="G122" s="4"/>
      <c r="H122" s="4"/>
      <c r="I122" s="4"/>
      <c r="J122" s="4"/>
      <c r="K122" s="123"/>
      <c r="L122" s="7"/>
      <c r="M122" s="12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23"/>
      <c r="D123" s="4"/>
      <c r="E123" s="4"/>
      <c r="F123" s="4"/>
      <c r="G123" s="4"/>
      <c r="H123" s="4"/>
      <c r="I123" s="4"/>
      <c r="J123" s="4"/>
      <c r="K123" s="123"/>
      <c r="L123" s="7"/>
      <c r="M123" s="12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23"/>
      <c r="D124" s="4"/>
      <c r="E124" s="4"/>
      <c r="F124" s="4"/>
      <c r="G124" s="4"/>
      <c r="H124" s="4"/>
      <c r="I124" s="4"/>
      <c r="J124" s="4"/>
      <c r="K124" s="123"/>
      <c r="L124" s="7"/>
      <c r="M124" s="12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23"/>
      <c r="D125" s="4"/>
      <c r="E125" s="4"/>
      <c r="F125" s="4"/>
      <c r="G125" s="4"/>
      <c r="H125" s="4"/>
      <c r="I125" s="4"/>
      <c r="J125" s="4"/>
      <c r="K125" s="123"/>
      <c r="L125" s="7"/>
      <c r="M125" s="12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23"/>
      <c r="D126" s="4"/>
      <c r="E126" s="4"/>
      <c r="F126" s="4"/>
      <c r="G126" s="4"/>
      <c r="H126" s="4"/>
      <c r="I126" s="4"/>
      <c r="J126" s="4"/>
      <c r="K126" s="123"/>
      <c r="L126" s="7"/>
      <c r="M126" s="12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23"/>
      <c r="D127" s="4"/>
      <c r="E127" s="4"/>
      <c r="F127" s="4"/>
      <c r="G127" s="4"/>
      <c r="H127" s="4"/>
      <c r="I127" s="4"/>
      <c r="J127" s="4"/>
      <c r="K127" s="123"/>
      <c r="L127" s="7"/>
      <c r="M127" s="12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23"/>
      <c r="D128" s="4"/>
      <c r="E128" s="4"/>
      <c r="F128" s="4"/>
      <c r="G128" s="4"/>
      <c r="H128" s="4"/>
      <c r="I128" s="4"/>
      <c r="J128" s="4"/>
      <c r="K128" s="123"/>
      <c r="L128" s="7"/>
      <c r="M128" s="12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23"/>
      <c r="D129" s="4"/>
      <c r="E129" s="4"/>
      <c r="F129" s="4"/>
      <c r="G129" s="4"/>
      <c r="H129" s="4"/>
      <c r="I129" s="4"/>
      <c r="J129" s="4"/>
      <c r="K129" s="123"/>
      <c r="L129" s="7"/>
      <c r="M129" s="12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23"/>
      <c r="D130" s="4"/>
      <c r="E130" s="4"/>
      <c r="F130" s="4"/>
      <c r="G130" s="4"/>
      <c r="H130" s="4"/>
      <c r="I130" s="4"/>
      <c r="J130" s="4"/>
      <c r="K130" s="123"/>
      <c r="L130" s="7"/>
      <c r="M130" s="12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23"/>
      <c r="D131" s="4"/>
      <c r="E131" s="4"/>
      <c r="F131" s="4"/>
      <c r="G131" s="4"/>
      <c r="H131" s="4"/>
      <c r="I131" s="4"/>
      <c r="J131" s="4"/>
      <c r="K131" s="123"/>
      <c r="L131" s="7"/>
      <c r="M131" s="12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23"/>
      <c r="D132" s="4"/>
      <c r="E132" s="4"/>
      <c r="F132" s="4"/>
      <c r="G132" s="4"/>
      <c r="H132" s="4"/>
      <c r="I132" s="4"/>
      <c r="J132" s="4"/>
      <c r="K132" s="123"/>
      <c r="L132" s="7"/>
      <c r="M132" s="12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23"/>
      <c r="D133" s="4"/>
      <c r="E133" s="4"/>
      <c r="F133" s="4"/>
      <c r="G133" s="4"/>
      <c r="H133" s="4"/>
      <c r="I133" s="4"/>
      <c r="J133" s="4"/>
      <c r="K133" s="123"/>
      <c r="L133" s="7"/>
      <c r="M133" s="12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23"/>
      <c r="D134" s="4"/>
      <c r="E134" s="4"/>
      <c r="F134" s="4"/>
      <c r="G134" s="4"/>
      <c r="H134" s="4"/>
      <c r="I134" s="4"/>
      <c r="J134" s="4"/>
      <c r="K134" s="123"/>
      <c r="L134" s="7"/>
      <c r="M134" s="12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23"/>
      <c r="D135" s="4"/>
      <c r="E135" s="4"/>
      <c r="F135" s="4"/>
      <c r="G135" s="4"/>
      <c r="H135" s="4"/>
      <c r="I135" s="4"/>
      <c r="J135" s="4"/>
      <c r="K135" s="123"/>
      <c r="L135" s="7"/>
      <c r="M135" s="12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23"/>
      <c r="D136" s="4"/>
      <c r="E136" s="4"/>
      <c r="F136" s="4"/>
      <c r="G136" s="4"/>
      <c r="H136" s="4"/>
      <c r="I136" s="4"/>
      <c r="J136" s="4"/>
      <c r="K136" s="123"/>
      <c r="L136" s="7"/>
      <c r="M136" s="12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23"/>
      <c r="D137" s="4"/>
      <c r="E137" s="4"/>
      <c r="F137" s="4"/>
      <c r="G137" s="4"/>
      <c r="H137" s="4"/>
      <c r="I137" s="4"/>
      <c r="J137" s="4"/>
      <c r="K137" s="123"/>
      <c r="L137" s="7"/>
      <c r="M137" s="12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23"/>
      <c r="D138" s="4"/>
      <c r="E138" s="4"/>
      <c r="F138" s="4"/>
      <c r="G138" s="4"/>
      <c r="H138" s="4"/>
      <c r="I138" s="4"/>
      <c r="J138" s="4"/>
      <c r="K138" s="123"/>
      <c r="L138" s="7"/>
      <c r="M138" s="12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23"/>
      <c r="D139" s="4"/>
      <c r="E139" s="4"/>
      <c r="F139" s="4"/>
      <c r="G139" s="4"/>
      <c r="H139" s="4"/>
      <c r="I139" s="4"/>
      <c r="J139" s="4"/>
      <c r="K139" s="123"/>
      <c r="L139" s="7"/>
      <c r="M139" s="12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23"/>
      <c r="D140" s="4"/>
      <c r="E140" s="4"/>
      <c r="F140" s="4"/>
      <c r="G140" s="4"/>
      <c r="H140" s="4"/>
      <c r="I140" s="4"/>
      <c r="J140" s="4"/>
      <c r="K140" s="123"/>
      <c r="L140" s="7"/>
      <c r="M140" s="12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23"/>
      <c r="D141" s="4"/>
      <c r="E141" s="4"/>
      <c r="F141" s="4"/>
      <c r="G141" s="4"/>
      <c r="H141" s="4"/>
      <c r="I141" s="4"/>
      <c r="J141" s="4"/>
      <c r="K141" s="123"/>
      <c r="L141" s="7"/>
      <c r="M141" s="12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23"/>
      <c r="D142" s="4"/>
      <c r="E142" s="4"/>
      <c r="F142" s="4"/>
      <c r="G142" s="4"/>
      <c r="H142" s="4"/>
      <c r="I142" s="4"/>
      <c r="J142" s="4"/>
      <c r="K142" s="123"/>
      <c r="L142" s="7"/>
      <c r="M142" s="12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23"/>
      <c r="D143" s="4"/>
      <c r="E143" s="4"/>
      <c r="F143" s="4"/>
      <c r="G143" s="4"/>
      <c r="H143" s="4"/>
      <c r="I143" s="4"/>
      <c r="J143" s="4"/>
      <c r="K143" s="123"/>
      <c r="L143" s="7"/>
      <c r="M143" s="12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23"/>
      <c r="D144" s="4"/>
      <c r="E144" s="4"/>
      <c r="F144" s="4"/>
      <c r="G144" s="4"/>
      <c r="H144" s="4"/>
      <c r="I144" s="4"/>
      <c r="J144" s="4"/>
      <c r="K144" s="123"/>
      <c r="L144" s="7"/>
      <c r="M144" s="12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23"/>
      <c r="D145" s="4"/>
      <c r="E145" s="4"/>
      <c r="F145" s="4"/>
      <c r="G145" s="4"/>
      <c r="H145" s="4"/>
      <c r="I145" s="4"/>
      <c r="J145" s="4"/>
      <c r="K145" s="123"/>
      <c r="L145" s="7"/>
      <c r="M145" s="12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23"/>
      <c r="D146" s="4"/>
      <c r="E146" s="4"/>
      <c r="F146" s="4"/>
      <c r="G146" s="4"/>
      <c r="H146" s="4"/>
      <c r="I146" s="4"/>
      <c r="J146" s="4"/>
      <c r="K146" s="123"/>
      <c r="L146" s="7"/>
      <c r="M146" s="12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23"/>
      <c r="D147" s="4"/>
      <c r="E147" s="4"/>
      <c r="F147" s="4"/>
      <c r="G147" s="4"/>
      <c r="H147" s="4"/>
      <c r="I147" s="4"/>
      <c r="J147" s="4"/>
      <c r="K147" s="123"/>
      <c r="L147" s="7"/>
      <c r="M147" s="12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23"/>
      <c r="D148" s="4"/>
      <c r="E148" s="4"/>
      <c r="F148" s="4"/>
      <c r="G148" s="4"/>
      <c r="H148" s="4"/>
      <c r="I148" s="4"/>
      <c r="J148" s="4"/>
      <c r="K148" s="123"/>
      <c r="L148" s="7"/>
      <c r="M148" s="12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23"/>
      <c r="D149" s="4"/>
      <c r="E149" s="4"/>
      <c r="F149" s="4"/>
      <c r="G149" s="4"/>
      <c r="H149" s="4"/>
      <c r="I149" s="4"/>
      <c r="J149" s="4"/>
      <c r="K149" s="123"/>
      <c r="L149" s="7"/>
      <c r="M149" s="12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23"/>
      <c r="D150" s="4"/>
      <c r="E150" s="4"/>
      <c r="F150" s="4"/>
      <c r="G150" s="4"/>
      <c r="H150" s="4"/>
      <c r="I150" s="4"/>
      <c r="J150" s="4"/>
      <c r="K150" s="123"/>
      <c r="L150" s="7"/>
      <c r="M150" s="12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23"/>
      <c r="D151" s="4"/>
      <c r="E151" s="4"/>
      <c r="F151" s="4"/>
      <c r="G151" s="4"/>
      <c r="H151" s="4"/>
      <c r="I151" s="4"/>
      <c r="J151" s="4"/>
      <c r="K151" s="123"/>
      <c r="L151" s="7"/>
      <c r="M151" s="12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23"/>
      <c r="D152" s="4"/>
      <c r="E152" s="4"/>
      <c r="F152" s="4"/>
      <c r="G152" s="4"/>
      <c r="H152" s="4"/>
      <c r="I152" s="4"/>
      <c r="J152" s="4"/>
      <c r="K152" s="123"/>
      <c r="L152" s="7"/>
      <c r="M152" s="12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23"/>
      <c r="D153" s="4"/>
      <c r="E153" s="4"/>
      <c r="F153" s="4"/>
      <c r="G153" s="4"/>
      <c r="H153" s="4"/>
      <c r="I153" s="4"/>
      <c r="J153" s="4"/>
      <c r="K153" s="123"/>
      <c r="L153" s="7"/>
      <c r="M153" s="12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23"/>
      <c r="D154" s="4"/>
      <c r="E154" s="4"/>
      <c r="F154" s="4"/>
      <c r="G154" s="4"/>
      <c r="H154" s="4"/>
      <c r="I154" s="4"/>
      <c r="J154" s="4"/>
      <c r="K154" s="123"/>
      <c r="L154" s="7"/>
      <c r="M154" s="12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23"/>
      <c r="D155" s="4"/>
      <c r="E155" s="4"/>
      <c r="F155" s="4"/>
      <c r="G155" s="4"/>
      <c r="H155" s="4"/>
      <c r="I155" s="4"/>
      <c r="J155" s="4"/>
      <c r="K155" s="123"/>
      <c r="L155" s="7"/>
      <c r="M155" s="12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23"/>
      <c r="D156" s="4"/>
      <c r="E156" s="4"/>
      <c r="F156" s="4"/>
      <c r="G156" s="4"/>
      <c r="H156" s="4"/>
      <c r="I156" s="4"/>
      <c r="J156" s="4"/>
      <c r="K156" s="123"/>
      <c r="L156" s="7"/>
      <c r="M156" s="12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23"/>
      <c r="D157" s="4"/>
      <c r="E157" s="4"/>
      <c r="F157" s="4"/>
      <c r="G157" s="4"/>
      <c r="H157" s="4"/>
      <c r="I157" s="4"/>
      <c r="J157" s="4"/>
      <c r="K157" s="123"/>
      <c r="L157" s="7"/>
      <c r="M157" s="12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23"/>
      <c r="D158" s="4"/>
      <c r="E158" s="4"/>
      <c r="F158" s="4"/>
      <c r="G158" s="4"/>
      <c r="H158" s="4"/>
      <c r="I158" s="4"/>
      <c r="J158" s="4"/>
      <c r="K158" s="123"/>
      <c r="L158" s="7"/>
      <c r="M158" s="12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23"/>
      <c r="D159" s="4"/>
      <c r="E159" s="4"/>
      <c r="F159" s="4"/>
      <c r="G159" s="4"/>
      <c r="H159" s="4"/>
      <c r="I159" s="4"/>
      <c r="J159" s="4"/>
      <c r="K159" s="123"/>
      <c r="L159" s="7"/>
      <c r="M159" s="12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23"/>
      <c r="D160" s="4"/>
      <c r="E160" s="4"/>
      <c r="F160" s="4"/>
      <c r="G160" s="4"/>
      <c r="H160" s="4"/>
      <c r="I160" s="4"/>
      <c r="J160" s="4"/>
      <c r="K160" s="123"/>
      <c r="L160" s="7"/>
      <c r="M160" s="12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23"/>
      <c r="D161" s="4"/>
      <c r="E161" s="4"/>
      <c r="F161" s="4"/>
      <c r="G161" s="4"/>
      <c r="H161" s="4"/>
      <c r="I161" s="4"/>
      <c r="J161" s="4"/>
      <c r="K161" s="123"/>
      <c r="L161" s="7"/>
      <c r="M161" s="12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23"/>
      <c r="D162" s="4"/>
      <c r="E162" s="4"/>
      <c r="F162" s="4"/>
      <c r="G162" s="4"/>
      <c r="H162" s="4"/>
      <c r="I162" s="4"/>
      <c r="J162" s="4"/>
      <c r="K162" s="123"/>
      <c r="L162" s="7"/>
      <c r="M162" s="12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23"/>
      <c r="D163" s="4"/>
      <c r="E163" s="4"/>
      <c r="F163" s="4"/>
      <c r="G163" s="4"/>
      <c r="H163" s="4"/>
      <c r="I163" s="4"/>
      <c r="J163" s="4"/>
      <c r="K163" s="123"/>
      <c r="L163" s="7"/>
      <c r="M163" s="12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23"/>
      <c r="D164" s="4"/>
      <c r="E164" s="4"/>
      <c r="F164" s="4"/>
      <c r="G164" s="4"/>
      <c r="H164" s="4"/>
      <c r="I164" s="4"/>
      <c r="J164" s="4"/>
      <c r="K164" s="123"/>
      <c r="L164" s="7"/>
      <c r="M164" s="12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23"/>
      <c r="D165" s="4"/>
      <c r="E165" s="4"/>
      <c r="F165" s="4"/>
      <c r="G165" s="4"/>
      <c r="H165" s="4"/>
      <c r="I165" s="4"/>
      <c r="J165" s="4"/>
      <c r="K165" s="123"/>
      <c r="L165" s="7"/>
      <c r="M165" s="12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23"/>
      <c r="D166" s="4"/>
      <c r="E166" s="4"/>
      <c r="F166" s="4"/>
      <c r="G166" s="4"/>
      <c r="H166" s="4"/>
      <c r="I166" s="4"/>
      <c r="J166" s="4"/>
      <c r="K166" s="123"/>
      <c r="L166" s="7"/>
      <c r="M166" s="12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23"/>
      <c r="D167" s="4"/>
      <c r="E167" s="4"/>
      <c r="F167" s="4"/>
      <c r="G167" s="4"/>
      <c r="H167" s="4"/>
      <c r="I167" s="4"/>
      <c r="J167" s="4"/>
      <c r="K167" s="123"/>
      <c r="L167" s="7"/>
      <c r="M167" s="12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23"/>
      <c r="D168" s="4"/>
      <c r="E168" s="4"/>
      <c r="F168" s="4"/>
      <c r="G168" s="4"/>
      <c r="H168" s="4"/>
      <c r="I168" s="4"/>
      <c r="J168" s="4"/>
      <c r="K168" s="123"/>
      <c r="L168" s="7"/>
      <c r="M168" s="12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23"/>
      <c r="D169" s="4"/>
      <c r="E169" s="4"/>
      <c r="F169" s="4"/>
      <c r="G169" s="4"/>
      <c r="H169" s="4"/>
      <c r="I169" s="4"/>
      <c r="J169" s="4"/>
      <c r="K169" s="123"/>
      <c r="L169" s="7"/>
      <c r="M169" s="12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23"/>
      <c r="D170" s="4"/>
      <c r="E170" s="4"/>
      <c r="F170" s="4"/>
      <c r="G170" s="4"/>
      <c r="H170" s="4"/>
      <c r="I170" s="4"/>
      <c r="J170" s="4"/>
      <c r="K170" s="123"/>
      <c r="L170" s="7"/>
      <c r="M170" s="12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23"/>
      <c r="D171" s="4"/>
      <c r="E171" s="4"/>
      <c r="F171" s="4"/>
      <c r="G171" s="4"/>
      <c r="H171" s="4"/>
      <c r="I171" s="4"/>
      <c r="J171" s="4"/>
      <c r="K171" s="123"/>
      <c r="L171" s="7"/>
      <c r="M171" s="12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23"/>
      <c r="D172" s="4"/>
      <c r="E172" s="4"/>
      <c r="F172" s="4"/>
      <c r="G172" s="4"/>
      <c r="H172" s="4"/>
      <c r="I172" s="4"/>
      <c r="J172" s="4"/>
      <c r="K172" s="123"/>
      <c r="L172" s="7"/>
      <c r="M172" s="12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23"/>
      <c r="D173" s="4"/>
      <c r="E173" s="4"/>
      <c r="F173" s="4"/>
      <c r="G173" s="4"/>
      <c r="H173" s="4"/>
      <c r="I173" s="4"/>
      <c r="J173" s="4"/>
      <c r="K173" s="123"/>
      <c r="L173" s="7"/>
      <c r="M173" s="12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23"/>
      <c r="D174" s="4"/>
      <c r="E174" s="4"/>
      <c r="F174" s="4"/>
      <c r="G174" s="4"/>
      <c r="H174" s="4"/>
      <c r="I174" s="4"/>
      <c r="J174" s="4"/>
      <c r="K174" s="123"/>
      <c r="L174" s="7"/>
      <c r="M174" s="12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23"/>
      <c r="D175" s="4"/>
      <c r="E175" s="4"/>
      <c r="F175" s="4"/>
      <c r="G175" s="4"/>
      <c r="H175" s="4"/>
      <c r="I175" s="4"/>
      <c r="J175" s="4"/>
      <c r="K175" s="123"/>
      <c r="L175" s="7"/>
      <c r="M175" s="12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23"/>
      <c r="D176" s="4"/>
      <c r="E176" s="4"/>
      <c r="F176" s="4"/>
      <c r="G176" s="4"/>
      <c r="H176" s="4"/>
      <c r="I176" s="4"/>
      <c r="J176" s="4"/>
      <c r="K176" s="123"/>
      <c r="L176" s="7"/>
      <c r="M176" s="12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23"/>
      <c r="D177" s="4"/>
      <c r="E177" s="4"/>
      <c r="F177" s="4"/>
      <c r="G177" s="4"/>
      <c r="H177" s="4"/>
      <c r="I177" s="4"/>
      <c r="J177" s="4"/>
      <c r="K177" s="123"/>
      <c r="L177" s="7"/>
      <c r="M177" s="12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23"/>
      <c r="D178" s="4"/>
      <c r="E178" s="4"/>
      <c r="F178" s="4"/>
      <c r="G178" s="4"/>
      <c r="H178" s="4"/>
      <c r="I178" s="4"/>
      <c r="J178" s="4"/>
      <c r="K178" s="123"/>
      <c r="L178" s="7"/>
      <c r="M178" s="12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23"/>
      <c r="D179" s="4"/>
      <c r="E179" s="4"/>
      <c r="F179" s="4"/>
      <c r="G179" s="4"/>
      <c r="H179" s="4"/>
      <c r="I179" s="4"/>
      <c r="J179" s="4"/>
      <c r="K179" s="123"/>
      <c r="L179" s="7"/>
      <c r="M179" s="12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23"/>
      <c r="D180" s="4"/>
      <c r="E180" s="4"/>
      <c r="F180" s="4"/>
      <c r="G180" s="4"/>
      <c r="H180" s="4"/>
      <c r="I180" s="4"/>
      <c r="J180" s="4"/>
      <c r="K180" s="123"/>
      <c r="L180" s="7"/>
      <c r="M180" s="12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23"/>
      <c r="D181" s="4"/>
      <c r="E181" s="4"/>
      <c r="F181" s="4"/>
      <c r="G181" s="4"/>
      <c r="H181" s="4"/>
      <c r="I181" s="4"/>
      <c r="J181" s="4"/>
      <c r="K181" s="123"/>
      <c r="L181" s="7"/>
      <c r="M181" s="12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23"/>
      <c r="D182" s="4"/>
      <c r="E182" s="4"/>
      <c r="F182" s="4"/>
      <c r="G182" s="4"/>
      <c r="H182" s="4"/>
      <c r="I182" s="4"/>
      <c r="J182" s="4"/>
      <c r="K182" s="123"/>
      <c r="L182" s="7"/>
      <c r="M182" s="12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23"/>
      <c r="D183" s="4"/>
      <c r="E183" s="4"/>
      <c r="F183" s="4"/>
      <c r="G183" s="4"/>
      <c r="H183" s="4"/>
      <c r="I183" s="4"/>
      <c r="J183" s="4"/>
      <c r="K183" s="123"/>
      <c r="L183" s="7"/>
      <c r="M183" s="12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23"/>
      <c r="D184" s="4"/>
      <c r="E184" s="4"/>
      <c r="F184" s="4"/>
      <c r="G184" s="4"/>
      <c r="H184" s="4"/>
      <c r="I184" s="4"/>
      <c r="J184" s="4"/>
      <c r="K184" s="123"/>
      <c r="L184" s="7"/>
      <c r="M184" s="12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23"/>
      <c r="D185" s="4"/>
      <c r="E185" s="4"/>
      <c r="F185" s="4"/>
      <c r="G185" s="4"/>
      <c r="H185" s="4"/>
      <c r="I185" s="4"/>
      <c r="J185" s="4"/>
      <c r="K185" s="123"/>
      <c r="L185" s="7"/>
      <c r="M185" s="12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23"/>
      <c r="D186" s="4"/>
      <c r="E186" s="4"/>
      <c r="F186" s="4"/>
      <c r="G186" s="4"/>
      <c r="H186" s="4"/>
      <c r="I186" s="4"/>
      <c r="J186" s="4"/>
      <c r="K186" s="123"/>
      <c r="L186" s="7"/>
      <c r="M186" s="12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23"/>
      <c r="D187" s="4"/>
      <c r="E187" s="4"/>
      <c r="F187" s="4"/>
      <c r="G187" s="4"/>
      <c r="H187" s="4"/>
      <c r="I187" s="4"/>
      <c r="J187" s="4"/>
      <c r="K187" s="123"/>
      <c r="L187" s="7"/>
      <c r="M187" s="12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23"/>
      <c r="D188" s="4"/>
      <c r="E188" s="4"/>
      <c r="F188" s="4"/>
      <c r="G188" s="4"/>
      <c r="H188" s="4"/>
      <c r="I188" s="4"/>
      <c r="J188" s="4"/>
      <c r="K188" s="123"/>
      <c r="L188" s="7"/>
      <c r="M188" s="12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23"/>
      <c r="D189" s="4"/>
      <c r="E189" s="4"/>
      <c r="F189" s="4"/>
      <c r="G189" s="4"/>
      <c r="H189" s="4"/>
      <c r="I189" s="4"/>
      <c r="J189" s="4"/>
      <c r="K189" s="123"/>
      <c r="L189" s="7"/>
      <c r="M189" s="12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23"/>
      <c r="D190" s="4"/>
      <c r="E190" s="4"/>
      <c r="F190" s="4"/>
      <c r="G190" s="4"/>
      <c r="H190" s="4"/>
      <c r="I190" s="4"/>
      <c r="J190" s="4"/>
      <c r="K190" s="123"/>
      <c r="L190" s="7"/>
      <c r="M190" s="12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23"/>
      <c r="D191" s="4"/>
      <c r="E191" s="4"/>
      <c r="F191" s="4"/>
      <c r="G191" s="4"/>
      <c r="H191" s="4"/>
      <c r="I191" s="4"/>
      <c r="J191" s="4"/>
      <c r="K191" s="123"/>
      <c r="L191" s="7"/>
      <c r="M191" s="12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23"/>
      <c r="D192" s="4"/>
      <c r="E192" s="4"/>
      <c r="F192" s="4"/>
      <c r="G192" s="4"/>
      <c r="H192" s="4"/>
      <c r="I192" s="4"/>
      <c r="J192" s="4"/>
      <c r="K192" s="123"/>
      <c r="L192" s="7"/>
      <c r="M192" s="12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23"/>
      <c r="D193" s="4"/>
      <c r="E193" s="4"/>
      <c r="F193" s="4"/>
      <c r="G193" s="4"/>
      <c r="H193" s="4"/>
      <c r="I193" s="4"/>
      <c r="J193" s="4"/>
      <c r="K193" s="123"/>
      <c r="L193" s="7"/>
      <c r="M193" s="12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23"/>
      <c r="D194" s="4"/>
      <c r="E194" s="4"/>
      <c r="F194" s="4"/>
      <c r="G194" s="4"/>
      <c r="H194" s="4"/>
      <c r="I194" s="4"/>
      <c r="J194" s="4"/>
      <c r="K194" s="123"/>
      <c r="L194" s="7"/>
      <c r="M194" s="12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23"/>
      <c r="D195" s="4"/>
      <c r="E195" s="4"/>
      <c r="F195" s="4"/>
      <c r="G195" s="4"/>
      <c r="H195" s="4"/>
      <c r="I195" s="4"/>
      <c r="J195" s="4"/>
      <c r="K195" s="123"/>
      <c r="L195" s="7"/>
      <c r="M195" s="12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23"/>
      <c r="D196" s="4"/>
      <c r="E196" s="4"/>
      <c r="F196" s="4"/>
      <c r="G196" s="4"/>
      <c r="H196" s="4"/>
      <c r="I196" s="4"/>
      <c r="J196" s="4"/>
      <c r="K196" s="123"/>
      <c r="L196" s="7"/>
      <c r="M196" s="12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23"/>
      <c r="D197" s="4"/>
      <c r="E197" s="4"/>
      <c r="F197" s="4"/>
      <c r="G197" s="4"/>
      <c r="H197" s="4"/>
      <c r="I197" s="4"/>
      <c r="J197" s="4"/>
      <c r="K197" s="123"/>
      <c r="L197" s="7"/>
      <c r="M197" s="12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23"/>
      <c r="D198" s="4"/>
      <c r="E198" s="4"/>
      <c r="F198" s="4"/>
      <c r="G198" s="4"/>
      <c r="H198" s="4"/>
      <c r="I198" s="4"/>
      <c r="J198" s="4"/>
      <c r="K198" s="123"/>
      <c r="L198" s="7"/>
      <c r="M198" s="12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23"/>
      <c r="D199" s="4"/>
      <c r="E199" s="4"/>
      <c r="F199" s="4"/>
      <c r="G199" s="4"/>
      <c r="H199" s="4"/>
      <c r="I199" s="4"/>
      <c r="J199" s="4"/>
      <c r="K199" s="123"/>
      <c r="L199" s="7"/>
      <c r="M199" s="12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23"/>
      <c r="D200" s="4"/>
      <c r="E200" s="4"/>
      <c r="F200" s="4"/>
      <c r="G200" s="4"/>
      <c r="H200" s="4"/>
      <c r="I200" s="4"/>
      <c r="J200" s="4"/>
      <c r="K200" s="123"/>
      <c r="L200" s="7"/>
      <c r="M200" s="12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23"/>
      <c r="D201" s="4"/>
      <c r="E201" s="4"/>
      <c r="F201" s="4"/>
      <c r="G201" s="4"/>
      <c r="H201" s="4"/>
      <c r="I201" s="4"/>
      <c r="J201" s="4"/>
      <c r="K201" s="123"/>
      <c r="L201" s="7"/>
      <c r="M201" s="12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23"/>
      <c r="D202" s="4"/>
      <c r="E202" s="4"/>
      <c r="F202" s="4"/>
      <c r="G202" s="4"/>
      <c r="H202" s="4"/>
      <c r="I202" s="4"/>
      <c r="J202" s="4"/>
      <c r="K202" s="123"/>
      <c r="L202" s="7"/>
      <c r="M202" s="12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23"/>
      <c r="D203" s="4"/>
      <c r="E203" s="4"/>
      <c r="F203" s="4"/>
      <c r="G203" s="4"/>
      <c r="H203" s="4"/>
      <c r="I203" s="4"/>
      <c r="J203" s="4"/>
      <c r="K203" s="123"/>
      <c r="L203" s="7"/>
      <c r="M203" s="12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23"/>
      <c r="D204" s="4"/>
      <c r="E204" s="4"/>
      <c r="F204" s="4"/>
      <c r="G204" s="4"/>
      <c r="H204" s="4"/>
      <c r="I204" s="4"/>
      <c r="J204" s="4"/>
      <c r="K204" s="123"/>
      <c r="L204" s="7"/>
      <c r="M204" s="12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23"/>
      <c r="D205" s="4"/>
      <c r="E205" s="4"/>
      <c r="F205" s="4"/>
      <c r="G205" s="4"/>
      <c r="H205" s="4"/>
      <c r="I205" s="4"/>
      <c r="J205" s="4"/>
      <c r="K205" s="123"/>
      <c r="L205" s="7"/>
      <c r="M205" s="12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23"/>
      <c r="D206" s="4"/>
      <c r="E206" s="4"/>
      <c r="F206" s="4"/>
      <c r="G206" s="4"/>
      <c r="H206" s="4"/>
      <c r="I206" s="4"/>
      <c r="J206" s="4"/>
      <c r="K206" s="123"/>
      <c r="L206" s="7"/>
      <c r="M206" s="12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23"/>
      <c r="D207" s="4"/>
      <c r="E207" s="4"/>
      <c r="F207" s="4"/>
      <c r="G207" s="4"/>
      <c r="H207" s="4"/>
      <c r="I207" s="4"/>
      <c r="J207" s="4"/>
      <c r="K207" s="123"/>
      <c r="L207" s="7"/>
      <c r="M207" s="12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23"/>
      <c r="D208" s="4"/>
      <c r="E208" s="4"/>
      <c r="F208" s="4"/>
      <c r="G208" s="4"/>
      <c r="H208" s="4"/>
      <c r="I208" s="4"/>
      <c r="J208" s="4"/>
      <c r="K208" s="123"/>
      <c r="L208" s="7"/>
      <c r="M208" s="12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23"/>
      <c r="D209" s="4"/>
      <c r="E209" s="4"/>
      <c r="F209" s="4"/>
      <c r="G209" s="4"/>
      <c r="H209" s="4"/>
      <c r="I209" s="4"/>
      <c r="J209" s="4"/>
      <c r="K209" s="123"/>
      <c r="L209" s="7"/>
      <c r="M209" s="12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23"/>
      <c r="D210" s="4"/>
      <c r="E210" s="4"/>
      <c r="F210" s="4"/>
      <c r="G210" s="4"/>
      <c r="H210" s="4"/>
      <c r="I210" s="4"/>
      <c r="J210" s="4"/>
      <c r="K210" s="123"/>
      <c r="L210" s="7"/>
      <c r="M210" s="12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23"/>
      <c r="D211" s="4"/>
      <c r="E211" s="4"/>
      <c r="F211" s="4"/>
      <c r="G211" s="4"/>
      <c r="H211" s="4"/>
      <c r="I211" s="4"/>
      <c r="J211" s="4"/>
      <c r="K211" s="123"/>
      <c r="L211" s="7"/>
      <c r="M211" s="12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23"/>
      <c r="D212" s="4"/>
      <c r="E212" s="4"/>
      <c r="F212" s="4"/>
      <c r="G212" s="4"/>
      <c r="H212" s="4"/>
      <c r="I212" s="4"/>
      <c r="J212" s="4"/>
      <c r="K212" s="123"/>
      <c r="L212" s="7"/>
      <c r="M212" s="12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23"/>
      <c r="D213" s="4"/>
      <c r="E213" s="4"/>
      <c r="F213" s="4"/>
      <c r="G213" s="4"/>
      <c r="H213" s="4"/>
      <c r="I213" s="4"/>
      <c r="J213" s="4"/>
      <c r="K213" s="123"/>
      <c r="L213" s="7"/>
      <c r="M213" s="12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23"/>
      <c r="D214" s="4"/>
      <c r="E214" s="4"/>
      <c r="F214" s="4"/>
      <c r="G214" s="4"/>
      <c r="H214" s="4"/>
      <c r="I214" s="4"/>
      <c r="J214" s="4"/>
      <c r="K214" s="123"/>
      <c r="L214" s="7"/>
      <c r="M214" s="12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23"/>
      <c r="D215" s="4"/>
      <c r="E215" s="4"/>
      <c r="F215" s="4"/>
      <c r="G215" s="4"/>
      <c r="H215" s="4"/>
      <c r="I215" s="4"/>
      <c r="J215" s="4"/>
      <c r="K215" s="123"/>
      <c r="L215" s="7"/>
      <c r="M215" s="12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23"/>
      <c r="D216" s="4"/>
      <c r="E216" s="4"/>
      <c r="F216" s="4"/>
      <c r="G216" s="4"/>
      <c r="H216" s="4"/>
      <c r="I216" s="4"/>
      <c r="J216" s="4"/>
      <c r="K216" s="123"/>
      <c r="L216" s="7"/>
      <c r="M216" s="12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23"/>
      <c r="D217" s="4"/>
      <c r="E217" s="4"/>
      <c r="F217" s="4"/>
      <c r="G217" s="4"/>
      <c r="H217" s="4"/>
      <c r="I217" s="4"/>
      <c r="J217" s="4"/>
      <c r="K217" s="123"/>
      <c r="L217" s="7"/>
      <c r="M217" s="12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23"/>
      <c r="D218" s="4"/>
      <c r="E218" s="4"/>
      <c r="F218" s="4"/>
      <c r="G218" s="4"/>
      <c r="H218" s="4"/>
      <c r="I218" s="4"/>
      <c r="J218" s="4"/>
      <c r="K218" s="123"/>
      <c r="L218" s="7"/>
      <c r="M218" s="12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23"/>
      <c r="D219" s="4"/>
      <c r="E219" s="4"/>
      <c r="F219" s="4"/>
      <c r="G219" s="4"/>
      <c r="H219" s="4"/>
      <c r="I219" s="4"/>
      <c r="J219" s="4"/>
      <c r="K219" s="123"/>
      <c r="L219" s="7"/>
      <c r="M219" s="12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23"/>
      <c r="D220" s="4"/>
      <c r="E220" s="4"/>
      <c r="F220" s="4"/>
      <c r="G220" s="4"/>
      <c r="H220" s="4"/>
      <c r="I220" s="4"/>
      <c r="J220" s="4"/>
      <c r="K220" s="123"/>
      <c r="L220" s="7"/>
      <c r="M220" s="12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23"/>
      <c r="D221" s="4"/>
      <c r="E221" s="4"/>
      <c r="F221" s="4"/>
      <c r="G221" s="4"/>
      <c r="H221" s="4"/>
      <c r="I221" s="4"/>
      <c r="J221" s="4"/>
      <c r="K221" s="123"/>
      <c r="L221" s="7"/>
      <c r="M221" s="12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23"/>
      <c r="D222" s="4"/>
      <c r="E222" s="4"/>
      <c r="F222" s="4"/>
      <c r="G222" s="4"/>
      <c r="H222" s="4"/>
      <c r="I222" s="4"/>
      <c r="J222" s="4"/>
      <c r="K222" s="123"/>
      <c r="L222" s="7"/>
      <c r="M222" s="12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23"/>
      <c r="D223" s="4"/>
      <c r="E223" s="4"/>
      <c r="F223" s="4"/>
      <c r="G223" s="4"/>
      <c r="H223" s="4"/>
      <c r="I223" s="4"/>
      <c r="J223" s="4"/>
      <c r="K223" s="123"/>
      <c r="L223" s="7"/>
      <c r="M223" s="12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23"/>
      <c r="D224" s="4"/>
      <c r="E224" s="4"/>
      <c r="F224" s="4"/>
      <c r="G224" s="4"/>
      <c r="H224" s="4"/>
      <c r="I224" s="4"/>
      <c r="J224" s="4"/>
      <c r="K224" s="123"/>
      <c r="L224" s="7"/>
      <c r="M224" s="12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23"/>
      <c r="D225" s="4"/>
      <c r="E225" s="4"/>
      <c r="F225" s="4"/>
      <c r="G225" s="4"/>
      <c r="H225" s="4"/>
      <c r="I225" s="4"/>
      <c r="J225" s="4"/>
      <c r="K225" s="123"/>
      <c r="L225" s="7"/>
      <c r="M225" s="12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23"/>
      <c r="D226" s="4"/>
      <c r="E226" s="4"/>
      <c r="F226" s="4"/>
      <c r="G226" s="4"/>
      <c r="H226" s="4"/>
      <c r="I226" s="4"/>
      <c r="J226" s="4"/>
      <c r="K226" s="123"/>
      <c r="L226" s="7"/>
      <c r="M226" s="12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23"/>
      <c r="D227" s="4"/>
      <c r="E227" s="4"/>
      <c r="F227" s="4"/>
      <c r="G227" s="4"/>
      <c r="H227" s="4"/>
      <c r="I227" s="4"/>
      <c r="J227" s="4"/>
      <c r="K227" s="123"/>
      <c r="L227" s="7"/>
      <c r="M227" s="12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23"/>
      <c r="D228" s="4"/>
      <c r="E228" s="4"/>
      <c r="F228" s="4"/>
      <c r="G228" s="4"/>
      <c r="H228" s="4"/>
      <c r="I228" s="4"/>
      <c r="J228" s="4"/>
      <c r="K228" s="123"/>
      <c r="L228" s="7"/>
      <c r="M228" s="12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23"/>
      <c r="D229" s="4"/>
      <c r="E229" s="4"/>
      <c r="F229" s="4"/>
      <c r="G229" s="4"/>
      <c r="H229" s="4"/>
      <c r="I229" s="4"/>
      <c r="J229" s="4"/>
      <c r="K229" s="123"/>
      <c r="L229" s="7"/>
      <c r="M229" s="12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23"/>
      <c r="D230" s="4"/>
      <c r="E230" s="4"/>
      <c r="F230" s="4"/>
      <c r="G230" s="4"/>
      <c r="H230" s="4"/>
      <c r="I230" s="4"/>
      <c r="J230" s="4"/>
      <c r="K230" s="123"/>
      <c r="L230" s="7"/>
      <c r="M230" s="12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23"/>
      <c r="D231" s="4"/>
      <c r="E231" s="4"/>
      <c r="F231" s="4"/>
      <c r="G231" s="4"/>
      <c r="H231" s="4"/>
      <c r="I231" s="4"/>
      <c r="J231" s="4"/>
      <c r="K231" s="123"/>
      <c r="L231" s="7"/>
      <c r="M231" s="12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23"/>
      <c r="D232" s="4"/>
      <c r="E232" s="4"/>
      <c r="F232" s="4"/>
      <c r="G232" s="4"/>
      <c r="H232" s="4"/>
      <c r="I232" s="4"/>
      <c r="J232" s="4"/>
      <c r="K232" s="123"/>
      <c r="L232" s="7"/>
      <c r="M232" s="12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23"/>
      <c r="D233" s="4"/>
      <c r="E233" s="4"/>
      <c r="F233" s="4"/>
      <c r="G233" s="4"/>
      <c r="H233" s="4"/>
      <c r="I233" s="4"/>
      <c r="J233" s="4"/>
      <c r="K233" s="123"/>
      <c r="L233" s="7"/>
      <c r="M233" s="12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23"/>
      <c r="D234" s="4"/>
      <c r="E234" s="4"/>
      <c r="F234" s="4"/>
      <c r="G234" s="4"/>
      <c r="H234" s="4"/>
      <c r="I234" s="4"/>
      <c r="J234" s="4"/>
      <c r="K234" s="123"/>
      <c r="L234" s="7"/>
      <c r="M234" s="12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23"/>
      <c r="D235" s="4"/>
      <c r="E235" s="4"/>
      <c r="F235" s="4"/>
      <c r="G235" s="4"/>
      <c r="H235" s="4"/>
      <c r="I235" s="4"/>
      <c r="J235" s="4"/>
      <c r="K235" s="123"/>
      <c r="L235" s="7"/>
      <c r="M235" s="12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23"/>
      <c r="D236" s="4"/>
      <c r="E236" s="4"/>
      <c r="F236" s="4"/>
      <c r="G236" s="4"/>
      <c r="H236" s="4"/>
      <c r="I236" s="4"/>
      <c r="J236" s="4"/>
      <c r="K236" s="123"/>
      <c r="L236" s="7"/>
      <c r="M236" s="12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23"/>
      <c r="D237" s="4"/>
      <c r="E237" s="4"/>
      <c r="F237" s="4"/>
      <c r="G237" s="4"/>
      <c r="H237" s="4"/>
      <c r="I237" s="4"/>
      <c r="J237" s="4"/>
      <c r="K237" s="123"/>
      <c r="L237" s="7"/>
      <c r="M237" s="12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23"/>
      <c r="D238" s="4"/>
      <c r="E238" s="4"/>
      <c r="F238" s="4"/>
      <c r="G238" s="4"/>
      <c r="H238" s="4"/>
      <c r="I238" s="4"/>
      <c r="J238" s="4"/>
      <c r="K238" s="123"/>
      <c r="L238" s="7"/>
      <c r="M238" s="12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23"/>
      <c r="D239" s="4"/>
      <c r="E239" s="4"/>
      <c r="F239" s="4"/>
      <c r="G239" s="4"/>
      <c r="H239" s="4"/>
      <c r="I239" s="4"/>
      <c r="J239" s="4"/>
      <c r="K239" s="123"/>
      <c r="L239" s="7"/>
      <c r="M239" s="12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23"/>
      <c r="D240" s="4"/>
      <c r="E240" s="4"/>
      <c r="F240" s="4"/>
      <c r="G240" s="4"/>
      <c r="H240" s="4"/>
      <c r="I240" s="4"/>
      <c r="J240" s="4"/>
      <c r="K240" s="123"/>
      <c r="L240" s="7"/>
      <c r="M240" s="12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23"/>
      <c r="D241" s="4"/>
      <c r="E241" s="4"/>
      <c r="F241" s="4"/>
      <c r="G241" s="4"/>
      <c r="H241" s="4"/>
      <c r="I241" s="4"/>
      <c r="J241" s="4"/>
      <c r="K241" s="123"/>
      <c r="L241" s="7"/>
      <c r="M241" s="12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23"/>
      <c r="D242" s="4"/>
      <c r="E242" s="4"/>
      <c r="F242" s="4"/>
      <c r="G242" s="4"/>
      <c r="H242" s="4"/>
      <c r="I242" s="4"/>
      <c r="J242" s="4"/>
      <c r="K242" s="123"/>
      <c r="L242" s="7"/>
      <c r="M242" s="12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23"/>
      <c r="D243" s="4"/>
      <c r="E243" s="4"/>
      <c r="F243" s="4"/>
      <c r="G243" s="4"/>
      <c r="H243" s="4"/>
      <c r="I243" s="4"/>
      <c r="J243" s="4"/>
      <c r="K243" s="123"/>
      <c r="L243" s="7"/>
      <c r="M243" s="12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23"/>
      <c r="D244" s="4"/>
      <c r="E244" s="4"/>
      <c r="F244" s="4"/>
      <c r="G244" s="4"/>
      <c r="H244" s="4"/>
      <c r="I244" s="4"/>
      <c r="J244" s="4"/>
      <c r="K244" s="123"/>
      <c r="L244" s="7"/>
      <c r="M244" s="12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23"/>
      <c r="D245" s="4"/>
      <c r="E245" s="4"/>
      <c r="F245" s="4"/>
      <c r="G245" s="4"/>
      <c r="H245" s="4"/>
      <c r="I245" s="4"/>
      <c r="J245" s="4"/>
      <c r="K245" s="123"/>
      <c r="L245" s="7"/>
      <c r="M245" s="12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23"/>
      <c r="D246" s="4"/>
      <c r="E246" s="4"/>
      <c r="F246" s="4"/>
      <c r="G246" s="4"/>
      <c r="H246" s="4"/>
      <c r="I246" s="4"/>
      <c r="J246" s="4"/>
      <c r="K246" s="123"/>
      <c r="L246" s="7"/>
      <c r="M246" s="12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23"/>
      <c r="D247" s="4"/>
      <c r="E247" s="4"/>
      <c r="F247" s="4"/>
      <c r="G247" s="4"/>
      <c r="H247" s="4"/>
      <c r="I247" s="4"/>
      <c r="J247" s="4"/>
      <c r="K247" s="123"/>
      <c r="L247" s="7"/>
      <c r="M247" s="12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23"/>
      <c r="D248" s="4"/>
      <c r="E248" s="4"/>
      <c r="F248" s="4"/>
      <c r="G248" s="4"/>
      <c r="H248" s="4"/>
      <c r="I248" s="4"/>
      <c r="J248" s="4"/>
      <c r="K248" s="123"/>
      <c r="L248" s="7"/>
      <c r="M248" s="12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23"/>
      <c r="D249" s="4"/>
      <c r="E249" s="4"/>
      <c r="F249" s="4"/>
      <c r="G249" s="4"/>
      <c r="H249" s="4"/>
      <c r="I249" s="4"/>
      <c r="J249" s="4"/>
      <c r="K249" s="123"/>
      <c r="L249" s="7"/>
      <c r="M249" s="12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23"/>
      <c r="D250" s="4"/>
      <c r="E250" s="4"/>
      <c r="F250" s="4"/>
      <c r="G250" s="4"/>
      <c r="H250" s="4"/>
      <c r="I250" s="4"/>
      <c r="J250" s="4"/>
      <c r="K250" s="123"/>
      <c r="L250" s="7"/>
      <c r="M250" s="12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23"/>
      <c r="D251" s="4"/>
      <c r="E251" s="4"/>
      <c r="F251" s="4"/>
      <c r="G251" s="4"/>
      <c r="H251" s="4"/>
      <c r="I251" s="4"/>
      <c r="J251" s="4"/>
      <c r="K251" s="123"/>
      <c r="L251" s="7"/>
      <c r="M251" s="12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23"/>
      <c r="D252" s="4"/>
      <c r="E252" s="4"/>
      <c r="F252" s="4"/>
      <c r="G252" s="4"/>
      <c r="H252" s="4"/>
      <c r="I252" s="4"/>
      <c r="J252" s="4"/>
      <c r="K252" s="123"/>
      <c r="L252" s="7"/>
      <c r="M252" s="12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23"/>
      <c r="D253" s="4"/>
      <c r="E253" s="4"/>
      <c r="F253" s="4"/>
      <c r="G253" s="4"/>
      <c r="H253" s="4"/>
      <c r="I253" s="4"/>
      <c r="J253" s="4"/>
      <c r="K253" s="123"/>
      <c r="L253" s="7"/>
      <c r="M253" s="12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23"/>
      <c r="D254" s="4"/>
      <c r="E254" s="4"/>
      <c r="F254" s="4"/>
      <c r="G254" s="4"/>
      <c r="H254" s="4"/>
      <c r="I254" s="4"/>
      <c r="J254" s="4"/>
      <c r="K254" s="123"/>
      <c r="L254" s="7"/>
      <c r="M254" s="12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23"/>
      <c r="D255" s="4"/>
      <c r="E255" s="4"/>
      <c r="F255" s="4"/>
      <c r="G255" s="4"/>
      <c r="H255" s="4"/>
      <c r="I255" s="4"/>
      <c r="J255" s="4"/>
      <c r="K255" s="123"/>
      <c r="L255" s="7"/>
      <c r="M255" s="12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23"/>
      <c r="D256" s="4"/>
      <c r="E256" s="4"/>
      <c r="F256" s="4"/>
      <c r="G256" s="4"/>
      <c r="H256" s="4"/>
      <c r="I256" s="4"/>
      <c r="J256" s="4"/>
      <c r="K256" s="123"/>
      <c r="L256" s="7"/>
      <c r="M256" s="12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23"/>
      <c r="D257" s="4"/>
      <c r="E257" s="4"/>
      <c r="F257" s="4"/>
      <c r="G257" s="4"/>
      <c r="H257" s="4"/>
      <c r="I257" s="4"/>
      <c r="J257" s="4"/>
      <c r="K257" s="123"/>
      <c r="L257" s="7"/>
      <c r="M257" s="12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23"/>
      <c r="D258" s="4"/>
      <c r="E258" s="4"/>
      <c r="F258" s="4"/>
      <c r="G258" s="4"/>
      <c r="H258" s="4"/>
      <c r="I258" s="4"/>
      <c r="J258" s="4"/>
      <c r="K258" s="123"/>
      <c r="L258" s="7"/>
      <c r="M258" s="12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23"/>
      <c r="D259" s="4"/>
      <c r="E259" s="4"/>
      <c r="F259" s="4"/>
      <c r="G259" s="4"/>
      <c r="H259" s="4"/>
      <c r="I259" s="4"/>
      <c r="J259" s="4"/>
      <c r="K259" s="123"/>
      <c r="L259" s="7"/>
      <c r="M259" s="12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23"/>
      <c r="D260" s="4"/>
      <c r="E260" s="4"/>
      <c r="F260" s="4"/>
      <c r="G260" s="4"/>
      <c r="H260" s="4"/>
      <c r="I260" s="4"/>
      <c r="J260" s="4"/>
      <c r="K260" s="123"/>
      <c r="L260" s="7"/>
      <c r="M260" s="12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23"/>
      <c r="D261" s="4"/>
      <c r="E261" s="4"/>
      <c r="F261" s="4"/>
      <c r="G261" s="4"/>
      <c r="H261" s="4"/>
      <c r="I261" s="4"/>
      <c r="J261" s="4"/>
      <c r="K261" s="123"/>
      <c r="L261" s="7"/>
      <c r="M261" s="12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23"/>
      <c r="D262" s="4"/>
      <c r="E262" s="4"/>
      <c r="F262" s="4"/>
      <c r="G262" s="4"/>
      <c r="H262" s="4"/>
      <c r="I262" s="4"/>
      <c r="J262" s="4"/>
      <c r="K262" s="123"/>
      <c r="L262" s="7"/>
      <c r="M262" s="12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23"/>
      <c r="D263" s="4"/>
      <c r="E263" s="4"/>
      <c r="F263" s="4"/>
      <c r="G263" s="4"/>
      <c r="H263" s="4"/>
      <c r="I263" s="4"/>
      <c r="J263" s="4"/>
      <c r="K263" s="123"/>
      <c r="L263" s="7"/>
      <c r="M263" s="12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23"/>
      <c r="D264" s="4"/>
      <c r="E264" s="4"/>
      <c r="F264" s="4"/>
      <c r="G264" s="4"/>
      <c r="H264" s="4"/>
      <c r="I264" s="4"/>
      <c r="J264" s="4"/>
      <c r="K264" s="123"/>
      <c r="L264" s="7"/>
      <c r="M264" s="12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23"/>
      <c r="D265" s="4"/>
      <c r="E265" s="4"/>
      <c r="F265" s="4"/>
      <c r="G265" s="4"/>
      <c r="H265" s="4"/>
      <c r="I265" s="4"/>
      <c r="J265" s="4"/>
      <c r="K265" s="123"/>
      <c r="L265" s="7"/>
      <c r="M265" s="12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23"/>
      <c r="D266" s="4"/>
      <c r="E266" s="4"/>
      <c r="F266" s="4"/>
      <c r="G266" s="4"/>
      <c r="H266" s="4"/>
      <c r="I266" s="4"/>
      <c r="J266" s="4"/>
      <c r="K266" s="123"/>
      <c r="L266" s="7"/>
      <c r="M266" s="12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23"/>
      <c r="D267" s="4"/>
      <c r="E267" s="4"/>
      <c r="F267" s="4"/>
      <c r="G267" s="4"/>
      <c r="H267" s="4"/>
      <c r="I267" s="4"/>
      <c r="J267" s="4"/>
      <c r="K267" s="123"/>
      <c r="L267" s="7"/>
      <c r="M267" s="12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23"/>
      <c r="D268" s="4"/>
      <c r="E268" s="4"/>
      <c r="F268" s="4"/>
      <c r="G268" s="4"/>
      <c r="H268" s="4"/>
      <c r="I268" s="4"/>
      <c r="J268" s="4"/>
      <c r="K268" s="123"/>
      <c r="L268" s="7"/>
      <c r="M268" s="12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23"/>
      <c r="D269" s="4"/>
      <c r="E269" s="4"/>
      <c r="F269" s="4"/>
      <c r="G269" s="4"/>
      <c r="H269" s="4"/>
      <c r="I269" s="4"/>
      <c r="J269" s="4"/>
      <c r="K269" s="123"/>
      <c r="L269" s="7"/>
      <c r="M269" s="12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23"/>
      <c r="D270" s="4"/>
      <c r="E270" s="4"/>
      <c r="F270" s="4"/>
      <c r="G270" s="4"/>
      <c r="H270" s="4"/>
      <c r="I270" s="4"/>
      <c r="J270" s="4"/>
      <c r="K270" s="123"/>
      <c r="L270" s="7"/>
      <c r="M270" s="12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23"/>
      <c r="D271" s="4"/>
      <c r="E271" s="4"/>
      <c r="F271" s="4"/>
      <c r="G271" s="4"/>
      <c r="H271" s="4"/>
      <c r="I271" s="4"/>
      <c r="J271" s="4"/>
      <c r="K271" s="123"/>
      <c r="L271" s="7"/>
      <c r="M271" s="12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23"/>
      <c r="D272" s="4"/>
      <c r="E272" s="4"/>
      <c r="F272" s="4"/>
      <c r="G272" s="4"/>
      <c r="H272" s="4"/>
      <c r="I272" s="4"/>
      <c r="J272" s="4"/>
      <c r="K272" s="123"/>
      <c r="L272" s="7"/>
      <c r="M272" s="12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23"/>
      <c r="D273" s="4"/>
      <c r="E273" s="4"/>
      <c r="F273" s="4"/>
      <c r="G273" s="4"/>
      <c r="H273" s="4"/>
      <c r="I273" s="4"/>
      <c r="J273" s="4"/>
      <c r="K273" s="123"/>
      <c r="L273" s="7"/>
      <c r="M273" s="12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23"/>
      <c r="D274" s="4"/>
      <c r="E274" s="4"/>
      <c r="F274" s="4"/>
      <c r="G274" s="4"/>
      <c r="H274" s="4"/>
      <c r="I274" s="4"/>
      <c r="J274" s="4"/>
      <c r="K274" s="123"/>
      <c r="L274" s="7"/>
      <c r="M274" s="12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23"/>
      <c r="D275" s="4"/>
      <c r="E275" s="4"/>
      <c r="F275" s="4"/>
      <c r="G275" s="4"/>
      <c r="H275" s="4"/>
      <c r="I275" s="4"/>
      <c r="J275" s="4"/>
      <c r="K275" s="123"/>
      <c r="L275" s="7"/>
      <c r="M275" s="12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23"/>
      <c r="D276" s="4"/>
      <c r="E276" s="4"/>
      <c r="F276" s="4"/>
      <c r="G276" s="4"/>
      <c r="H276" s="4"/>
      <c r="I276" s="4"/>
      <c r="J276" s="4"/>
      <c r="K276" s="123"/>
      <c r="L276" s="7"/>
      <c r="M276" s="12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23"/>
      <c r="D277" s="4"/>
      <c r="E277" s="4"/>
      <c r="F277" s="4"/>
      <c r="G277" s="4"/>
      <c r="H277" s="4"/>
      <c r="I277" s="4"/>
      <c r="J277" s="4"/>
      <c r="K277" s="123"/>
      <c r="L277" s="7"/>
      <c r="M277" s="12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23"/>
      <c r="D278" s="4"/>
      <c r="E278" s="4"/>
      <c r="F278" s="4"/>
      <c r="G278" s="4"/>
      <c r="H278" s="4"/>
      <c r="I278" s="4"/>
      <c r="J278" s="4"/>
      <c r="K278" s="123"/>
      <c r="L278" s="7"/>
      <c r="M278" s="12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23"/>
      <c r="D279" s="4"/>
      <c r="E279" s="4"/>
      <c r="F279" s="4"/>
      <c r="G279" s="4"/>
      <c r="H279" s="4"/>
      <c r="I279" s="4"/>
      <c r="J279" s="4"/>
      <c r="K279" s="123"/>
      <c r="L279" s="7"/>
      <c r="M279" s="12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23"/>
      <c r="D280" s="4"/>
      <c r="E280" s="4"/>
      <c r="F280" s="4"/>
      <c r="G280" s="4"/>
      <c r="H280" s="4"/>
      <c r="I280" s="4"/>
      <c r="J280" s="4"/>
      <c r="K280" s="123"/>
      <c r="L280" s="7"/>
      <c r="M280" s="12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23"/>
      <c r="D281" s="4"/>
      <c r="E281" s="4"/>
      <c r="F281" s="4"/>
      <c r="G281" s="4"/>
      <c r="H281" s="4"/>
      <c r="I281" s="4"/>
      <c r="J281" s="4"/>
      <c r="K281" s="123"/>
      <c r="L281" s="7"/>
      <c r="M281" s="12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23"/>
      <c r="D282" s="4"/>
      <c r="E282" s="4"/>
      <c r="F282" s="4"/>
      <c r="G282" s="4"/>
      <c r="H282" s="4"/>
      <c r="I282" s="4"/>
      <c r="J282" s="4"/>
      <c r="K282" s="123"/>
      <c r="L282" s="7"/>
      <c r="M282" s="12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23"/>
      <c r="D283" s="4"/>
      <c r="E283" s="4"/>
      <c r="F283" s="4"/>
      <c r="G283" s="4"/>
      <c r="H283" s="4"/>
      <c r="I283" s="4"/>
      <c r="J283" s="4"/>
      <c r="K283" s="123"/>
      <c r="L283" s="7"/>
      <c r="M283" s="12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23"/>
      <c r="D284" s="4"/>
      <c r="E284" s="4"/>
      <c r="F284" s="4"/>
      <c r="G284" s="4"/>
      <c r="H284" s="4"/>
      <c r="I284" s="4"/>
      <c r="J284" s="4"/>
      <c r="K284" s="123"/>
      <c r="L284" s="7"/>
      <c r="M284" s="12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23"/>
      <c r="D285" s="4"/>
      <c r="E285" s="4"/>
      <c r="F285" s="4"/>
      <c r="G285" s="4"/>
      <c r="H285" s="4"/>
      <c r="I285" s="4"/>
      <c r="J285" s="4"/>
      <c r="K285" s="123"/>
      <c r="L285" s="7"/>
      <c r="M285" s="12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23"/>
      <c r="D286" s="4"/>
      <c r="E286" s="4"/>
      <c r="F286" s="4"/>
      <c r="G286" s="4"/>
      <c r="H286" s="4"/>
      <c r="I286" s="4"/>
      <c r="J286" s="4"/>
      <c r="K286" s="123"/>
      <c r="L286" s="7"/>
      <c r="M286" s="12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23"/>
      <c r="D287" s="4"/>
      <c r="E287" s="4"/>
      <c r="F287" s="4"/>
      <c r="G287" s="4"/>
      <c r="H287" s="4"/>
      <c r="I287" s="4"/>
      <c r="J287" s="4"/>
      <c r="K287" s="123"/>
      <c r="L287" s="7"/>
      <c r="M287" s="12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23"/>
      <c r="D288" s="4"/>
      <c r="E288" s="4"/>
      <c r="F288" s="4"/>
      <c r="G288" s="4"/>
      <c r="H288" s="4"/>
      <c r="I288" s="4"/>
      <c r="J288" s="4"/>
      <c r="K288" s="123"/>
      <c r="L288" s="7"/>
      <c r="M288" s="12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23"/>
      <c r="D289" s="4"/>
      <c r="E289" s="4"/>
      <c r="F289" s="4"/>
      <c r="G289" s="4"/>
      <c r="H289" s="4"/>
      <c r="I289" s="4"/>
      <c r="J289" s="4"/>
      <c r="K289" s="123"/>
      <c r="L289" s="7"/>
      <c r="M289" s="12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23"/>
      <c r="D290" s="4"/>
      <c r="E290" s="4"/>
      <c r="F290" s="4"/>
      <c r="G290" s="4"/>
      <c r="H290" s="4"/>
      <c r="I290" s="4"/>
      <c r="J290" s="4"/>
      <c r="K290" s="123"/>
      <c r="L290" s="7"/>
      <c r="M290" s="12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23"/>
      <c r="D291" s="4"/>
      <c r="E291" s="4"/>
      <c r="F291" s="4"/>
      <c r="G291" s="4"/>
      <c r="H291" s="4"/>
      <c r="I291" s="4"/>
      <c r="J291" s="4"/>
      <c r="K291" s="123"/>
      <c r="L291" s="7"/>
      <c r="M291" s="12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23"/>
      <c r="D292" s="4"/>
      <c r="E292" s="4"/>
      <c r="F292" s="4"/>
      <c r="G292" s="4"/>
      <c r="H292" s="4"/>
      <c r="I292" s="4"/>
      <c r="J292" s="4"/>
      <c r="K292" s="123"/>
      <c r="L292" s="7"/>
      <c r="M292" s="12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23"/>
      <c r="D293" s="4"/>
      <c r="E293" s="4"/>
      <c r="F293" s="4"/>
      <c r="G293" s="4"/>
      <c r="H293" s="4"/>
      <c r="I293" s="4"/>
      <c r="J293" s="4"/>
      <c r="K293" s="123"/>
      <c r="L293" s="7"/>
      <c r="M293" s="12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23"/>
      <c r="D294" s="4"/>
      <c r="E294" s="4"/>
      <c r="F294" s="4"/>
      <c r="G294" s="4"/>
      <c r="H294" s="4"/>
      <c r="I294" s="4"/>
      <c r="J294" s="4"/>
      <c r="K294" s="123"/>
      <c r="L294" s="7"/>
      <c r="M294" s="12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23"/>
      <c r="D295" s="4"/>
      <c r="E295" s="4"/>
      <c r="F295" s="4"/>
      <c r="G295" s="4"/>
      <c r="H295" s="4"/>
      <c r="I295" s="4"/>
      <c r="J295" s="4"/>
      <c r="K295" s="123"/>
      <c r="L295" s="7"/>
      <c r="M295" s="12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23"/>
      <c r="D296" s="4"/>
      <c r="E296" s="4"/>
      <c r="F296" s="4"/>
      <c r="G296" s="4"/>
      <c r="H296" s="4"/>
      <c r="I296" s="4"/>
      <c r="J296" s="4"/>
      <c r="K296" s="123"/>
      <c r="L296" s="7"/>
      <c r="M296" s="12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23"/>
      <c r="D297" s="4"/>
      <c r="E297" s="4"/>
      <c r="F297" s="4"/>
      <c r="G297" s="4"/>
      <c r="H297" s="4"/>
      <c r="I297" s="4"/>
      <c r="J297" s="4"/>
      <c r="K297" s="123"/>
      <c r="L297" s="7"/>
      <c r="M297" s="12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23"/>
      <c r="D298" s="4"/>
      <c r="E298" s="4"/>
      <c r="F298" s="4"/>
      <c r="G298" s="4"/>
      <c r="H298" s="4"/>
      <c r="I298" s="4"/>
      <c r="J298" s="4"/>
      <c r="K298" s="123"/>
      <c r="L298" s="7"/>
      <c r="M298" s="12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23"/>
      <c r="D299" s="4"/>
      <c r="E299" s="4"/>
      <c r="F299" s="4"/>
      <c r="G299" s="4"/>
      <c r="H299" s="4"/>
      <c r="I299" s="4"/>
      <c r="J299" s="4"/>
      <c r="K299" s="123"/>
      <c r="L299" s="7"/>
      <c r="M299" s="12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23"/>
      <c r="D300" s="4"/>
      <c r="E300" s="4"/>
      <c r="F300" s="4"/>
      <c r="G300" s="4"/>
      <c r="H300" s="4"/>
      <c r="I300" s="4"/>
      <c r="J300" s="4"/>
      <c r="K300" s="123"/>
      <c r="L300" s="7"/>
      <c r="M300" s="12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23"/>
      <c r="D301" s="4"/>
      <c r="E301" s="4"/>
      <c r="F301" s="4"/>
      <c r="G301" s="4"/>
      <c r="H301" s="4"/>
      <c r="I301" s="4"/>
      <c r="J301" s="4"/>
      <c r="K301" s="123"/>
      <c r="L301" s="7"/>
      <c r="M301" s="12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23"/>
      <c r="D302" s="4"/>
      <c r="E302" s="4"/>
      <c r="F302" s="4"/>
      <c r="G302" s="4"/>
      <c r="H302" s="4"/>
      <c r="I302" s="4"/>
      <c r="J302" s="4"/>
      <c r="K302" s="123"/>
      <c r="L302" s="7"/>
      <c r="M302" s="12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23"/>
      <c r="D303" s="4"/>
      <c r="E303" s="4"/>
      <c r="F303" s="4"/>
      <c r="G303" s="4"/>
      <c r="H303" s="4"/>
      <c r="I303" s="4"/>
      <c r="J303" s="4"/>
      <c r="K303" s="123"/>
      <c r="L303" s="7"/>
      <c r="M303" s="12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23"/>
      <c r="D304" s="4"/>
      <c r="E304" s="4"/>
      <c r="F304" s="4"/>
      <c r="G304" s="4"/>
      <c r="H304" s="4"/>
      <c r="I304" s="4"/>
      <c r="J304" s="4"/>
      <c r="K304" s="123"/>
      <c r="L304" s="7"/>
      <c r="M304" s="12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23"/>
      <c r="D305" s="4"/>
      <c r="E305" s="4"/>
      <c r="F305" s="4"/>
      <c r="G305" s="4"/>
      <c r="H305" s="4"/>
      <c r="I305" s="4"/>
      <c r="J305" s="4"/>
      <c r="K305" s="123"/>
      <c r="L305" s="7"/>
      <c r="M305" s="12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23"/>
      <c r="D306" s="4"/>
      <c r="E306" s="4"/>
      <c r="F306" s="4"/>
      <c r="G306" s="4"/>
      <c r="H306" s="4"/>
      <c r="I306" s="4"/>
      <c r="J306" s="4"/>
      <c r="K306" s="123"/>
      <c r="L306" s="7"/>
      <c r="M306" s="12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23"/>
      <c r="D307" s="4"/>
      <c r="E307" s="4"/>
      <c r="F307" s="4"/>
      <c r="G307" s="4"/>
      <c r="H307" s="4"/>
      <c r="I307" s="4"/>
      <c r="J307" s="4"/>
      <c r="K307" s="123"/>
      <c r="L307" s="7"/>
      <c r="M307" s="12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23"/>
      <c r="D308" s="4"/>
      <c r="E308" s="4"/>
      <c r="F308" s="4"/>
      <c r="G308" s="4"/>
      <c r="H308" s="4"/>
      <c r="I308" s="4"/>
      <c r="J308" s="4"/>
      <c r="K308" s="123"/>
      <c r="L308" s="7"/>
      <c r="M308" s="12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23"/>
      <c r="D309" s="4"/>
      <c r="E309" s="4"/>
      <c r="F309" s="4"/>
      <c r="G309" s="4"/>
      <c r="H309" s="4"/>
      <c r="I309" s="4"/>
      <c r="J309" s="4"/>
      <c r="K309" s="123"/>
      <c r="L309" s="7"/>
      <c r="M309" s="12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23"/>
      <c r="D310" s="4"/>
      <c r="E310" s="4"/>
      <c r="F310" s="4"/>
      <c r="G310" s="4"/>
      <c r="H310" s="4"/>
      <c r="I310" s="4"/>
      <c r="J310" s="4"/>
      <c r="K310" s="123"/>
      <c r="L310" s="7"/>
      <c r="M310" s="12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23"/>
      <c r="D311" s="4"/>
      <c r="E311" s="4"/>
      <c r="F311" s="4"/>
      <c r="G311" s="4"/>
      <c r="H311" s="4"/>
      <c r="I311" s="4"/>
      <c r="J311" s="4"/>
      <c r="K311" s="123"/>
      <c r="L311" s="7"/>
      <c r="M311" s="12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23"/>
      <c r="D312" s="4"/>
      <c r="E312" s="4"/>
      <c r="F312" s="4"/>
      <c r="G312" s="4"/>
      <c r="H312" s="4"/>
      <c r="I312" s="4"/>
      <c r="J312" s="4"/>
      <c r="K312" s="123"/>
      <c r="L312" s="7"/>
      <c r="M312" s="12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23"/>
      <c r="D313" s="4"/>
      <c r="E313" s="4"/>
      <c r="F313" s="4"/>
      <c r="G313" s="4"/>
      <c r="H313" s="4"/>
      <c r="I313" s="4"/>
      <c r="J313" s="4"/>
      <c r="K313" s="123"/>
      <c r="L313" s="7"/>
      <c r="M313" s="12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23"/>
      <c r="D314" s="4"/>
      <c r="E314" s="4"/>
      <c r="F314" s="4"/>
      <c r="G314" s="4"/>
      <c r="H314" s="4"/>
      <c r="I314" s="4"/>
      <c r="J314" s="4"/>
      <c r="K314" s="123"/>
      <c r="L314" s="7"/>
      <c r="M314" s="12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23"/>
      <c r="D315" s="4"/>
      <c r="E315" s="4"/>
      <c r="F315" s="4"/>
      <c r="G315" s="4"/>
      <c r="H315" s="4"/>
      <c r="I315" s="4"/>
      <c r="J315" s="4"/>
      <c r="K315" s="123"/>
      <c r="L315" s="7"/>
      <c r="M315" s="12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23"/>
      <c r="D316" s="4"/>
      <c r="E316" s="4"/>
      <c r="F316" s="4"/>
      <c r="G316" s="4"/>
      <c r="H316" s="4"/>
      <c r="I316" s="4"/>
      <c r="J316" s="4"/>
      <c r="K316" s="123"/>
      <c r="L316" s="7"/>
      <c r="M316" s="12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23"/>
      <c r="D317" s="4"/>
      <c r="E317" s="4"/>
      <c r="F317" s="4"/>
      <c r="G317" s="4"/>
      <c r="H317" s="4"/>
      <c r="I317" s="4"/>
      <c r="J317" s="4"/>
      <c r="K317" s="123"/>
      <c r="L317" s="7"/>
      <c r="M317" s="12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23"/>
      <c r="D318" s="4"/>
      <c r="E318" s="4"/>
      <c r="F318" s="4"/>
      <c r="G318" s="4"/>
      <c r="H318" s="4"/>
      <c r="I318" s="4"/>
      <c r="J318" s="4"/>
      <c r="K318" s="123"/>
      <c r="L318" s="7"/>
      <c r="M318" s="12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23"/>
      <c r="D319" s="4"/>
      <c r="E319" s="4"/>
      <c r="F319" s="4"/>
      <c r="G319" s="4"/>
      <c r="H319" s="4"/>
      <c r="I319" s="4"/>
      <c r="J319" s="4"/>
      <c r="K319" s="123"/>
      <c r="L319" s="7"/>
      <c r="M319" s="12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23"/>
      <c r="D320" s="4"/>
      <c r="E320" s="4"/>
      <c r="F320" s="4"/>
      <c r="G320" s="4"/>
      <c r="H320" s="4"/>
      <c r="I320" s="4"/>
      <c r="J320" s="4"/>
      <c r="K320" s="123"/>
      <c r="L320" s="7"/>
      <c r="M320" s="12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23"/>
      <c r="D321" s="4"/>
      <c r="E321" s="4"/>
      <c r="F321" s="4"/>
      <c r="G321" s="4"/>
      <c r="H321" s="4"/>
      <c r="I321" s="4"/>
      <c r="J321" s="4"/>
      <c r="K321" s="123"/>
      <c r="L321" s="7"/>
      <c r="M321" s="12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23"/>
      <c r="D322" s="4"/>
      <c r="E322" s="4"/>
      <c r="F322" s="4"/>
      <c r="G322" s="4"/>
      <c r="H322" s="4"/>
      <c r="I322" s="4"/>
      <c r="J322" s="4"/>
      <c r="K322" s="123"/>
      <c r="L322" s="7"/>
      <c r="M322" s="12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23"/>
      <c r="D323" s="4"/>
      <c r="E323" s="4"/>
      <c r="F323" s="4"/>
      <c r="G323" s="4"/>
      <c r="H323" s="4"/>
      <c r="I323" s="4"/>
      <c r="J323" s="4"/>
      <c r="K323" s="123"/>
      <c r="L323" s="7"/>
      <c r="M323" s="12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23"/>
      <c r="D324" s="4"/>
      <c r="E324" s="4"/>
      <c r="F324" s="4"/>
      <c r="G324" s="4"/>
      <c r="H324" s="4"/>
      <c r="I324" s="4"/>
      <c r="J324" s="4"/>
      <c r="K324" s="123"/>
      <c r="L324" s="7"/>
      <c r="M324" s="12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23"/>
      <c r="D325" s="4"/>
      <c r="E325" s="4"/>
      <c r="F325" s="4"/>
      <c r="G325" s="4"/>
      <c r="H325" s="4"/>
      <c r="I325" s="4"/>
      <c r="J325" s="4"/>
      <c r="K325" s="123"/>
      <c r="L325" s="7"/>
      <c r="M325" s="12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23"/>
      <c r="D326" s="4"/>
      <c r="E326" s="4"/>
      <c r="F326" s="4"/>
      <c r="G326" s="4"/>
      <c r="H326" s="4"/>
      <c r="I326" s="4"/>
      <c r="J326" s="4"/>
      <c r="K326" s="123"/>
      <c r="L326" s="7"/>
      <c r="M326" s="12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23"/>
      <c r="D327" s="4"/>
      <c r="E327" s="4"/>
      <c r="F327" s="4"/>
      <c r="G327" s="4"/>
      <c r="H327" s="4"/>
      <c r="I327" s="4"/>
      <c r="J327" s="4"/>
      <c r="K327" s="123"/>
      <c r="L327" s="7"/>
      <c r="M327" s="12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23"/>
      <c r="D328" s="4"/>
      <c r="E328" s="4"/>
      <c r="F328" s="4"/>
      <c r="G328" s="4"/>
      <c r="H328" s="4"/>
      <c r="I328" s="4"/>
      <c r="J328" s="4"/>
      <c r="K328" s="123"/>
      <c r="L328" s="7"/>
      <c r="M328" s="12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23"/>
      <c r="D329" s="4"/>
      <c r="E329" s="4"/>
      <c r="F329" s="4"/>
      <c r="G329" s="4"/>
      <c r="H329" s="4"/>
      <c r="I329" s="4"/>
      <c r="J329" s="4"/>
      <c r="K329" s="123"/>
      <c r="L329" s="7"/>
      <c r="M329" s="12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23"/>
      <c r="D330" s="4"/>
      <c r="E330" s="4"/>
      <c r="F330" s="4"/>
      <c r="G330" s="4"/>
      <c r="H330" s="4"/>
      <c r="I330" s="4"/>
      <c r="J330" s="4"/>
      <c r="K330" s="123"/>
      <c r="L330" s="7"/>
      <c r="M330" s="12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23"/>
      <c r="D331" s="4"/>
      <c r="E331" s="4"/>
      <c r="F331" s="4"/>
      <c r="G331" s="4"/>
      <c r="H331" s="4"/>
      <c r="I331" s="4"/>
      <c r="J331" s="4"/>
      <c r="K331" s="123"/>
      <c r="L331" s="7"/>
      <c r="M331" s="12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23"/>
      <c r="D332" s="4"/>
      <c r="E332" s="4"/>
      <c r="F332" s="4"/>
      <c r="G332" s="4"/>
      <c r="H332" s="4"/>
      <c r="I332" s="4"/>
      <c r="J332" s="4"/>
      <c r="K332" s="123"/>
      <c r="L332" s="7"/>
      <c r="M332" s="12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23"/>
      <c r="D333" s="4"/>
      <c r="E333" s="4"/>
      <c r="F333" s="4"/>
      <c r="G333" s="4"/>
      <c r="H333" s="4"/>
      <c r="I333" s="4"/>
      <c r="J333" s="4"/>
      <c r="K333" s="123"/>
      <c r="L333" s="7"/>
      <c r="M333" s="12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23"/>
      <c r="D334" s="4"/>
      <c r="E334" s="4"/>
      <c r="F334" s="4"/>
      <c r="G334" s="4"/>
      <c r="H334" s="4"/>
      <c r="I334" s="4"/>
      <c r="J334" s="4"/>
      <c r="K334" s="123"/>
      <c r="L334" s="7"/>
      <c r="M334" s="12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23"/>
      <c r="D335" s="4"/>
      <c r="E335" s="4"/>
      <c r="F335" s="4"/>
      <c r="G335" s="4"/>
      <c r="H335" s="4"/>
      <c r="I335" s="4"/>
      <c r="J335" s="4"/>
      <c r="K335" s="123"/>
      <c r="L335" s="7"/>
      <c r="M335" s="12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23"/>
      <c r="D336" s="4"/>
      <c r="E336" s="4"/>
      <c r="F336" s="4"/>
      <c r="G336" s="4"/>
      <c r="H336" s="4"/>
      <c r="I336" s="4"/>
      <c r="J336" s="4"/>
      <c r="K336" s="123"/>
      <c r="L336" s="7"/>
      <c r="M336" s="12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23"/>
      <c r="D337" s="4"/>
      <c r="E337" s="4"/>
      <c r="F337" s="4"/>
      <c r="G337" s="4"/>
      <c r="H337" s="4"/>
      <c r="I337" s="4"/>
      <c r="J337" s="4"/>
      <c r="K337" s="123"/>
      <c r="L337" s="7"/>
      <c r="M337" s="12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23"/>
      <c r="D338" s="4"/>
      <c r="E338" s="4"/>
      <c r="F338" s="4"/>
      <c r="G338" s="4"/>
      <c r="H338" s="4"/>
      <c r="I338" s="4"/>
      <c r="J338" s="4"/>
      <c r="K338" s="123"/>
      <c r="L338" s="7"/>
      <c r="M338" s="12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23"/>
      <c r="D339" s="4"/>
      <c r="E339" s="4"/>
      <c r="F339" s="4"/>
      <c r="G339" s="4"/>
      <c r="H339" s="4"/>
      <c r="I339" s="4"/>
      <c r="J339" s="4"/>
      <c r="K339" s="123"/>
      <c r="L339" s="7"/>
      <c r="M339" s="12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23"/>
      <c r="D340" s="4"/>
      <c r="E340" s="4"/>
      <c r="F340" s="4"/>
      <c r="G340" s="4"/>
      <c r="H340" s="4"/>
      <c r="I340" s="4"/>
      <c r="J340" s="4"/>
      <c r="K340" s="123"/>
      <c r="L340" s="7"/>
      <c r="M340" s="12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23"/>
      <c r="D341" s="4"/>
      <c r="E341" s="4"/>
      <c r="F341" s="4"/>
      <c r="G341" s="4"/>
      <c r="H341" s="4"/>
      <c r="I341" s="4"/>
      <c r="J341" s="4"/>
      <c r="K341" s="123"/>
      <c r="L341" s="7"/>
      <c r="M341" s="12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23"/>
      <c r="D342" s="4"/>
      <c r="E342" s="4"/>
      <c r="F342" s="4"/>
      <c r="G342" s="4"/>
      <c r="H342" s="4"/>
      <c r="I342" s="4"/>
      <c r="J342" s="4"/>
      <c r="K342" s="123"/>
      <c r="L342" s="7"/>
      <c r="M342" s="12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23"/>
      <c r="D343" s="4"/>
      <c r="E343" s="4"/>
      <c r="F343" s="4"/>
      <c r="G343" s="4"/>
      <c r="H343" s="4"/>
      <c r="I343" s="4"/>
      <c r="J343" s="4"/>
      <c r="K343" s="123"/>
      <c r="L343" s="7"/>
      <c r="M343" s="12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23"/>
      <c r="D344" s="4"/>
      <c r="E344" s="4"/>
      <c r="F344" s="4"/>
      <c r="G344" s="4"/>
      <c r="H344" s="4"/>
      <c r="I344" s="4"/>
      <c r="J344" s="4"/>
      <c r="K344" s="123"/>
      <c r="L344" s="7"/>
      <c r="M344" s="12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23"/>
      <c r="D345" s="4"/>
      <c r="E345" s="4"/>
      <c r="F345" s="4"/>
      <c r="G345" s="4"/>
      <c r="H345" s="4"/>
      <c r="I345" s="4"/>
      <c r="J345" s="4"/>
      <c r="K345" s="123"/>
      <c r="L345" s="7"/>
      <c r="M345" s="12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23"/>
      <c r="D346" s="4"/>
      <c r="E346" s="4"/>
      <c r="F346" s="4"/>
      <c r="G346" s="4"/>
      <c r="H346" s="4"/>
      <c r="I346" s="4"/>
      <c r="J346" s="4"/>
      <c r="K346" s="123"/>
      <c r="L346" s="7"/>
      <c r="M346" s="12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23"/>
      <c r="D347" s="4"/>
      <c r="E347" s="4"/>
      <c r="F347" s="4"/>
      <c r="G347" s="4"/>
      <c r="H347" s="4"/>
      <c r="I347" s="4"/>
      <c r="J347" s="4"/>
      <c r="K347" s="123"/>
      <c r="L347" s="7"/>
      <c r="M347" s="12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23"/>
      <c r="D348" s="4"/>
      <c r="E348" s="4"/>
      <c r="F348" s="4"/>
      <c r="G348" s="4"/>
      <c r="H348" s="4"/>
      <c r="I348" s="4"/>
      <c r="J348" s="4"/>
      <c r="K348" s="123"/>
      <c r="L348" s="7"/>
      <c r="M348" s="12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23"/>
      <c r="D349" s="4"/>
      <c r="E349" s="4"/>
      <c r="F349" s="4"/>
      <c r="G349" s="4"/>
      <c r="H349" s="4"/>
      <c r="I349" s="4"/>
      <c r="J349" s="4"/>
      <c r="K349" s="123"/>
      <c r="L349" s="7"/>
      <c r="M349" s="12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23"/>
      <c r="D350" s="4"/>
      <c r="E350" s="4"/>
      <c r="F350" s="4"/>
      <c r="G350" s="4"/>
      <c r="H350" s="4"/>
      <c r="I350" s="4"/>
      <c r="J350" s="4"/>
      <c r="K350" s="123"/>
      <c r="L350" s="7"/>
      <c r="M350" s="12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23"/>
      <c r="D351" s="4"/>
      <c r="E351" s="4"/>
      <c r="F351" s="4"/>
      <c r="G351" s="4"/>
      <c r="H351" s="4"/>
      <c r="I351" s="4"/>
      <c r="J351" s="4"/>
      <c r="K351" s="123"/>
      <c r="L351" s="7"/>
      <c r="M351" s="12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23"/>
      <c r="D352" s="4"/>
      <c r="E352" s="4"/>
      <c r="F352" s="4"/>
      <c r="G352" s="4"/>
      <c r="H352" s="4"/>
      <c r="I352" s="4"/>
      <c r="J352" s="4"/>
      <c r="K352" s="123"/>
      <c r="L352" s="7"/>
      <c r="M352" s="12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23"/>
      <c r="D353" s="4"/>
      <c r="E353" s="4"/>
      <c r="F353" s="4"/>
      <c r="G353" s="4"/>
      <c r="H353" s="4"/>
      <c r="I353" s="4"/>
      <c r="J353" s="4"/>
      <c r="K353" s="123"/>
      <c r="L353" s="7"/>
      <c r="M353" s="12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23"/>
      <c r="D354" s="4"/>
      <c r="E354" s="4"/>
      <c r="F354" s="4"/>
      <c r="G354" s="4"/>
      <c r="H354" s="4"/>
      <c r="I354" s="4"/>
      <c r="J354" s="4"/>
      <c r="K354" s="123"/>
      <c r="L354" s="7"/>
      <c r="M354" s="12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23"/>
      <c r="D355" s="4"/>
      <c r="E355" s="4"/>
      <c r="F355" s="4"/>
      <c r="G355" s="4"/>
      <c r="H355" s="4"/>
      <c r="I355" s="4"/>
      <c r="J355" s="4"/>
      <c r="K355" s="123"/>
      <c r="L355" s="7"/>
      <c r="M355" s="12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23"/>
      <c r="D356" s="4"/>
      <c r="E356" s="4"/>
      <c r="F356" s="4"/>
      <c r="G356" s="4"/>
      <c r="H356" s="4"/>
      <c r="I356" s="4"/>
      <c r="J356" s="4"/>
      <c r="K356" s="123"/>
      <c r="L356" s="7"/>
      <c r="M356" s="12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23"/>
      <c r="D357" s="4"/>
      <c r="E357" s="4"/>
      <c r="F357" s="4"/>
      <c r="G357" s="4"/>
      <c r="H357" s="4"/>
      <c r="I357" s="4"/>
      <c r="J357" s="4"/>
      <c r="K357" s="123"/>
      <c r="L357" s="7"/>
      <c r="M357" s="12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23"/>
      <c r="D358" s="4"/>
      <c r="E358" s="4"/>
      <c r="F358" s="4"/>
      <c r="G358" s="4"/>
      <c r="H358" s="4"/>
      <c r="I358" s="4"/>
      <c r="J358" s="4"/>
      <c r="K358" s="123"/>
      <c r="L358" s="7"/>
      <c r="M358" s="12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23"/>
      <c r="D359" s="4"/>
      <c r="E359" s="4"/>
      <c r="F359" s="4"/>
      <c r="G359" s="4"/>
      <c r="H359" s="4"/>
      <c r="I359" s="4"/>
      <c r="J359" s="4"/>
      <c r="K359" s="123"/>
      <c r="L359" s="7"/>
      <c r="M359" s="12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23"/>
      <c r="D360" s="4"/>
      <c r="E360" s="4"/>
      <c r="F360" s="4"/>
      <c r="G360" s="4"/>
      <c r="H360" s="4"/>
      <c r="I360" s="4"/>
      <c r="J360" s="4"/>
      <c r="K360" s="123"/>
      <c r="L360" s="7"/>
      <c r="M360" s="12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23"/>
      <c r="D361" s="4"/>
      <c r="E361" s="4"/>
      <c r="F361" s="4"/>
      <c r="G361" s="4"/>
      <c r="H361" s="4"/>
      <c r="I361" s="4"/>
      <c r="J361" s="4"/>
      <c r="K361" s="123"/>
      <c r="L361" s="7"/>
      <c r="M361" s="12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23"/>
      <c r="D362" s="4"/>
      <c r="E362" s="4"/>
      <c r="F362" s="4"/>
      <c r="G362" s="4"/>
      <c r="H362" s="4"/>
      <c r="I362" s="4"/>
      <c r="J362" s="4"/>
      <c r="K362" s="123"/>
      <c r="L362" s="7"/>
      <c r="M362" s="12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23"/>
      <c r="D363" s="4"/>
      <c r="E363" s="4"/>
      <c r="F363" s="4"/>
      <c r="G363" s="4"/>
      <c r="H363" s="4"/>
      <c r="I363" s="4"/>
      <c r="J363" s="4"/>
      <c r="K363" s="123"/>
      <c r="L363" s="7"/>
      <c r="M363" s="12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23"/>
      <c r="D364" s="4"/>
      <c r="E364" s="4"/>
      <c r="F364" s="4"/>
      <c r="G364" s="4"/>
      <c r="H364" s="4"/>
      <c r="I364" s="4"/>
      <c r="J364" s="4"/>
      <c r="K364" s="123"/>
      <c r="L364" s="7"/>
      <c r="M364" s="12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23"/>
      <c r="D365" s="4"/>
      <c r="E365" s="4"/>
      <c r="F365" s="4"/>
      <c r="G365" s="4"/>
      <c r="H365" s="4"/>
      <c r="I365" s="4"/>
      <c r="J365" s="4"/>
      <c r="K365" s="123"/>
      <c r="L365" s="7"/>
      <c r="M365" s="12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23"/>
      <c r="D366" s="4"/>
      <c r="E366" s="4"/>
      <c r="F366" s="4"/>
      <c r="G366" s="4"/>
      <c r="H366" s="4"/>
      <c r="I366" s="4"/>
      <c r="J366" s="4"/>
      <c r="K366" s="123"/>
      <c r="L366" s="7"/>
      <c r="M366" s="12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23"/>
      <c r="D367" s="4"/>
      <c r="E367" s="4"/>
      <c r="F367" s="4"/>
      <c r="G367" s="4"/>
      <c r="H367" s="4"/>
      <c r="I367" s="4"/>
      <c r="J367" s="4"/>
      <c r="K367" s="123"/>
      <c r="L367" s="7"/>
      <c r="M367" s="12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23"/>
      <c r="D368" s="4"/>
      <c r="E368" s="4"/>
      <c r="F368" s="4"/>
      <c r="G368" s="4"/>
      <c r="H368" s="4"/>
      <c r="I368" s="4"/>
      <c r="J368" s="4"/>
      <c r="K368" s="123"/>
      <c r="L368" s="7"/>
      <c r="M368" s="12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23"/>
      <c r="D369" s="4"/>
      <c r="E369" s="4"/>
      <c r="F369" s="4"/>
      <c r="G369" s="4"/>
      <c r="H369" s="4"/>
      <c r="I369" s="4"/>
      <c r="J369" s="4"/>
      <c r="K369" s="123"/>
      <c r="L369" s="7"/>
      <c r="M369" s="12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23"/>
      <c r="D370" s="4"/>
      <c r="E370" s="4"/>
      <c r="F370" s="4"/>
      <c r="G370" s="4"/>
      <c r="H370" s="4"/>
      <c r="I370" s="4"/>
      <c r="J370" s="4"/>
      <c r="K370" s="123"/>
      <c r="L370" s="7"/>
      <c r="M370" s="12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23"/>
      <c r="D371" s="4"/>
      <c r="E371" s="4"/>
      <c r="F371" s="4"/>
      <c r="G371" s="4"/>
      <c r="H371" s="4"/>
      <c r="I371" s="4"/>
      <c r="J371" s="4"/>
      <c r="K371" s="123"/>
      <c r="L371" s="7"/>
      <c r="M371" s="12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23"/>
      <c r="D372" s="4"/>
      <c r="E372" s="4"/>
      <c r="F372" s="4"/>
      <c r="G372" s="4"/>
      <c r="H372" s="4"/>
      <c r="I372" s="4"/>
      <c r="J372" s="4"/>
      <c r="K372" s="123"/>
      <c r="L372" s="7"/>
      <c r="M372" s="12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23"/>
      <c r="D373" s="4"/>
      <c r="E373" s="4"/>
      <c r="F373" s="4"/>
      <c r="G373" s="4"/>
      <c r="H373" s="4"/>
      <c r="I373" s="4"/>
      <c r="J373" s="4"/>
      <c r="K373" s="123"/>
      <c r="L373" s="7"/>
      <c r="M373" s="12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23"/>
      <c r="D374" s="4"/>
      <c r="E374" s="4"/>
      <c r="F374" s="4"/>
      <c r="G374" s="4"/>
      <c r="H374" s="4"/>
      <c r="I374" s="4"/>
      <c r="J374" s="4"/>
      <c r="K374" s="123"/>
      <c r="L374" s="7"/>
      <c r="M374" s="12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23"/>
      <c r="D375" s="4"/>
      <c r="E375" s="4"/>
      <c r="F375" s="4"/>
      <c r="G375" s="4"/>
      <c r="H375" s="4"/>
      <c r="I375" s="4"/>
      <c r="J375" s="4"/>
      <c r="K375" s="123"/>
      <c r="L375" s="7"/>
      <c r="M375" s="12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23"/>
      <c r="D376" s="4"/>
      <c r="E376" s="4"/>
      <c r="F376" s="4"/>
      <c r="G376" s="4"/>
      <c r="H376" s="4"/>
      <c r="I376" s="4"/>
      <c r="J376" s="4"/>
      <c r="K376" s="123"/>
      <c r="L376" s="7"/>
      <c r="M376" s="12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23"/>
      <c r="D377" s="4"/>
      <c r="E377" s="4"/>
      <c r="F377" s="4"/>
      <c r="G377" s="4"/>
      <c r="H377" s="4"/>
      <c r="I377" s="4"/>
      <c r="J377" s="4"/>
      <c r="K377" s="123"/>
      <c r="L377" s="7"/>
      <c r="M377" s="12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23"/>
      <c r="D378" s="4"/>
      <c r="E378" s="4"/>
      <c r="F378" s="4"/>
      <c r="G378" s="4"/>
      <c r="H378" s="4"/>
      <c r="I378" s="4"/>
      <c r="J378" s="4"/>
      <c r="K378" s="123"/>
      <c r="L378" s="7"/>
      <c r="M378" s="12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23"/>
      <c r="D379" s="4"/>
      <c r="E379" s="4"/>
      <c r="F379" s="4"/>
      <c r="G379" s="4"/>
      <c r="H379" s="4"/>
      <c r="I379" s="4"/>
      <c r="J379" s="4"/>
      <c r="K379" s="123"/>
      <c r="L379" s="7"/>
      <c r="M379" s="12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23"/>
      <c r="D380" s="4"/>
      <c r="E380" s="4"/>
      <c r="F380" s="4"/>
      <c r="G380" s="4"/>
      <c r="H380" s="4"/>
      <c r="I380" s="4"/>
      <c r="J380" s="4"/>
      <c r="K380" s="123"/>
      <c r="L380" s="7"/>
      <c r="M380" s="12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23"/>
      <c r="D381" s="4"/>
      <c r="E381" s="4"/>
      <c r="F381" s="4"/>
      <c r="G381" s="4"/>
      <c r="H381" s="4"/>
      <c r="I381" s="4"/>
      <c r="J381" s="4"/>
      <c r="K381" s="123"/>
      <c r="L381" s="7"/>
      <c r="M381" s="12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23"/>
      <c r="D382" s="4"/>
      <c r="E382" s="4"/>
      <c r="F382" s="4"/>
      <c r="G382" s="4"/>
      <c r="H382" s="4"/>
      <c r="I382" s="4"/>
      <c r="J382" s="4"/>
      <c r="K382" s="123"/>
      <c r="L382" s="7"/>
      <c r="M382" s="12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23"/>
      <c r="D383" s="4"/>
      <c r="E383" s="4"/>
      <c r="F383" s="4"/>
      <c r="G383" s="4"/>
      <c r="H383" s="4"/>
      <c r="I383" s="4"/>
      <c r="J383" s="4"/>
      <c r="K383" s="123"/>
      <c r="L383" s="7"/>
      <c r="M383" s="12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23"/>
      <c r="D384" s="4"/>
      <c r="E384" s="4"/>
      <c r="F384" s="4"/>
      <c r="G384" s="4"/>
      <c r="H384" s="4"/>
      <c r="I384" s="4"/>
      <c r="J384" s="4"/>
      <c r="K384" s="123"/>
      <c r="L384" s="7"/>
      <c r="M384" s="12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23"/>
      <c r="D385" s="4"/>
      <c r="E385" s="4"/>
      <c r="F385" s="4"/>
      <c r="G385" s="4"/>
      <c r="H385" s="4"/>
      <c r="I385" s="4"/>
      <c r="J385" s="4"/>
      <c r="K385" s="123"/>
      <c r="L385" s="7"/>
      <c r="M385" s="12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23"/>
      <c r="D386" s="4"/>
      <c r="E386" s="4"/>
      <c r="F386" s="4"/>
      <c r="G386" s="4"/>
      <c r="H386" s="4"/>
      <c r="I386" s="4"/>
      <c r="J386" s="4"/>
      <c r="K386" s="123"/>
      <c r="L386" s="7"/>
      <c r="M386" s="12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23"/>
      <c r="D387" s="4"/>
      <c r="E387" s="4"/>
      <c r="F387" s="4"/>
      <c r="G387" s="4"/>
      <c r="H387" s="4"/>
      <c r="I387" s="4"/>
      <c r="J387" s="4"/>
      <c r="K387" s="123"/>
      <c r="L387" s="7"/>
      <c r="M387" s="12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23"/>
      <c r="D388" s="4"/>
      <c r="E388" s="4"/>
      <c r="F388" s="4"/>
      <c r="G388" s="4"/>
      <c r="H388" s="4"/>
      <c r="I388" s="4"/>
      <c r="J388" s="4"/>
      <c r="K388" s="123"/>
      <c r="L388" s="7"/>
      <c r="M388" s="12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23"/>
      <c r="D389" s="4"/>
      <c r="E389" s="4"/>
      <c r="F389" s="4"/>
      <c r="G389" s="4"/>
      <c r="H389" s="4"/>
      <c r="I389" s="4"/>
      <c r="J389" s="4"/>
      <c r="K389" s="123"/>
      <c r="L389" s="7"/>
      <c r="M389" s="12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23"/>
      <c r="D390" s="4"/>
      <c r="E390" s="4"/>
      <c r="F390" s="4"/>
      <c r="G390" s="4"/>
      <c r="H390" s="4"/>
      <c r="I390" s="4"/>
      <c r="J390" s="4"/>
      <c r="K390" s="123"/>
      <c r="L390" s="7"/>
      <c r="M390" s="12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23"/>
      <c r="D391" s="4"/>
      <c r="E391" s="4"/>
      <c r="F391" s="4"/>
      <c r="G391" s="4"/>
      <c r="H391" s="4"/>
      <c r="I391" s="4"/>
      <c r="J391" s="4"/>
      <c r="K391" s="123"/>
      <c r="L391" s="7"/>
      <c r="M391" s="12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23"/>
      <c r="D392" s="4"/>
      <c r="E392" s="4"/>
      <c r="F392" s="4"/>
      <c r="G392" s="4"/>
      <c r="H392" s="4"/>
      <c r="I392" s="4"/>
      <c r="J392" s="4"/>
      <c r="K392" s="123"/>
      <c r="L392" s="7"/>
      <c r="M392" s="12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23"/>
      <c r="D393" s="4"/>
      <c r="E393" s="4"/>
      <c r="F393" s="4"/>
      <c r="G393" s="4"/>
      <c r="H393" s="4"/>
      <c r="I393" s="4"/>
      <c r="J393" s="4"/>
      <c r="K393" s="123"/>
      <c r="L393" s="7"/>
      <c r="M393" s="12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23"/>
      <c r="D394" s="4"/>
      <c r="E394" s="4"/>
      <c r="F394" s="4"/>
      <c r="G394" s="4"/>
      <c r="H394" s="4"/>
      <c r="I394" s="4"/>
      <c r="J394" s="4"/>
      <c r="K394" s="123"/>
      <c r="L394" s="7"/>
      <c r="M394" s="12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23"/>
      <c r="D395" s="4"/>
      <c r="E395" s="4"/>
      <c r="F395" s="4"/>
      <c r="G395" s="4"/>
      <c r="H395" s="4"/>
      <c r="I395" s="4"/>
      <c r="J395" s="4"/>
      <c r="K395" s="123"/>
      <c r="L395" s="7"/>
      <c r="M395" s="12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23"/>
      <c r="D396" s="4"/>
      <c r="E396" s="4"/>
      <c r="F396" s="4"/>
      <c r="G396" s="4"/>
      <c r="H396" s="4"/>
      <c r="I396" s="4"/>
      <c r="J396" s="4"/>
      <c r="K396" s="123"/>
      <c r="L396" s="7"/>
      <c r="M396" s="12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23"/>
      <c r="D397" s="4"/>
      <c r="E397" s="4"/>
      <c r="F397" s="4"/>
      <c r="G397" s="4"/>
      <c r="H397" s="4"/>
      <c r="I397" s="4"/>
      <c r="J397" s="4"/>
      <c r="K397" s="123"/>
      <c r="L397" s="7"/>
      <c r="M397" s="12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23"/>
      <c r="D398" s="4"/>
      <c r="E398" s="4"/>
      <c r="F398" s="4"/>
      <c r="G398" s="4"/>
      <c r="H398" s="4"/>
      <c r="I398" s="4"/>
      <c r="J398" s="4"/>
      <c r="K398" s="123"/>
      <c r="L398" s="7"/>
      <c r="M398" s="12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23"/>
      <c r="D399" s="4"/>
      <c r="E399" s="4"/>
      <c r="F399" s="4"/>
      <c r="G399" s="4"/>
      <c r="H399" s="4"/>
      <c r="I399" s="4"/>
      <c r="J399" s="4"/>
      <c r="K399" s="123"/>
      <c r="L399" s="7"/>
      <c r="M399" s="12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23"/>
      <c r="D400" s="4"/>
      <c r="E400" s="4"/>
      <c r="F400" s="4"/>
      <c r="G400" s="4"/>
      <c r="H400" s="4"/>
      <c r="I400" s="4"/>
      <c r="J400" s="4"/>
      <c r="K400" s="123"/>
      <c r="L400" s="7"/>
      <c r="M400" s="12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23"/>
      <c r="D401" s="4"/>
      <c r="E401" s="4"/>
      <c r="F401" s="4"/>
      <c r="G401" s="4"/>
      <c r="H401" s="4"/>
      <c r="I401" s="4"/>
      <c r="J401" s="4"/>
      <c r="K401" s="123"/>
      <c r="L401" s="7"/>
      <c r="M401" s="12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23"/>
      <c r="D402" s="4"/>
      <c r="E402" s="4"/>
      <c r="F402" s="4"/>
      <c r="G402" s="4"/>
      <c r="H402" s="4"/>
      <c r="I402" s="4"/>
      <c r="J402" s="4"/>
      <c r="K402" s="123"/>
      <c r="L402" s="7"/>
      <c r="M402" s="12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23"/>
      <c r="D403" s="4"/>
      <c r="E403" s="4"/>
      <c r="F403" s="4"/>
      <c r="G403" s="4"/>
      <c r="H403" s="4"/>
      <c r="I403" s="4"/>
      <c r="J403" s="4"/>
      <c r="K403" s="123"/>
      <c r="L403" s="7"/>
      <c r="M403" s="12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23"/>
      <c r="D404" s="4"/>
      <c r="E404" s="4"/>
      <c r="F404" s="4"/>
      <c r="G404" s="4"/>
      <c r="H404" s="4"/>
      <c r="I404" s="4"/>
      <c r="J404" s="4"/>
      <c r="K404" s="123"/>
      <c r="L404" s="7"/>
      <c r="M404" s="12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23"/>
      <c r="D405" s="4"/>
      <c r="E405" s="4"/>
      <c r="F405" s="4"/>
      <c r="G405" s="4"/>
      <c r="H405" s="4"/>
      <c r="I405" s="4"/>
      <c r="J405" s="4"/>
      <c r="K405" s="123"/>
      <c r="L405" s="7"/>
      <c r="M405" s="12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23"/>
      <c r="D406" s="4"/>
      <c r="E406" s="4"/>
      <c r="F406" s="4"/>
      <c r="G406" s="4"/>
      <c r="H406" s="4"/>
      <c r="I406" s="4"/>
      <c r="J406" s="4"/>
      <c r="K406" s="123"/>
      <c r="L406" s="7"/>
      <c r="M406" s="12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23"/>
      <c r="D407" s="4"/>
      <c r="E407" s="4"/>
      <c r="F407" s="4"/>
      <c r="G407" s="4"/>
      <c r="H407" s="4"/>
      <c r="I407" s="4"/>
      <c r="J407" s="4"/>
      <c r="K407" s="123"/>
      <c r="L407" s="7"/>
      <c r="M407" s="12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23"/>
      <c r="D408" s="4"/>
      <c r="E408" s="4"/>
      <c r="F408" s="4"/>
      <c r="G408" s="4"/>
      <c r="H408" s="4"/>
      <c r="I408" s="4"/>
      <c r="J408" s="4"/>
      <c r="K408" s="123"/>
      <c r="L408" s="7"/>
      <c r="M408" s="12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23"/>
      <c r="D409" s="4"/>
      <c r="E409" s="4"/>
      <c r="F409" s="4"/>
      <c r="G409" s="4"/>
      <c r="H409" s="4"/>
      <c r="I409" s="4"/>
      <c r="J409" s="4"/>
      <c r="K409" s="123"/>
      <c r="L409" s="7"/>
      <c r="M409" s="12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23"/>
      <c r="D410" s="4"/>
      <c r="E410" s="4"/>
      <c r="F410" s="4"/>
      <c r="G410" s="4"/>
      <c r="H410" s="4"/>
      <c r="I410" s="4"/>
      <c r="J410" s="4"/>
      <c r="K410" s="123"/>
      <c r="L410" s="7"/>
      <c r="M410" s="12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23"/>
      <c r="D411" s="4"/>
      <c r="E411" s="4"/>
      <c r="F411" s="4"/>
      <c r="G411" s="4"/>
      <c r="H411" s="4"/>
      <c r="I411" s="4"/>
      <c r="J411" s="4"/>
      <c r="K411" s="123"/>
      <c r="L411" s="7"/>
      <c r="M411" s="12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23"/>
      <c r="D412" s="4"/>
      <c r="E412" s="4"/>
      <c r="F412" s="4"/>
      <c r="G412" s="4"/>
      <c r="H412" s="4"/>
      <c r="I412" s="4"/>
      <c r="J412" s="4"/>
      <c r="K412" s="123"/>
      <c r="L412" s="7"/>
      <c r="M412" s="12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23"/>
      <c r="D413" s="4"/>
      <c r="E413" s="4"/>
      <c r="F413" s="4"/>
      <c r="G413" s="4"/>
      <c r="H413" s="4"/>
      <c r="I413" s="4"/>
      <c r="J413" s="4"/>
      <c r="K413" s="123"/>
      <c r="L413" s="7"/>
      <c r="M413" s="12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23"/>
      <c r="D414" s="4"/>
      <c r="E414" s="4"/>
      <c r="F414" s="4"/>
      <c r="G414" s="4"/>
      <c r="H414" s="4"/>
      <c r="I414" s="4"/>
      <c r="J414" s="4"/>
      <c r="K414" s="123"/>
      <c r="L414" s="7"/>
      <c r="M414" s="12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23"/>
      <c r="D415" s="4"/>
      <c r="E415" s="4"/>
      <c r="F415" s="4"/>
      <c r="G415" s="4"/>
      <c r="H415" s="4"/>
      <c r="I415" s="4"/>
      <c r="J415" s="4"/>
      <c r="K415" s="123"/>
      <c r="L415" s="7"/>
      <c r="M415" s="12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23"/>
      <c r="D416" s="4"/>
      <c r="E416" s="4"/>
      <c r="F416" s="4"/>
      <c r="G416" s="4"/>
      <c r="H416" s="4"/>
      <c r="I416" s="4"/>
      <c r="J416" s="4"/>
      <c r="K416" s="123"/>
      <c r="L416" s="7"/>
      <c r="M416" s="12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23"/>
      <c r="D417" s="4"/>
      <c r="E417" s="4"/>
      <c r="F417" s="4"/>
      <c r="G417" s="4"/>
      <c r="H417" s="4"/>
      <c r="I417" s="4"/>
      <c r="J417" s="4"/>
      <c r="K417" s="123"/>
      <c r="L417" s="7"/>
      <c r="M417" s="12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23"/>
      <c r="D418" s="4"/>
      <c r="E418" s="4"/>
      <c r="F418" s="4"/>
      <c r="G418" s="4"/>
      <c r="H418" s="4"/>
      <c r="I418" s="4"/>
      <c r="J418" s="4"/>
      <c r="K418" s="123"/>
      <c r="L418" s="7"/>
      <c r="M418" s="12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23"/>
      <c r="D419" s="4"/>
      <c r="E419" s="4"/>
      <c r="F419" s="4"/>
      <c r="G419" s="4"/>
      <c r="H419" s="4"/>
      <c r="I419" s="4"/>
      <c r="J419" s="4"/>
      <c r="K419" s="123"/>
      <c r="L419" s="7"/>
      <c r="M419" s="12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23"/>
      <c r="D420" s="4"/>
      <c r="E420" s="4"/>
      <c r="F420" s="4"/>
      <c r="G420" s="4"/>
      <c r="H420" s="4"/>
      <c r="I420" s="4"/>
      <c r="J420" s="4"/>
      <c r="K420" s="123"/>
      <c r="L420" s="7"/>
      <c r="M420" s="12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23"/>
      <c r="D421" s="4"/>
      <c r="E421" s="4"/>
      <c r="F421" s="4"/>
      <c r="G421" s="4"/>
      <c r="H421" s="4"/>
      <c r="I421" s="4"/>
      <c r="J421" s="4"/>
      <c r="K421" s="123"/>
      <c r="L421" s="7"/>
      <c r="M421" s="12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23"/>
      <c r="D422" s="4"/>
      <c r="E422" s="4"/>
      <c r="F422" s="4"/>
      <c r="G422" s="4"/>
      <c r="H422" s="4"/>
      <c r="I422" s="4"/>
      <c r="J422" s="4"/>
      <c r="K422" s="123"/>
      <c r="L422" s="7"/>
      <c r="M422" s="12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23"/>
      <c r="D423" s="4"/>
      <c r="E423" s="4"/>
      <c r="F423" s="4"/>
      <c r="G423" s="4"/>
      <c r="H423" s="4"/>
      <c r="I423" s="4"/>
      <c r="J423" s="4"/>
      <c r="K423" s="123"/>
      <c r="L423" s="7"/>
      <c r="M423" s="12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23"/>
      <c r="D424" s="4"/>
      <c r="E424" s="4"/>
      <c r="F424" s="4"/>
      <c r="G424" s="4"/>
      <c r="H424" s="4"/>
      <c r="I424" s="4"/>
      <c r="J424" s="4"/>
      <c r="K424" s="123"/>
      <c r="L424" s="7"/>
      <c r="M424" s="12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23"/>
      <c r="D425" s="4"/>
      <c r="E425" s="4"/>
      <c r="F425" s="4"/>
      <c r="G425" s="4"/>
      <c r="H425" s="4"/>
      <c r="I425" s="4"/>
      <c r="J425" s="4"/>
      <c r="K425" s="123"/>
      <c r="L425" s="7"/>
      <c r="M425" s="12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23"/>
      <c r="D426" s="4"/>
      <c r="E426" s="4"/>
      <c r="F426" s="4"/>
      <c r="G426" s="4"/>
      <c r="H426" s="4"/>
      <c r="I426" s="4"/>
      <c r="J426" s="4"/>
      <c r="K426" s="123"/>
      <c r="L426" s="7"/>
      <c r="M426" s="12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23"/>
      <c r="D427" s="4"/>
      <c r="E427" s="4"/>
      <c r="F427" s="4"/>
      <c r="G427" s="4"/>
      <c r="H427" s="4"/>
      <c r="I427" s="4"/>
      <c r="J427" s="4"/>
      <c r="K427" s="123"/>
      <c r="L427" s="7"/>
      <c r="M427" s="12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23"/>
      <c r="D428" s="4"/>
      <c r="E428" s="4"/>
      <c r="F428" s="4"/>
      <c r="G428" s="4"/>
      <c r="H428" s="4"/>
      <c r="I428" s="4"/>
      <c r="J428" s="4"/>
      <c r="K428" s="123"/>
      <c r="L428" s="7"/>
      <c r="M428" s="12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23"/>
      <c r="D429" s="4"/>
      <c r="E429" s="4"/>
      <c r="F429" s="4"/>
      <c r="G429" s="4"/>
      <c r="H429" s="4"/>
      <c r="I429" s="4"/>
      <c r="J429" s="4"/>
      <c r="K429" s="123"/>
      <c r="L429" s="7"/>
      <c r="M429" s="12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23"/>
      <c r="D430" s="4"/>
      <c r="E430" s="4"/>
      <c r="F430" s="4"/>
      <c r="G430" s="4"/>
      <c r="H430" s="4"/>
      <c r="I430" s="4"/>
      <c r="J430" s="4"/>
      <c r="K430" s="123"/>
      <c r="L430" s="7"/>
      <c r="M430" s="12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23"/>
      <c r="D431" s="4"/>
      <c r="E431" s="4"/>
      <c r="F431" s="4"/>
      <c r="G431" s="4"/>
      <c r="H431" s="4"/>
      <c r="I431" s="4"/>
      <c r="J431" s="4"/>
      <c r="K431" s="123"/>
      <c r="L431" s="7"/>
      <c r="M431" s="12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23"/>
      <c r="D432" s="4"/>
      <c r="E432" s="4"/>
      <c r="F432" s="4"/>
      <c r="G432" s="4"/>
      <c r="H432" s="4"/>
      <c r="I432" s="4"/>
      <c r="J432" s="4"/>
      <c r="K432" s="123"/>
      <c r="L432" s="7"/>
      <c r="M432" s="12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23"/>
      <c r="D433" s="4"/>
      <c r="E433" s="4"/>
      <c r="F433" s="4"/>
      <c r="G433" s="4"/>
      <c r="H433" s="4"/>
      <c r="I433" s="4"/>
      <c r="J433" s="4"/>
      <c r="K433" s="123"/>
      <c r="L433" s="7"/>
      <c r="M433" s="12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23"/>
      <c r="D434" s="4"/>
      <c r="E434" s="4"/>
      <c r="F434" s="4"/>
      <c r="G434" s="4"/>
      <c r="H434" s="4"/>
      <c r="I434" s="4"/>
      <c r="J434" s="4"/>
      <c r="K434" s="123"/>
      <c r="L434" s="7"/>
      <c r="M434" s="12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23"/>
      <c r="D435" s="4"/>
      <c r="E435" s="4"/>
      <c r="F435" s="4"/>
      <c r="G435" s="4"/>
      <c r="H435" s="4"/>
      <c r="I435" s="4"/>
      <c r="J435" s="4"/>
      <c r="K435" s="123"/>
      <c r="L435" s="7"/>
      <c r="M435" s="12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23"/>
      <c r="D436" s="4"/>
      <c r="E436" s="4"/>
      <c r="F436" s="4"/>
      <c r="G436" s="4"/>
      <c r="H436" s="4"/>
      <c r="I436" s="4"/>
      <c r="J436" s="4"/>
      <c r="K436" s="123"/>
      <c r="L436" s="7"/>
      <c r="M436" s="12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23"/>
      <c r="D437" s="4"/>
      <c r="E437" s="4"/>
      <c r="F437" s="4"/>
      <c r="G437" s="4"/>
      <c r="H437" s="4"/>
      <c r="I437" s="4"/>
      <c r="J437" s="4"/>
      <c r="K437" s="123"/>
      <c r="L437" s="7"/>
      <c r="M437" s="12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23"/>
      <c r="D438" s="4"/>
      <c r="E438" s="4"/>
      <c r="F438" s="4"/>
      <c r="G438" s="4"/>
      <c r="H438" s="4"/>
      <c r="I438" s="4"/>
      <c r="J438" s="4"/>
      <c r="K438" s="123"/>
      <c r="L438" s="7"/>
      <c r="M438" s="12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23"/>
      <c r="D439" s="4"/>
      <c r="E439" s="4"/>
      <c r="F439" s="4"/>
      <c r="G439" s="4"/>
      <c r="H439" s="4"/>
      <c r="I439" s="4"/>
      <c r="J439" s="4"/>
      <c r="K439" s="123"/>
      <c r="L439" s="7"/>
      <c r="M439" s="12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23"/>
      <c r="D440" s="4"/>
      <c r="E440" s="4"/>
      <c r="F440" s="4"/>
      <c r="G440" s="4"/>
      <c r="H440" s="4"/>
      <c r="I440" s="4"/>
      <c r="J440" s="4"/>
      <c r="K440" s="123"/>
      <c r="L440" s="7"/>
      <c r="M440" s="12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23"/>
      <c r="D441" s="4"/>
      <c r="E441" s="4"/>
      <c r="F441" s="4"/>
      <c r="G441" s="4"/>
      <c r="H441" s="4"/>
      <c r="I441" s="4"/>
      <c r="J441" s="4"/>
      <c r="K441" s="123"/>
      <c r="L441" s="7"/>
      <c r="M441" s="12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23"/>
      <c r="D442" s="4"/>
      <c r="E442" s="4"/>
      <c r="F442" s="4"/>
      <c r="G442" s="4"/>
      <c r="H442" s="4"/>
      <c r="I442" s="4"/>
      <c r="J442" s="4"/>
      <c r="K442" s="123"/>
      <c r="L442" s="7"/>
      <c r="M442" s="12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23"/>
      <c r="D443" s="4"/>
      <c r="E443" s="4"/>
      <c r="F443" s="4"/>
      <c r="G443" s="4"/>
      <c r="H443" s="4"/>
      <c r="I443" s="4"/>
      <c r="J443" s="4"/>
      <c r="K443" s="123"/>
      <c r="L443" s="7"/>
      <c r="M443" s="12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23"/>
      <c r="D444" s="4"/>
      <c r="E444" s="4"/>
      <c r="F444" s="4"/>
      <c r="G444" s="4"/>
      <c r="H444" s="4"/>
      <c r="I444" s="4"/>
      <c r="J444" s="4"/>
      <c r="K444" s="123"/>
      <c r="L444" s="7"/>
      <c r="M444" s="12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23"/>
      <c r="D445" s="4"/>
      <c r="E445" s="4"/>
      <c r="F445" s="4"/>
      <c r="G445" s="4"/>
      <c r="H445" s="4"/>
      <c r="I445" s="4"/>
      <c r="J445" s="4"/>
      <c r="K445" s="123"/>
      <c r="L445" s="7"/>
      <c r="M445" s="12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23"/>
      <c r="D446" s="4"/>
      <c r="E446" s="4"/>
      <c r="F446" s="4"/>
      <c r="G446" s="4"/>
      <c r="H446" s="4"/>
      <c r="I446" s="4"/>
      <c r="J446" s="4"/>
      <c r="K446" s="123"/>
      <c r="L446" s="7"/>
      <c r="M446" s="12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23"/>
      <c r="D447" s="4"/>
      <c r="E447" s="4"/>
      <c r="F447" s="4"/>
      <c r="G447" s="4"/>
      <c r="H447" s="4"/>
      <c r="I447" s="4"/>
      <c r="J447" s="4"/>
      <c r="K447" s="123"/>
      <c r="L447" s="7"/>
      <c r="M447" s="12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23"/>
      <c r="D448" s="4"/>
      <c r="E448" s="4"/>
      <c r="F448" s="4"/>
      <c r="G448" s="4"/>
      <c r="H448" s="4"/>
      <c r="I448" s="4"/>
      <c r="J448" s="4"/>
      <c r="K448" s="123"/>
      <c r="L448" s="7"/>
      <c r="M448" s="12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23"/>
      <c r="D449" s="4"/>
      <c r="E449" s="4"/>
      <c r="F449" s="4"/>
      <c r="G449" s="4"/>
      <c r="H449" s="4"/>
      <c r="I449" s="4"/>
      <c r="J449" s="4"/>
      <c r="K449" s="123"/>
      <c r="L449" s="7"/>
      <c r="M449" s="12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23"/>
      <c r="D450" s="4"/>
      <c r="E450" s="4"/>
      <c r="F450" s="4"/>
      <c r="G450" s="4"/>
      <c r="H450" s="4"/>
      <c r="I450" s="4"/>
      <c r="J450" s="4"/>
      <c r="K450" s="123"/>
      <c r="L450" s="7"/>
      <c r="M450" s="12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23"/>
      <c r="D451" s="4"/>
      <c r="E451" s="4"/>
      <c r="F451" s="4"/>
      <c r="G451" s="4"/>
      <c r="H451" s="4"/>
      <c r="I451" s="4"/>
      <c r="J451" s="4"/>
      <c r="K451" s="123"/>
      <c r="L451" s="7"/>
      <c r="M451" s="12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23"/>
      <c r="D452" s="4"/>
      <c r="E452" s="4"/>
      <c r="F452" s="4"/>
      <c r="G452" s="4"/>
      <c r="H452" s="4"/>
      <c r="I452" s="4"/>
      <c r="J452" s="4"/>
      <c r="K452" s="123"/>
      <c r="L452" s="7"/>
      <c r="M452" s="12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23"/>
      <c r="D453" s="4"/>
      <c r="E453" s="4"/>
      <c r="F453" s="4"/>
      <c r="G453" s="4"/>
      <c r="H453" s="4"/>
      <c r="I453" s="4"/>
      <c r="J453" s="4"/>
      <c r="K453" s="123"/>
      <c r="L453" s="7"/>
      <c r="M453" s="12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23"/>
      <c r="D454" s="4"/>
      <c r="E454" s="4"/>
      <c r="F454" s="4"/>
      <c r="G454" s="4"/>
      <c r="H454" s="4"/>
      <c r="I454" s="4"/>
      <c r="J454" s="4"/>
      <c r="K454" s="123"/>
      <c r="L454" s="7"/>
      <c r="M454" s="12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23"/>
      <c r="D455" s="4"/>
      <c r="E455" s="4"/>
      <c r="F455" s="4"/>
      <c r="G455" s="4"/>
      <c r="H455" s="4"/>
      <c r="I455" s="4"/>
      <c r="J455" s="4"/>
      <c r="K455" s="123"/>
      <c r="L455" s="7"/>
      <c r="M455" s="12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23"/>
      <c r="D456" s="4"/>
      <c r="E456" s="4"/>
      <c r="F456" s="4"/>
      <c r="G456" s="4"/>
      <c r="H456" s="4"/>
      <c r="I456" s="4"/>
      <c r="J456" s="4"/>
      <c r="K456" s="123"/>
      <c r="L456" s="7"/>
      <c r="M456" s="12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23"/>
      <c r="D457" s="4"/>
      <c r="E457" s="4"/>
      <c r="F457" s="4"/>
      <c r="G457" s="4"/>
      <c r="H457" s="4"/>
      <c r="I457" s="4"/>
      <c r="J457" s="4"/>
      <c r="K457" s="123"/>
      <c r="L457" s="7"/>
      <c r="M457" s="12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23"/>
      <c r="D458" s="4"/>
      <c r="E458" s="4"/>
      <c r="F458" s="4"/>
      <c r="G458" s="4"/>
      <c r="H458" s="4"/>
      <c r="I458" s="4"/>
      <c r="J458" s="4"/>
      <c r="K458" s="123"/>
      <c r="L458" s="7"/>
      <c r="M458" s="12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23"/>
      <c r="D459" s="4"/>
      <c r="E459" s="4"/>
      <c r="F459" s="4"/>
      <c r="G459" s="4"/>
      <c r="H459" s="4"/>
      <c r="I459" s="4"/>
      <c r="J459" s="4"/>
      <c r="K459" s="123"/>
      <c r="L459" s="7"/>
      <c r="M459" s="12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23"/>
      <c r="D460" s="4"/>
      <c r="E460" s="4"/>
      <c r="F460" s="4"/>
      <c r="G460" s="4"/>
      <c r="H460" s="4"/>
      <c r="I460" s="4"/>
      <c r="J460" s="4"/>
      <c r="K460" s="123"/>
      <c r="L460" s="7"/>
      <c r="M460" s="12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23"/>
      <c r="D461" s="4"/>
      <c r="E461" s="4"/>
      <c r="F461" s="4"/>
      <c r="G461" s="4"/>
      <c r="H461" s="4"/>
      <c r="I461" s="4"/>
      <c r="J461" s="4"/>
      <c r="K461" s="123"/>
      <c r="L461" s="7"/>
      <c r="M461" s="12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23"/>
      <c r="D462" s="4"/>
      <c r="E462" s="4"/>
      <c r="F462" s="4"/>
      <c r="G462" s="4"/>
      <c r="H462" s="4"/>
      <c r="I462" s="4"/>
      <c r="J462" s="4"/>
      <c r="K462" s="123"/>
      <c r="L462" s="7"/>
      <c r="M462" s="12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23"/>
      <c r="D463" s="4"/>
      <c r="E463" s="4"/>
      <c r="F463" s="4"/>
      <c r="G463" s="4"/>
      <c r="H463" s="4"/>
      <c r="I463" s="4"/>
      <c r="J463" s="4"/>
      <c r="K463" s="123"/>
      <c r="L463" s="7"/>
      <c r="M463" s="12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23"/>
      <c r="D464" s="4"/>
      <c r="E464" s="4"/>
      <c r="F464" s="4"/>
      <c r="G464" s="4"/>
      <c r="H464" s="4"/>
      <c r="I464" s="4"/>
      <c r="J464" s="4"/>
      <c r="K464" s="123"/>
      <c r="L464" s="7"/>
      <c r="M464" s="12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23"/>
      <c r="D465" s="4"/>
      <c r="E465" s="4"/>
      <c r="F465" s="4"/>
      <c r="G465" s="4"/>
      <c r="H465" s="4"/>
      <c r="I465" s="4"/>
      <c r="J465" s="4"/>
      <c r="K465" s="123"/>
      <c r="L465" s="7"/>
      <c r="M465" s="12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23"/>
      <c r="D466" s="4"/>
      <c r="E466" s="4"/>
      <c r="F466" s="4"/>
      <c r="G466" s="4"/>
      <c r="H466" s="4"/>
      <c r="I466" s="4"/>
      <c r="J466" s="4"/>
      <c r="K466" s="123"/>
      <c r="L466" s="7"/>
      <c r="M466" s="12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23"/>
      <c r="D467" s="4"/>
      <c r="E467" s="4"/>
      <c r="F467" s="4"/>
      <c r="G467" s="4"/>
      <c r="H467" s="4"/>
      <c r="I467" s="4"/>
      <c r="J467" s="4"/>
      <c r="K467" s="123"/>
      <c r="L467" s="7"/>
      <c r="M467" s="12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23"/>
      <c r="D468" s="4"/>
      <c r="E468" s="4"/>
      <c r="F468" s="4"/>
      <c r="G468" s="4"/>
      <c r="H468" s="4"/>
      <c r="I468" s="4"/>
      <c r="J468" s="4"/>
      <c r="K468" s="123"/>
      <c r="L468" s="7"/>
      <c r="M468" s="12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23"/>
      <c r="D469" s="4"/>
      <c r="E469" s="4"/>
      <c r="F469" s="4"/>
      <c r="G469" s="4"/>
      <c r="H469" s="4"/>
      <c r="I469" s="4"/>
      <c r="J469" s="4"/>
      <c r="K469" s="123"/>
      <c r="L469" s="7"/>
      <c r="M469" s="12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23"/>
      <c r="D470" s="4"/>
      <c r="E470" s="4"/>
      <c r="F470" s="4"/>
      <c r="G470" s="4"/>
      <c r="H470" s="4"/>
      <c r="I470" s="4"/>
      <c r="J470" s="4"/>
      <c r="K470" s="123"/>
      <c r="L470" s="7"/>
      <c r="M470" s="12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23"/>
      <c r="D471" s="4"/>
      <c r="E471" s="4"/>
      <c r="F471" s="4"/>
      <c r="G471" s="4"/>
      <c r="H471" s="4"/>
      <c r="I471" s="4"/>
      <c r="J471" s="4"/>
      <c r="K471" s="123"/>
      <c r="L471" s="7"/>
      <c r="M471" s="12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23"/>
      <c r="D472" s="4"/>
      <c r="E472" s="4"/>
      <c r="F472" s="4"/>
      <c r="G472" s="4"/>
      <c r="H472" s="4"/>
      <c r="I472" s="4"/>
      <c r="J472" s="4"/>
      <c r="K472" s="123"/>
      <c r="L472" s="7"/>
      <c r="M472" s="12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23"/>
      <c r="D473" s="4"/>
      <c r="E473" s="4"/>
      <c r="F473" s="4"/>
      <c r="G473" s="4"/>
      <c r="H473" s="4"/>
      <c r="I473" s="4"/>
      <c r="J473" s="4"/>
      <c r="K473" s="123"/>
      <c r="L473" s="7"/>
      <c r="M473" s="12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23"/>
      <c r="D474" s="4"/>
      <c r="E474" s="4"/>
      <c r="F474" s="4"/>
      <c r="G474" s="4"/>
      <c r="H474" s="4"/>
      <c r="I474" s="4"/>
      <c r="J474" s="4"/>
      <c r="K474" s="123"/>
      <c r="L474" s="7"/>
      <c r="M474" s="12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23"/>
      <c r="D475" s="4"/>
      <c r="E475" s="4"/>
      <c r="F475" s="4"/>
      <c r="G475" s="4"/>
      <c r="H475" s="4"/>
      <c r="I475" s="4"/>
      <c r="J475" s="4"/>
      <c r="K475" s="123"/>
      <c r="L475" s="7"/>
      <c r="M475" s="12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23"/>
      <c r="D476" s="4"/>
      <c r="E476" s="4"/>
      <c r="F476" s="4"/>
      <c r="G476" s="4"/>
      <c r="H476" s="4"/>
      <c r="I476" s="4"/>
      <c r="J476" s="4"/>
      <c r="K476" s="123"/>
      <c r="L476" s="7"/>
      <c r="M476" s="12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23"/>
      <c r="D477" s="4"/>
      <c r="E477" s="4"/>
      <c r="F477" s="4"/>
      <c r="G477" s="4"/>
      <c r="H477" s="4"/>
      <c r="I477" s="4"/>
      <c r="J477" s="4"/>
      <c r="K477" s="123"/>
      <c r="L477" s="7"/>
      <c r="M477" s="12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23"/>
      <c r="D478" s="4"/>
      <c r="E478" s="4"/>
      <c r="F478" s="4"/>
      <c r="G478" s="4"/>
      <c r="H478" s="4"/>
      <c r="I478" s="4"/>
      <c r="J478" s="4"/>
      <c r="K478" s="123"/>
      <c r="L478" s="7"/>
      <c r="M478" s="12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23"/>
      <c r="D479" s="4"/>
      <c r="E479" s="4"/>
      <c r="F479" s="4"/>
      <c r="G479" s="4"/>
      <c r="H479" s="4"/>
      <c r="I479" s="4"/>
      <c r="J479" s="4"/>
      <c r="K479" s="123"/>
      <c r="L479" s="7"/>
      <c r="M479" s="12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23"/>
      <c r="D480" s="4"/>
      <c r="E480" s="4"/>
      <c r="F480" s="4"/>
      <c r="G480" s="4"/>
      <c r="H480" s="4"/>
      <c r="I480" s="4"/>
      <c r="J480" s="4"/>
      <c r="K480" s="123"/>
      <c r="L480" s="7"/>
      <c r="M480" s="12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23"/>
      <c r="D481" s="4"/>
      <c r="E481" s="4"/>
      <c r="F481" s="4"/>
      <c r="G481" s="4"/>
      <c r="H481" s="4"/>
      <c r="I481" s="4"/>
      <c r="J481" s="4"/>
      <c r="K481" s="123"/>
      <c r="L481" s="7"/>
      <c r="M481" s="12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23"/>
      <c r="D482" s="4"/>
      <c r="E482" s="4"/>
      <c r="F482" s="4"/>
      <c r="G482" s="4"/>
      <c r="H482" s="4"/>
      <c r="I482" s="4"/>
      <c r="J482" s="4"/>
      <c r="K482" s="123"/>
      <c r="L482" s="7"/>
      <c r="M482" s="12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23"/>
      <c r="D483" s="4"/>
      <c r="E483" s="4"/>
      <c r="F483" s="4"/>
      <c r="G483" s="4"/>
      <c r="H483" s="4"/>
      <c r="I483" s="4"/>
      <c r="J483" s="4"/>
      <c r="K483" s="123"/>
      <c r="L483" s="7"/>
      <c r="M483" s="12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23"/>
      <c r="D484" s="4"/>
      <c r="E484" s="4"/>
      <c r="F484" s="4"/>
      <c r="G484" s="4"/>
      <c r="H484" s="4"/>
      <c r="I484" s="4"/>
      <c r="J484" s="4"/>
      <c r="K484" s="123"/>
      <c r="L484" s="7"/>
      <c r="M484" s="12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23"/>
      <c r="D485" s="4"/>
      <c r="E485" s="4"/>
      <c r="F485" s="4"/>
      <c r="G485" s="4"/>
      <c r="H485" s="4"/>
      <c r="I485" s="4"/>
      <c r="J485" s="4"/>
      <c r="K485" s="123"/>
      <c r="L485" s="7"/>
      <c r="M485" s="12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23"/>
      <c r="D486" s="4"/>
      <c r="E486" s="4"/>
      <c r="F486" s="4"/>
      <c r="G486" s="4"/>
      <c r="H486" s="4"/>
      <c r="I486" s="4"/>
      <c r="J486" s="4"/>
      <c r="K486" s="123"/>
      <c r="L486" s="7"/>
      <c r="M486" s="12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23"/>
      <c r="D487" s="4"/>
      <c r="E487" s="4"/>
      <c r="F487" s="4"/>
      <c r="G487" s="4"/>
      <c r="H487" s="4"/>
      <c r="I487" s="4"/>
      <c r="J487" s="4"/>
      <c r="K487" s="123"/>
      <c r="L487" s="7"/>
      <c r="M487" s="12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23"/>
      <c r="D488" s="4"/>
      <c r="E488" s="4"/>
      <c r="F488" s="4"/>
      <c r="G488" s="4"/>
      <c r="H488" s="4"/>
      <c r="I488" s="4"/>
      <c r="J488" s="4"/>
      <c r="K488" s="123"/>
      <c r="L488" s="7"/>
      <c r="M488" s="12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23"/>
      <c r="D489" s="4"/>
      <c r="E489" s="4"/>
      <c r="F489" s="4"/>
      <c r="G489" s="4"/>
      <c r="H489" s="4"/>
      <c r="I489" s="4"/>
      <c r="J489" s="4"/>
      <c r="K489" s="123"/>
      <c r="L489" s="7"/>
      <c r="M489" s="12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23"/>
      <c r="D490" s="4"/>
      <c r="E490" s="4"/>
      <c r="F490" s="4"/>
      <c r="G490" s="4"/>
      <c r="H490" s="4"/>
      <c r="I490" s="4"/>
      <c r="J490" s="4"/>
      <c r="K490" s="123"/>
      <c r="L490" s="7"/>
      <c r="M490" s="12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23"/>
      <c r="D491" s="4"/>
      <c r="E491" s="4"/>
      <c r="F491" s="4"/>
      <c r="G491" s="4"/>
      <c r="H491" s="4"/>
      <c r="I491" s="4"/>
      <c r="J491" s="4"/>
      <c r="K491" s="123"/>
      <c r="L491" s="7"/>
      <c r="M491" s="12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23"/>
      <c r="D492" s="4"/>
      <c r="E492" s="4"/>
      <c r="F492" s="4"/>
      <c r="G492" s="4"/>
      <c r="H492" s="4"/>
      <c r="I492" s="4"/>
      <c r="J492" s="4"/>
      <c r="K492" s="123"/>
      <c r="L492" s="7"/>
      <c r="M492" s="12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23"/>
      <c r="D493" s="4"/>
      <c r="E493" s="4"/>
      <c r="F493" s="4"/>
      <c r="G493" s="4"/>
      <c r="H493" s="4"/>
      <c r="I493" s="4"/>
      <c r="J493" s="4"/>
      <c r="K493" s="123"/>
      <c r="L493" s="7"/>
      <c r="M493" s="12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23"/>
      <c r="D494" s="4"/>
      <c r="E494" s="4"/>
      <c r="F494" s="4"/>
      <c r="G494" s="4"/>
      <c r="H494" s="4"/>
      <c r="I494" s="4"/>
      <c r="J494" s="4"/>
      <c r="K494" s="123"/>
      <c r="L494" s="7"/>
      <c r="M494" s="12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23"/>
      <c r="D495" s="4"/>
      <c r="E495" s="4"/>
      <c r="F495" s="4"/>
      <c r="G495" s="4"/>
      <c r="H495" s="4"/>
      <c r="I495" s="4"/>
      <c r="J495" s="4"/>
      <c r="K495" s="123"/>
      <c r="L495" s="7"/>
      <c r="M495" s="12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23"/>
      <c r="D496" s="4"/>
      <c r="E496" s="4"/>
      <c r="F496" s="4"/>
      <c r="G496" s="4"/>
      <c r="H496" s="4"/>
      <c r="I496" s="4"/>
      <c r="J496" s="4"/>
      <c r="K496" s="123"/>
      <c r="L496" s="7"/>
      <c r="M496" s="12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23"/>
      <c r="D497" s="4"/>
      <c r="E497" s="4"/>
      <c r="F497" s="4"/>
      <c r="G497" s="4"/>
      <c r="H497" s="4"/>
      <c r="I497" s="4"/>
      <c r="J497" s="4"/>
      <c r="K497" s="123"/>
      <c r="L497" s="7"/>
      <c r="M497" s="12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23"/>
      <c r="D498" s="4"/>
      <c r="E498" s="4"/>
      <c r="F498" s="4"/>
      <c r="G498" s="4"/>
      <c r="H498" s="4"/>
      <c r="I498" s="4"/>
      <c r="J498" s="4"/>
      <c r="K498" s="123"/>
      <c r="L498" s="7"/>
      <c r="M498" s="12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23"/>
      <c r="D499" s="4"/>
      <c r="E499" s="4"/>
      <c r="F499" s="4"/>
      <c r="G499" s="4"/>
      <c r="H499" s="4"/>
      <c r="I499" s="4"/>
      <c r="J499" s="4"/>
      <c r="K499" s="123"/>
      <c r="L499" s="7"/>
      <c r="M499" s="12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23"/>
      <c r="D500" s="4"/>
      <c r="E500" s="4"/>
      <c r="F500" s="4"/>
      <c r="G500" s="4"/>
      <c r="H500" s="4"/>
      <c r="I500" s="4"/>
      <c r="J500" s="4"/>
      <c r="K500" s="123"/>
      <c r="L500" s="7"/>
      <c r="M500" s="12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23"/>
      <c r="D501" s="4"/>
      <c r="E501" s="4"/>
      <c r="F501" s="4"/>
      <c r="G501" s="4"/>
      <c r="H501" s="4"/>
      <c r="I501" s="4"/>
      <c r="J501" s="4"/>
      <c r="K501" s="123"/>
      <c r="L501" s="7"/>
      <c r="M501" s="12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23"/>
      <c r="D502" s="4"/>
      <c r="E502" s="4"/>
      <c r="F502" s="4"/>
      <c r="G502" s="4"/>
      <c r="H502" s="4"/>
      <c r="I502" s="4"/>
      <c r="J502" s="4"/>
      <c r="K502" s="123"/>
      <c r="L502" s="7"/>
      <c r="M502" s="12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23"/>
      <c r="D503" s="4"/>
      <c r="E503" s="4"/>
      <c r="F503" s="4"/>
      <c r="G503" s="4"/>
      <c r="H503" s="4"/>
      <c r="I503" s="4"/>
      <c r="J503" s="4"/>
      <c r="K503" s="123"/>
      <c r="L503" s="7"/>
      <c r="M503" s="12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23"/>
      <c r="D504" s="4"/>
      <c r="E504" s="4"/>
      <c r="F504" s="4"/>
      <c r="G504" s="4"/>
      <c r="H504" s="4"/>
      <c r="I504" s="4"/>
      <c r="J504" s="4"/>
      <c r="K504" s="123"/>
      <c r="L504" s="7"/>
      <c r="M504" s="12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23"/>
      <c r="D505" s="4"/>
      <c r="E505" s="4"/>
      <c r="F505" s="4"/>
      <c r="G505" s="4"/>
      <c r="H505" s="4"/>
      <c r="I505" s="4"/>
      <c r="J505" s="4"/>
      <c r="K505" s="123"/>
      <c r="L505" s="7"/>
      <c r="M505" s="12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23"/>
      <c r="D506" s="4"/>
      <c r="E506" s="4"/>
      <c r="F506" s="4"/>
      <c r="G506" s="4"/>
      <c r="H506" s="4"/>
      <c r="I506" s="4"/>
      <c r="J506" s="4"/>
      <c r="K506" s="123"/>
      <c r="L506" s="7"/>
      <c r="M506" s="12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23"/>
      <c r="D507" s="4"/>
      <c r="E507" s="4"/>
      <c r="F507" s="4"/>
      <c r="G507" s="4"/>
      <c r="H507" s="4"/>
      <c r="I507" s="4"/>
      <c r="J507" s="4"/>
      <c r="K507" s="123"/>
      <c r="L507" s="7"/>
      <c r="M507" s="12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23"/>
      <c r="D508" s="4"/>
      <c r="E508" s="4"/>
      <c r="F508" s="4"/>
      <c r="G508" s="4"/>
      <c r="H508" s="4"/>
      <c r="I508" s="4"/>
      <c r="J508" s="4"/>
      <c r="K508" s="123"/>
      <c r="L508" s="7"/>
      <c r="M508" s="12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23"/>
      <c r="D509" s="4"/>
      <c r="E509" s="4"/>
      <c r="F509" s="4"/>
      <c r="G509" s="4"/>
      <c r="H509" s="4"/>
      <c r="I509" s="4"/>
      <c r="J509" s="4"/>
      <c r="K509" s="123"/>
      <c r="L509" s="7"/>
      <c r="M509" s="12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23"/>
      <c r="D510" s="4"/>
      <c r="E510" s="4"/>
      <c r="F510" s="4"/>
      <c r="G510" s="4"/>
      <c r="H510" s="4"/>
      <c r="I510" s="4"/>
      <c r="J510" s="4"/>
      <c r="K510" s="123"/>
      <c r="L510" s="7"/>
      <c r="M510" s="12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23"/>
      <c r="D511" s="4"/>
      <c r="E511" s="4"/>
      <c r="F511" s="4"/>
      <c r="G511" s="4"/>
      <c r="H511" s="4"/>
      <c r="I511" s="4"/>
      <c r="J511" s="4"/>
      <c r="K511" s="123"/>
      <c r="L511" s="7"/>
      <c r="M511" s="12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23"/>
      <c r="D512" s="4"/>
      <c r="E512" s="4"/>
      <c r="F512" s="4"/>
      <c r="G512" s="4"/>
      <c r="H512" s="4"/>
      <c r="I512" s="4"/>
      <c r="J512" s="4"/>
      <c r="K512" s="123"/>
      <c r="L512" s="7"/>
      <c r="M512" s="12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23"/>
      <c r="D513" s="4"/>
      <c r="E513" s="4"/>
      <c r="F513" s="4"/>
      <c r="G513" s="4"/>
      <c r="H513" s="4"/>
      <c r="I513" s="4"/>
      <c r="J513" s="4"/>
      <c r="K513" s="123"/>
      <c r="L513" s="7"/>
      <c r="M513" s="12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23"/>
      <c r="D514" s="4"/>
      <c r="E514" s="4"/>
      <c r="F514" s="4"/>
      <c r="G514" s="4"/>
      <c r="H514" s="4"/>
      <c r="I514" s="4"/>
      <c r="J514" s="4"/>
      <c r="K514" s="123"/>
      <c r="L514" s="7"/>
      <c r="M514" s="12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23"/>
      <c r="D515" s="4"/>
      <c r="E515" s="4"/>
      <c r="F515" s="4"/>
      <c r="G515" s="4"/>
      <c r="H515" s="4"/>
      <c r="I515" s="4"/>
      <c r="J515" s="4"/>
      <c r="K515" s="123"/>
      <c r="L515" s="7"/>
      <c r="M515" s="12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23"/>
      <c r="D516" s="4"/>
      <c r="E516" s="4"/>
      <c r="F516" s="4"/>
      <c r="G516" s="4"/>
      <c r="H516" s="4"/>
      <c r="I516" s="4"/>
      <c r="J516" s="4"/>
      <c r="K516" s="123"/>
      <c r="L516" s="7"/>
      <c r="M516" s="12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23"/>
      <c r="D517" s="4"/>
      <c r="E517" s="4"/>
      <c r="F517" s="4"/>
      <c r="G517" s="4"/>
      <c r="H517" s="4"/>
      <c r="I517" s="4"/>
      <c r="J517" s="4"/>
      <c r="K517" s="123"/>
      <c r="L517" s="7"/>
      <c r="M517" s="12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23"/>
      <c r="D518" s="4"/>
      <c r="E518" s="4"/>
      <c r="F518" s="4"/>
      <c r="G518" s="4"/>
      <c r="H518" s="4"/>
      <c r="I518" s="4"/>
      <c r="J518" s="4"/>
      <c r="K518" s="123"/>
      <c r="L518" s="7"/>
      <c r="M518" s="12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23"/>
      <c r="D519" s="4"/>
      <c r="E519" s="4"/>
      <c r="F519" s="4"/>
      <c r="G519" s="4"/>
      <c r="H519" s="4"/>
      <c r="I519" s="4"/>
      <c r="J519" s="4"/>
      <c r="K519" s="123"/>
      <c r="L519" s="7"/>
      <c r="M519" s="12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23"/>
      <c r="D520" s="4"/>
      <c r="E520" s="4"/>
      <c r="F520" s="4"/>
      <c r="G520" s="4"/>
      <c r="H520" s="4"/>
      <c r="I520" s="4"/>
      <c r="J520" s="4"/>
      <c r="K520" s="123"/>
      <c r="L520" s="7"/>
      <c r="M520" s="12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23"/>
      <c r="D521" s="4"/>
      <c r="E521" s="4"/>
      <c r="F521" s="4"/>
      <c r="G521" s="4"/>
      <c r="H521" s="4"/>
      <c r="I521" s="4"/>
      <c r="J521" s="4"/>
      <c r="K521" s="123"/>
      <c r="L521" s="7"/>
      <c r="M521" s="12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23"/>
      <c r="D522" s="4"/>
      <c r="E522" s="4"/>
      <c r="F522" s="4"/>
      <c r="G522" s="4"/>
      <c r="H522" s="4"/>
      <c r="I522" s="4"/>
      <c r="J522" s="4"/>
      <c r="K522" s="123"/>
      <c r="L522" s="7"/>
      <c r="M522" s="12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23"/>
      <c r="D523" s="4"/>
      <c r="E523" s="4"/>
      <c r="F523" s="4"/>
      <c r="G523" s="4"/>
      <c r="H523" s="4"/>
      <c r="I523" s="4"/>
      <c r="J523" s="4"/>
      <c r="K523" s="123"/>
      <c r="L523" s="7"/>
      <c r="M523" s="12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23"/>
      <c r="D524" s="4"/>
      <c r="E524" s="4"/>
      <c r="F524" s="4"/>
      <c r="G524" s="4"/>
      <c r="H524" s="4"/>
      <c r="I524" s="4"/>
      <c r="J524" s="4"/>
      <c r="K524" s="123"/>
      <c r="L524" s="7"/>
      <c r="M524" s="12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23"/>
      <c r="D525" s="4"/>
      <c r="E525" s="4"/>
      <c r="F525" s="4"/>
      <c r="G525" s="4"/>
      <c r="H525" s="4"/>
      <c r="I525" s="4"/>
      <c r="J525" s="4"/>
      <c r="K525" s="123"/>
      <c r="L525" s="7"/>
      <c r="M525" s="12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23"/>
      <c r="D526" s="4"/>
      <c r="E526" s="4"/>
      <c r="F526" s="4"/>
      <c r="G526" s="4"/>
      <c r="H526" s="4"/>
      <c r="I526" s="4"/>
      <c r="J526" s="4"/>
      <c r="K526" s="123"/>
      <c r="L526" s="7"/>
      <c r="M526" s="12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23"/>
      <c r="D527" s="4"/>
      <c r="E527" s="4"/>
      <c r="F527" s="4"/>
      <c r="G527" s="4"/>
      <c r="H527" s="4"/>
      <c r="I527" s="4"/>
      <c r="J527" s="4"/>
      <c r="K527" s="123"/>
      <c r="L527" s="7"/>
      <c r="M527" s="12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23"/>
      <c r="D528" s="4"/>
      <c r="E528" s="4"/>
      <c r="F528" s="4"/>
      <c r="G528" s="4"/>
      <c r="H528" s="4"/>
      <c r="I528" s="4"/>
      <c r="J528" s="4"/>
      <c r="K528" s="123"/>
      <c r="L528" s="7"/>
      <c r="M528" s="12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23"/>
      <c r="D529" s="4"/>
      <c r="E529" s="4"/>
      <c r="F529" s="4"/>
      <c r="G529" s="4"/>
      <c r="H529" s="4"/>
      <c r="I529" s="4"/>
      <c r="J529" s="4"/>
      <c r="K529" s="123"/>
      <c r="L529" s="7"/>
      <c r="M529" s="12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23"/>
      <c r="D530" s="4"/>
      <c r="E530" s="4"/>
      <c r="F530" s="4"/>
      <c r="G530" s="4"/>
      <c r="H530" s="4"/>
      <c r="I530" s="4"/>
      <c r="J530" s="4"/>
      <c r="K530" s="123"/>
      <c r="L530" s="7"/>
      <c r="M530" s="12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23"/>
      <c r="D531" s="4"/>
      <c r="E531" s="4"/>
      <c r="F531" s="4"/>
      <c r="G531" s="4"/>
      <c r="H531" s="4"/>
      <c r="I531" s="4"/>
      <c r="J531" s="4"/>
      <c r="K531" s="123"/>
      <c r="L531" s="7"/>
      <c r="M531" s="12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23"/>
      <c r="D532" s="4"/>
      <c r="E532" s="4"/>
      <c r="F532" s="4"/>
      <c r="G532" s="4"/>
      <c r="H532" s="4"/>
      <c r="I532" s="4"/>
      <c r="J532" s="4"/>
      <c r="K532" s="123"/>
      <c r="L532" s="7"/>
      <c r="M532" s="12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23"/>
      <c r="D533" s="4"/>
      <c r="E533" s="4"/>
      <c r="F533" s="4"/>
      <c r="G533" s="4"/>
      <c r="H533" s="4"/>
      <c r="I533" s="4"/>
      <c r="J533" s="4"/>
      <c r="K533" s="123"/>
      <c r="L533" s="7"/>
      <c r="M533" s="12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23"/>
      <c r="D534" s="4"/>
      <c r="E534" s="4"/>
      <c r="F534" s="4"/>
      <c r="G534" s="4"/>
      <c r="H534" s="4"/>
      <c r="I534" s="4"/>
      <c r="J534" s="4"/>
      <c r="K534" s="123"/>
      <c r="L534" s="7"/>
      <c r="M534" s="12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23"/>
      <c r="D535" s="4"/>
      <c r="E535" s="4"/>
      <c r="F535" s="4"/>
      <c r="G535" s="4"/>
      <c r="H535" s="4"/>
      <c r="I535" s="4"/>
      <c r="J535" s="4"/>
      <c r="K535" s="123"/>
      <c r="L535" s="7"/>
      <c r="M535" s="12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23"/>
      <c r="D536" s="4"/>
      <c r="E536" s="4"/>
      <c r="F536" s="4"/>
      <c r="G536" s="4"/>
      <c r="H536" s="4"/>
      <c r="I536" s="4"/>
      <c r="J536" s="4"/>
      <c r="K536" s="123"/>
      <c r="L536" s="7"/>
      <c r="M536" s="12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23"/>
      <c r="D537" s="4"/>
      <c r="E537" s="4"/>
      <c r="F537" s="4"/>
      <c r="G537" s="4"/>
      <c r="H537" s="4"/>
      <c r="I537" s="4"/>
      <c r="J537" s="4"/>
      <c r="K537" s="123"/>
      <c r="L537" s="7"/>
      <c r="M537" s="12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23"/>
      <c r="D538" s="4"/>
      <c r="E538" s="4"/>
      <c r="F538" s="4"/>
      <c r="G538" s="4"/>
      <c r="H538" s="4"/>
      <c r="I538" s="4"/>
      <c r="J538" s="4"/>
      <c r="K538" s="123"/>
      <c r="L538" s="7"/>
      <c r="M538" s="12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23"/>
      <c r="D539" s="4"/>
      <c r="E539" s="4"/>
      <c r="F539" s="4"/>
      <c r="G539" s="4"/>
      <c r="H539" s="4"/>
      <c r="I539" s="4"/>
      <c r="J539" s="4"/>
      <c r="K539" s="123"/>
      <c r="L539" s="7"/>
      <c r="M539" s="12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23"/>
      <c r="D540" s="4"/>
      <c r="E540" s="4"/>
      <c r="F540" s="4"/>
      <c r="G540" s="4"/>
      <c r="H540" s="4"/>
      <c r="I540" s="4"/>
      <c r="J540" s="4"/>
      <c r="K540" s="123"/>
      <c r="L540" s="7"/>
      <c r="M540" s="12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23"/>
      <c r="D541" s="4"/>
      <c r="E541" s="4"/>
      <c r="F541" s="4"/>
      <c r="G541" s="4"/>
      <c r="H541" s="4"/>
      <c r="I541" s="4"/>
      <c r="J541" s="4"/>
      <c r="K541" s="123"/>
      <c r="L541" s="7"/>
      <c r="M541" s="12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23"/>
      <c r="D542" s="4"/>
      <c r="E542" s="4"/>
      <c r="F542" s="4"/>
      <c r="G542" s="4"/>
      <c r="H542" s="4"/>
      <c r="I542" s="4"/>
      <c r="J542" s="4"/>
      <c r="K542" s="123"/>
      <c r="L542" s="7"/>
      <c r="M542" s="12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23"/>
      <c r="D543" s="4"/>
      <c r="E543" s="4"/>
      <c r="F543" s="4"/>
      <c r="G543" s="4"/>
      <c r="H543" s="4"/>
      <c r="I543" s="4"/>
      <c r="J543" s="4"/>
      <c r="K543" s="123"/>
      <c r="L543" s="7"/>
      <c r="M543" s="12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23"/>
      <c r="D544" s="4"/>
      <c r="E544" s="4"/>
      <c r="F544" s="4"/>
      <c r="G544" s="4"/>
      <c r="H544" s="4"/>
      <c r="I544" s="4"/>
      <c r="J544" s="4"/>
      <c r="K544" s="123"/>
      <c r="L544" s="7"/>
      <c r="M544" s="12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23"/>
      <c r="D545" s="4"/>
      <c r="E545" s="4"/>
      <c r="F545" s="4"/>
      <c r="G545" s="4"/>
      <c r="H545" s="4"/>
      <c r="I545" s="4"/>
      <c r="J545" s="4"/>
      <c r="K545" s="123"/>
      <c r="L545" s="7"/>
      <c r="M545" s="12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23"/>
      <c r="D546" s="4"/>
      <c r="E546" s="4"/>
      <c r="F546" s="4"/>
      <c r="G546" s="4"/>
      <c r="H546" s="4"/>
      <c r="I546" s="4"/>
      <c r="J546" s="4"/>
      <c r="K546" s="123"/>
      <c r="L546" s="7"/>
      <c r="M546" s="12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23"/>
      <c r="D547" s="4"/>
      <c r="E547" s="4"/>
      <c r="F547" s="4"/>
      <c r="G547" s="4"/>
      <c r="H547" s="4"/>
      <c r="I547" s="4"/>
      <c r="J547" s="4"/>
      <c r="K547" s="123"/>
      <c r="L547" s="7"/>
      <c r="M547" s="12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23"/>
      <c r="D548" s="4"/>
      <c r="E548" s="4"/>
      <c r="F548" s="4"/>
      <c r="G548" s="4"/>
      <c r="H548" s="4"/>
      <c r="I548" s="4"/>
      <c r="J548" s="4"/>
      <c r="K548" s="123"/>
      <c r="L548" s="7"/>
      <c r="M548" s="12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23"/>
      <c r="D549" s="4"/>
      <c r="E549" s="4"/>
      <c r="F549" s="4"/>
      <c r="G549" s="4"/>
      <c r="H549" s="4"/>
      <c r="I549" s="4"/>
      <c r="J549" s="4"/>
      <c r="K549" s="123"/>
      <c r="L549" s="7"/>
      <c r="M549" s="12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23"/>
      <c r="D550" s="4"/>
      <c r="E550" s="4"/>
      <c r="F550" s="4"/>
      <c r="G550" s="4"/>
      <c r="H550" s="4"/>
      <c r="I550" s="4"/>
      <c r="J550" s="4"/>
      <c r="K550" s="123"/>
      <c r="L550" s="7"/>
      <c r="M550" s="12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23"/>
      <c r="D551" s="4"/>
      <c r="E551" s="4"/>
      <c r="F551" s="4"/>
      <c r="G551" s="4"/>
      <c r="H551" s="4"/>
      <c r="I551" s="4"/>
      <c r="J551" s="4"/>
      <c r="K551" s="123"/>
      <c r="L551" s="7"/>
      <c r="M551" s="12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23"/>
      <c r="D552" s="4"/>
      <c r="E552" s="4"/>
      <c r="F552" s="4"/>
      <c r="G552" s="4"/>
      <c r="H552" s="4"/>
      <c r="I552" s="4"/>
      <c r="J552" s="4"/>
      <c r="K552" s="123"/>
      <c r="L552" s="7"/>
      <c r="M552" s="12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23"/>
      <c r="D553" s="4"/>
      <c r="E553" s="4"/>
      <c r="F553" s="4"/>
      <c r="G553" s="4"/>
      <c r="H553" s="4"/>
      <c r="I553" s="4"/>
      <c r="J553" s="4"/>
      <c r="K553" s="123"/>
      <c r="L553" s="7"/>
      <c r="M553" s="12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23"/>
      <c r="D554" s="4"/>
      <c r="E554" s="4"/>
      <c r="F554" s="4"/>
      <c r="G554" s="4"/>
      <c r="H554" s="4"/>
      <c r="I554" s="4"/>
      <c r="J554" s="4"/>
      <c r="K554" s="123"/>
      <c r="L554" s="7"/>
      <c r="M554" s="12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23"/>
      <c r="D555" s="4"/>
      <c r="E555" s="4"/>
      <c r="F555" s="4"/>
      <c r="G555" s="4"/>
      <c r="H555" s="4"/>
      <c r="I555" s="4"/>
      <c r="J555" s="4"/>
      <c r="K555" s="123"/>
      <c r="L555" s="7"/>
      <c r="M555" s="12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23"/>
      <c r="D556" s="4"/>
      <c r="E556" s="4"/>
      <c r="F556" s="4"/>
      <c r="G556" s="4"/>
      <c r="H556" s="4"/>
      <c r="I556" s="4"/>
      <c r="J556" s="4"/>
      <c r="K556" s="123"/>
      <c r="L556" s="7"/>
      <c r="M556" s="12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23"/>
      <c r="D557" s="4"/>
      <c r="E557" s="4"/>
      <c r="F557" s="4"/>
      <c r="G557" s="4"/>
      <c r="H557" s="4"/>
      <c r="I557" s="4"/>
      <c r="J557" s="4"/>
      <c r="K557" s="123"/>
      <c r="L557" s="7"/>
      <c r="M557" s="12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23"/>
      <c r="D558" s="4"/>
      <c r="E558" s="4"/>
      <c r="F558" s="4"/>
      <c r="G558" s="4"/>
      <c r="H558" s="4"/>
      <c r="I558" s="4"/>
      <c r="J558" s="4"/>
      <c r="K558" s="123"/>
      <c r="L558" s="7"/>
      <c r="M558" s="12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23"/>
      <c r="D559" s="4"/>
      <c r="E559" s="4"/>
      <c r="F559" s="4"/>
      <c r="G559" s="4"/>
      <c r="H559" s="4"/>
      <c r="I559" s="4"/>
      <c r="J559" s="4"/>
      <c r="K559" s="123"/>
      <c r="L559" s="7"/>
      <c r="M559" s="12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23"/>
      <c r="D560" s="4"/>
      <c r="E560" s="4"/>
      <c r="F560" s="4"/>
      <c r="G560" s="4"/>
      <c r="H560" s="4"/>
      <c r="I560" s="4"/>
      <c r="J560" s="4"/>
      <c r="K560" s="123"/>
      <c r="L560" s="7"/>
      <c r="M560" s="12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23"/>
      <c r="D561" s="4"/>
      <c r="E561" s="4"/>
      <c r="F561" s="4"/>
      <c r="G561" s="4"/>
      <c r="H561" s="4"/>
      <c r="I561" s="4"/>
      <c r="J561" s="4"/>
      <c r="K561" s="123"/>
      <c r="L561" s="7"/>
      <c r="M561" s="12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23"/>
      <c r="D562" s="4"/>
      <c r="E562" s="4"/>
      <c r="F562" s="4"/>
      <c r="G562" s="4"/>
      <c r="H562" s="4"/>
      <c r="I562" s="4"/>
      <c r="J562" s="4"/>
      <c r="K562" s="123"/>
      <c r="L562" s="7"/>
      <c r="M562" s="12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23"/>
      <c r="D563" s="4"/>
      <c r="E563" s="4"/>
      <c r="F563" s="4"/>
      <c r="G563" s="4"/>
      <c r="H563" s="4"/>
      <c r="I563" s="4"/>
      <c r="J563" s="4"/>
      <c r="K563" s="123"/>
      <c r="L563" s="7"/>
      <c r="M563" s="12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23"/>
      <c r="D564" s="4"/>
      <c r="E564" s="4"/>
      <c r="F564" s="4"/>
      <c r="G564" s="4"/>
      <c r="H564" s="4"/>
      <c r="I564" s="4"/>
      <c r="J564" s="4"/>
      <c r="K564" s="123"/>
      <c r="L564" s="7"/>
      <c r="M564" s="12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23"/>
      <c r="D565" s="4"/>
      <c r="E565" s="4"/>
      <c r="F565" s="4"/>
      <c r="G565" s="4"/>
      <c r="H565" s="4"/>
      <c r="I565" s="4"/>
      <c r="J565" s="4"/>
      <c r="K565" s="123"/>
      <c r="L565" s="7"/>
      <c r="M565" s="12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23"/>
      <c r="D566" s="4"/>
      <c r="E566" s="4"/>
      <c r="F566" s="4"/>
      <c r="G566" s="4"/>
      <c r="H566" s="4"/>
      <c r="I566" s="4"/>
      <c r="J566" s="4"/>
      <c r="K566" s="123"/>
      <c r="L566" s="7"/>
      <c r="M566" s="12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23"/>
      <c r="D567" s="4"/>
      <c r="E567" s="4"/>
      <c r="F567" s="4"/>
      <c r="G567" s="4"/>
      <c r="H567" s="4"/>
      <c r="I567" s="4"/>
      <c r="J567" s="4"/>
      <c r="K567" s="123"/>
      <c r="L567" s="7"/>
      <c r="M567" s="12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23"/>
      <c r="D568" s="4"/>
      <c r="E568" s="4"/>
      <c r="F568" s="4"/>
      <c r="G568" s="4"/>
      <c r="H568" s="4"/>
      <c r="I568" s="4"/>
      <c r="J568" s="4"/>
      <c r="K568" s="123"/>
      <c r="L568" s="7"/>
      <c r="M568" s="12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23"/>
      <c r="D569" s="4"/>
      <c r="E569" s="4"/>
      <c r="F569" s="4"/>
      <c r="G569" s="4"/>
      <c r="H569" s="4"/>
      <c r="I569" s="4"/>
      <c r="J569" s="4"/>
      <c r="K569" s="123"/>
      <c r="L569" s="7"/>
      <c r="M569" s="12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23"/>
      <c r="D570" s="4"/>
      <c r="E570" s="4"/>
      <c r="F570" s="4"/>
      <c r="G570" s="4"/>
      <c r="H570" s="4"/>
      <c r="I570" s="4"/>
      <c r="J570" s="4"/>
      <c r="K570" s="123"/>
      <c r="L570" s="7"/>
      <c r="M570" s="12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23"/>
      <c r="D571" s="4"/>
      <c r="E571" s="4"/>
      <c r="F571" s="4"/>
      <c r="G571" s="4"/>
      <c r="H571" s="4"/>
      <c r="I571" s="4"/>
      <c r="J571" s="4"/>
      <c r="K571" s="123"/>
      <c r="L571" s="7"/>
      <c r="M571" s="12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23"/>
      <c r="D572" s="4"/>
      <c r="E572" s="4"/>
      <c r="F572" s="4"/>
      <c r="G572" s="4"/>
      <c r="H572" s="4"/>
      <c r="I572" s="4"/>
      <c r="J572" s="4"/>
      <c r="K572" s="123"/>
      <c r="L572" s="7"/>
      <c r="M572" s="12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23"/>
      <c r="D573" s="4"/>
      <c r="E573" s="4"/>
      <c r="F573" s="4"/>
      <c r="G573" s="4"/>
      <c r="H573" s="4"/>
      <c r="I573" s="4"/>
      <c r="J573" s="4"/>
      <c r="K573" s="123"/>
      <c r="L573" s="7"/>
      <c r="M573" s="12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23"/>
      <c r="D574" s="4"/>
      <c r="E574" s="4"/>
      <c r="F574" s="4"/>
      <c r="G574" s="4"/>
      <c r="H574" s="4"/>
      <c r="I574" s="4"/>
      <c r="J574" s="4"/>
      <c r="K574" s="123"/>
      <c r="L574" s="7"/>
      <c r="M574" s="12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23"/>
      <c r="D575" s="4"/>
      <c r="E575" s="4"/>
      <c r="F575" s="4"/>
      <c r="G575" s="4"/>
      <c r="H575" s="4"/>
      <c r="I575" s="4"/>
      <c r="J575" s="4"/>
      <c r="K575" s="123"/>
      <c r="L575" s="7"/>
      <c r="M575" s="12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23"/>
      <c r="D576" s="4"/>
      <c r="E576" s="4"/>
      <c r="F576" s="4"/>
      <c r="G576" s="4"/>
      <c r="H576" s="4"/>
      <c r="I576" s="4"/>
      <c r="J576" s="4"/>
      <c r="K576" s="123"/>
      <c r="L576" s="7"/>
      <c r="M576" s="12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23"/>
      <c r="D577" s="4"/>
      <c r="E577" s="4"/>
      <c r="F577" s="4"/>
      <c r="G577" s="4"/>
      <c r="H577" s="4"/>
      <c r="I577" s="4"/>
      <c r="J577" s="4"/>
      <c r="K577" s="123"/>
      <c r="L577" s="7"/>
      <c r="M577" s="12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23"/>
      <c r="D578" s="4"/>
      <c r="E578" s="4"/>
      <c r="F578" s="4"/>
      <c r="G578" s="4"/>
      <c r="H578" s="4"/>
      <c r="I578" s="4"/>
      <c r="J578" s="4"/>
      <c r="K578" s="123"/>
      <c r="L578" s="7"/>
      <c r="M578" s="12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23"/>
      <c r="D579" s="4"/>
      <c r="E579" s="4"/>
      <c r="F579" s="4"/>
      <c r="G579" s="4"/>
      <c r="H579" s="4"/>
      <c r="I579" s="4"/>
      <c r="J579" s="4"/>
      <c r="K579" s="123"/>
      <c r="L579" s="7"/>
      <c r="M579" s="12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23"/>
      <c r="D580" s="4"/>
      <c r="E580" s="4"/>
      <c r="F580" s="4"/>
      <c r="G580" s="4"/>
      <c r="H580" s="4"/>
      <c r="I580" s="4"/>
      <c r="J580" s="4"/>
      <c r="K580" s="123"/>
      <c r="L580" s="7"/>
      <c r="M580" s="12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23"/>
      <c r="D581" s="4"/>
      <c r="E581" s="4"/>
      <c r="F581" s="4"/>
      <c r="G581" s="4"/>
      <c r="H581" s="4"/>
      <c r="I581" s="4"/>
      <c r="J581" s="4"/>
      <c r="K581" s="123"/>
      <c r="L581" s="7"/>
      <c r="M581" s="12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23"/>
      <c r="D582" s="4"/>
      <c r="E582" s="4"/>
      <c r="F582" s="4"/>
      <c r="G582" s="4"/>
      <c r="H582" s="4"/>
      <c r="I582" s="4"/>
      <c r="J582" s="4"/>
      <c r="K582" s="123"/>
      <c r="L582" s="7"/>
      <c r="M582" s="12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23"/>
      <c r="D583" s="4"/>
      <c r="E583" s="4"/>
      <c r="F583" s="4"/>
      <c r="G583" s="4"/>
      <c r="H583" s="4"/>
      <c r="I583" s="4"/>
      <c r="J583" s="4"/>
      <c r="K583" s="123"/>
      <c r="L583" s="7"/>
      <c r="M583" s="12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23"/>
      <c r="D584" s="4"/>
      <c r="E584" s="4"/>
      <c r="F584" s="4"/>
      <c r="G584" s="4"/>
      <c r="H584" s="4"/>
      <c r="I584" s="4"/>
      <c r="J584" s="4"/>
      <c r="K584" s="123"/>
      <c r="L584" s="7"/>
      <c r="M584" s="12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23"/>
      <c r="D585" s="4"/>
      <c r="E585" s="4"/>
      <c r="F585" s="4"/>
      <c r="G585" s="4"/>
      <c r="H585" s="4"/>
      <c r="I585" s="4"/>
      <c r="J585" s="4"/>
      <c r="K585" s="123"/>
      <c r="L585" s="7"/>
      <c r="M585" s="12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23"/>
      <c r="D586" s="4"/>
      <c r="E586" s="4"/>
      <c r="F586" s="4"/>
      <c r="G586" s="4"/>
      <c r="H586" s="4"/>
      <c r="I586" s="4"/>
      <c r="J586" s="4"/>
      <c r="K586" s="123"/>
      <c r="L586" s="7"/>
      <c r="M586" s="12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23"/>
      <c r="D587" s="4"/>
      <c r="E587" s="4"/>
      <c r="F587" s="4"/>
      <c r="G587" s="4"/>
      <c r="H587" s="4"/>
      <c r="I587" s="4"/>
      <c r="J587" s="4"/>
      <c r="K587" s="123"/>
      <c r="L587" s="7"/>
      <c r="M587" s="12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23"/>
      <c r="D588" s="4"/>
      <c r="E588" s="4"/>
      <c r="F588" s="4"/>
      <c r="G588" s="4"/>
      <c r="H588" s="4"/>
      <c r="I588" s="4"/>
      <c r="J588" s="4"/>
      <c r="K588" s="123"/>
      <c r="L588" s="7"/>
      <c r="M588" s="12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23"/>
      <c r="D589" s="4"/>
      <c r="E589" s="4"/>
      <c r="F589" s="4"/>
      <c r="G589" s="4"/>
      <c r="H589" s="4"/>
      <c r="I589" s="4"/>
      <c r="J589" s="4"/>
      <c r="K589" s="123"/>
      <c r="L589" s="7"/>
      <c r="M589" s="12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23"/>
      <c r="D590" s="4"/>
      <c r="E590" s="4"/>
      <c r="F590" s="4"/>
      <c r="G590" s="4"/>
      <c r="H590" s="4"/>
      <c r="I590" s="4"/>
      <c r="J590" s="4"/>
      <c r="K590" s="123"/>
      <c r="L590" s="7"/>
      <c r="M590" s="12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23"/>
      <c r="D591" s="4"/>
      <c r="E591" s="4"/>
      <c r="F591" s="4"/>
      <c r="G591" s="4"/>
      <c r="H591" s="4"/>
      <c r="I591" s="4"/>
      <c r="J591" s="4"/>
      <c r="K591" s="123"/>
      <c r="L591" s="7"/>
      <c r="M591" s="12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23"/>
      <c r="D592" s="4"/>
      <c r="E592" s="4"/>
      <c r="F592" s="4"/>
      <c r="G592" s="4"/>
      <c r="H592" s="4"/>
      <c r="I592" s="4"/>
      <c r="J592" s="4"/>
      <c r="K592" s="123"/>
      <c r="L592" s="7"/>
      <c r="M592" s="12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23"/>
      <c r="D593" s="4"/>
      <c r="E593" s="4"/>
      <c r="F593" s="4"/>
      <c r="G593" s="4"/>
      <c r="H593" s="4"/>
      <c r="I593" s="4"/>
      <c r="J593" s="4"/>
      <c r="K593" s="123"/>
      <c r="L593" s="7"/>
      <c r="M593" s="12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23"/>
      <c r="D594" s="4"/>
      <c r="E594" s="4"/>
      <c r="F594" s="4"/>
      <c r="G594" s="4"/>
      <c r="H594" s="4"/>
      <c r="I594" s="4"/>
      <c r="J594" s="4"/>
      <c r="K594" s="123"/>
      <c r="L594" s="7"/>
      <c r="M594" s="12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23"/>
      <c r="D595" s="4"/>
      <c r="E595" s="4"/>
      <c r="F595" s="4"/>
      <c r="G595" s="4"/>
      <c r="H595" s="4"/>
      <c r="I595" s="4"/>
      <c r="J595" s="4"/>
      <c r="K595" s="123"/>
      <c r="L595" s="7"/>
      <c r="M595" s="12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23"/>
      <c r="D596" s="4"/>
      <c r="E596" s="4"/>
      <c r="F596" s="4"/>
      <c r="G596" s="4"/>
      <c r="H596" s="4"/>
      <c r="I596" s="4"/>
      <c r="J596" s="4"/>
      <c r="K596" s="123"/>
      <c r="L596" s="7"/>
      <c r="M596" s="12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23"/>
      <c r="D597" s="4"/>
      <c r="E597" s="4"/>
      <c r="F597" s="4"/>
      <c r="G597" s="4"/>
      <c r="H597" s="4"/>
      <c r="I597" s="4"/>
      <c r="J597" s="4"/>
      <c r="K597" s="123"/>
      <c r="L597" s="7"/>
      <c r="M597" s="12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23"/>
      <c r="D598" s="4"/>
      <c r="E598" s="4"/>
      <c r="F598" s="4"/>
      <c r="G598" s="4"/>
      <c r="H598" s="4"/>
      <c r="I598" s="4"/>
      <c r="J598" s="4"/>
      <c r="K598" s="123"/>
      <c r="L598" s="7"/>
      <c r="M598" s="12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23"/>
      <c r="D599" s="4"/>
      <c r="E599" s="4"/>
      <c r="F599" s="4"/>
      <c r="G599" s="4"/>
      <c r="H599" s="4"/>
      <c r="I599" s="4"/>
      <c r="J599" s="4"/>
      <c r="K599" s="123"/>
      <c r="L599" s="7"/>
      <c r="M599" s="12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23"/>
      <c r="D600" s="4"/>
      <c r="E600" s="4"/>
      <c r="F600" s="4"/>
      <c r="G600" s="4"/>
      <c r="H600" s="4"/>
      <c r="I600" s="4"/>
      <c r="J600" s="4"/>
      <c r="K600" s="123"/>
      <c r="L600" s="7"/>
      <c r="M600" s="12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23"/>
      <c r="D601" s="4"/>
      <c r="E601" s="4"/>
      <c r="F601" s="4"/>
      <c r="G601" s="4"/>
      <c r="H601" s="4"/>
      <c r="I601" s="4"/>
      <c r="J601" s="4"/>
      <c r="K601" s="123"/>
      <c r="L601" s="7"/>
      <c r="M601" s="12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23"/>
      <c r="D602" s="4"/>
      <c r="E602" s="4"/>
      <c r="F602" s="4"/>
      <c r="G602" s="4"/>
      <c r="H602" s="4"/>
      <c r="I602" s="4"/>
      <c r="J602" s="4"/>
      <c r="K602" s="123"/>
      <c r="L602" s="7"/>
      <c r="M602" s="12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23"/>
      <c r="D603" s="4"/>
      <c r="E603" s="4"/>
      <c r="F603" s="4"/>
      <c r="G603" s="4"/>
      <c r="H603" s="4"/>
      <c r="I603" s="4"/>
      <c r="J603" s="4"/>
      <c r="K603" s="123"/>
      <c r="L603" s="7"/>
      <c r="M603" s="12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23"/>
      <c r="D604" s="4"/>
      <c r="E604" s="4"/>
      <c r="F604" s="4"/>
      <c r="G604" s="4"/>
      <c r="H604" s="4"/>
      <c r="I604" s="4"/>
      <c r="J604" s="4"/>
      <c r="K604" s="123"/>
      <c r="L604" s="7"/>
      <c r="M604" s="12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23"/>
      <c r="D605" s="4"/>
      <c r="E605" s="4"/>
      <c r="F605" s="4"/>
      <c r="G605" s="4"/>
      <c r="H605" s="4"/>
      <c r="I605" s="4"/>
      <c r="J605" s="4"/>
      <c r="K605" s="123"/>
      <c r="L605" s="7"/>
      <c r="M605" s="12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23"/>
      <c r="D606" s="4"/>
      <c r="E606" s="4"/>
      <c r="F606" s="4"/>
      <c r="G606" s="4"/>
      <c r="H606" s="4"/>
      <c r="I606" s="4"/>
      <c r="J606" s="4"/>
      <c r="K606" s="123"/>
      <c r="L606" s="7"/>
      <c r="M606" s="12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23"/>
      <c r="D607" s="4"/>
      <c r="E607" s="4"/>
      <c r="F607" s="4"/>
      <c r="G607" s="4"/>
      <c r="H607" s="4"/>
      <c r="I607" s="4"/>
      <c r="J607" s="4"/>
      <c r="K607" s="123"/>
      <c r="L607" s="7"/>
      <c r="M607" s="12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23"/>
      <c r="D608" s="4"/>
      <c r="E608" s="4"/>
      <c r="F608" s="4"/>
      <c r="G608" s="4"/>
      <c r="H608" s="4"/>
      <c r="I608" s="4"/>
      <c r="J608" s="4"/>
      <c r="K608" s="123"/>
      <c r="L608" s="7"/>
      <c r="M608" s="12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23"/>
      <c r="D609" s="4"/>
      <c r="E609" s="4"/>
      <c r="F609" s="4"/>
      <c r="G609" s="4"/>
      <c r="H609" s="4"/>
      <c r="I609" s="4"/>
      <c r="J609" s="4"/>
      <c r="K609" s="123"/>
      <c r="L609" s="7"/>
      <c r="M609" s="12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23"/>
      <c r="D610" s="4"/>
      <c r="E610" s="4"/>
      <c r="F610" s="4"/>
      <c r="G610" s="4"/>
      <c r="H610" s="4"/>
      <c r="I610" s="4"/>
      <c r="J610" s="4"/>
      <c r="K610" s="123"/>
      <c r="L610" s="7"/>
      <c r="M610" s="12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23"/>
      <c r="D611" s="4"/>
      <c r="E611" s="4"/>
      <c r="F611" s="4"/>
      <c r="G611" s="4"/>
      <c r="H611" s="4"/>
      <c r="I611" s="4"/>
      <c r="J611" s="4"/>
      <c r="K611" s="123"/>
      <c r="L611" s="7"/>
      <c r="M611" s="12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23"/>
      <c r="D612" s="4"/>
      <c r="E612" s="4"/>
      <c r="F612" s="4"/>
      <c r="G612" s="4"/>
      <c r="H612" s="4"/>
      <c r="I612" s="4"/>
      <c r="J612" s="4"/>
      <c r="K612" s="123"/>
      <c r="L612" s="7"/>
      <c r="M612" s="12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23"/>
      <c r="D613" s="4"/>
      <c r="E613" s="4"/>
      <c r="F613" s="4"/>
      <c r="G613" s="4"/>
      <c r="H613" s="4"/>
      <c r="I613" s="4"/>
      <c r="J613" s="4"/>
      <c r="K613" s="123"/>
      <c r="L613" s="7"/>
      <c r="M613" s="12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23"/>
      <c r="D614" s="4"/>
      <c r="E614" s="4"/>
      <c r="F614" s="4"/>
      <c r="G614" s="4"/>
      <c r="H614" s="4"/>
      <c r="I614" s="4"/>
      <c r="J614" s="4"/>
      <c r="K614" s="123"/>
      <c r="L614" s="7"/>
      <c r="M614" s="12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23"/>
      <c r="D615" s="4"/>
      <c r="E615" s="4"/>
      <c r="F615" s="4"/>
      <c r="G615" s="4"/>
      <c r="H615" s="4"/>
      <c r="I615" s="4"/>
      <c r="J615" s="4"/>
      <c r="K615" s="123"/>
      <c r="L615" s="7"/>
      <c r="M615" s="12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23"/>
      <c r="D616" s="4"/>
      <c r="E616" s="4"/>
      <c r="F616" s="4"/>
      <c r="G616" s="4"/>
      <c r="H616" s="4"/>
      <c r="I616" s="4"/>
      <c r="J616" s="4"/>
      <c r="K616" s="123"/>
      <c r="L616" s="7"/>
      <c r="M616" s="12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23"/>
      <c r="D617" s="4"/>
      <c r="E617" s="4"/>
      <c r="F617" s="4"/>
      <c r="G617" s="4"/>
      <c r="H617" s="4"/>
      <c r="I617" s="4"/>
      <c r="J617" s="4"/>
      <c r="K617" s="123"/>
      <c r="L617" s="7"/>
      <c r="M617" s="12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23"/>
      <c r="D618" s="4"/>
      <c r="E618" s="4"/>
      <c r="F618" s="4"/>
      <c r="G618" s="4"/>
      <c r="H618" s="4"/>
      <c r="I618" s="4"/>
      <c r="J618" s="4"/>
      <c r="K618" s="123"/>
      <c r="L618" s="7"/>
      <c r="M618" s="12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23"/>
      <c r="D619" s="4"/>
      <c r="E619" s="4"/>
      <c r="F619" s="4"/>
      <c r="G619" s="4"/>
      <c r="H619" s="4"/>
      <c r="I619" s="4"/>
      <c r="J619" s="4"/>
      <c r="K619" s="123"/>
      <c r="L619" s="7"/>
      <c r="M619" s="12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23"/>
      <c r="D620" s="4"/>
      <c r="E620" s="4"/>
      <c r="F620" s="4"/>
      <c r="G620" s="4"/>
      <c r="H620" s="4"/>
      <c r="I620" s="4"/>
      <c r="J620" s="4"/>
      <c r="K620" s="123"/>
      <c r="L620" s="7"/>
      <c r="M620" s="12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23"/>
      <c r="D621" s="4"/>
      <c r="E621" s="4"/>
      <c r="F621" s="4"/>
      <c r="G621" s="4"/>
      <c r="H621" s="4"/>
      <c r="I621" s="4"/>
      <c r="J621" s="4"/>
      <c r="K621" s="123"/>
      <c r="L621" s="7"/>
      <c r="M621" s="12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23"/>
      <c r="D622" s="4"/>
      <c r="E622" s="4"/>
      <c r="F622" s="4"/>
      <c r="G622" s="4"/>
      <c r="H622" s="4"/>
      <c r="I622" s="4"/>
      <c r="J622" s="4"/>
      <c r="K622" s="123"/>
      <c r="L622" s="7"/>
      <c r="M622" s="12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23"/>
      <c r="D623" s="4"/>
      <c r="E623" s="4"/>
      <c r="F623" s="4"/>
      <c r="G623" s="4"/>
      <c r="H623" s="4"/>
      <c r="I623" s="4"/>
      <c r="J623" s="4"/>
      <c r="K623" s="123"/>
      <c r="L623" s="7"/>
      <c r="M623" s="12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23"/>
      <c r="D624" s="4"/>
      <c r="E624" s="4"/>
      <c r="F624" s="4"/>
      <c r="G624" s="4"/>
      <c r="H624" s="4"/>
      <c r="I624" s="4"/>
      <c r="J624" s="4"/>
      <c r="K624" s="123"/>
      <c r="L624" s="7"/>
      <c r="M624" s="12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23"/>
      <c r="D625" s="4"/>
      <c r="E625" s="4"/>
      <c r="F625" s="4"/>
      <c r="G625" s="4"/>
      <c r="H625" s="4"/>
      <c r="I625" s="4"/>
      <c r="J625" s="4"/>
      <c r="K625" s="123"/>
      <c r="L625" s="7"/>
      <c r="M625" s="12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23"/>
      <c r="D626" s="4"/>
      <c r="E626" s="4"/>
      <c r="F626" s="4"/>
      <c r="G626" s="4"/>
      <c r="H626" s="4"/>
      <c r="I626" s="4"/>
      <c r="J626" s="4"/>
      <c r="K626" s="123"/>
      <c r="L626" s="7"/>
      <c r="M626" s="12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23"/>
      <c r="D627" s="4"/>
      <c r="E627" s="4"/>
      <c r="F627" s="4"/>
      <c r="G627" s="4"/>
      <c r="H627" s="4"/>
      <c r="I627" s="4"/>
      <c r="J627" s="4"/>
      <c r="K627" s="123"/>
      <c r="L627" s="7"/>
      <c r="M627" s="12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23"/>
      <c r="D628" s="4"/>
      <c r="E628" s="4"/>
      <c r="F628" s="4"/>
      <c r="G628" s="4"/>
      <c r="H628" s="4"/>
      <c r="I628" s="4"/>
      <c r="J628" s="4"/>
      <c r="K628" s="123"/>
      <c r="L628" s="7"/>
      <c r="M628" s="12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23"/>
      <c r="D629" s="4"/>
      <c r="E629" s="4"/>
      <c r="F629" s="4"/>
      <c r="G629" s="4"/>
      <c r="H629" s="4"/>
      <c r="I629" s="4"/>
      <c r="J629" s="4"/>
      <c r="K629" s="123"/>
      <c r="L629" s="7"/>
      <c r="M629" s="12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23"/>
      <c r="D630" s="4"/>
      <c r="E630" s="4"/>
      <c r="F630" s="4"/>
      <c r="G630" s="4"/>
      <c r="H630" s="4"/>
      <c r="I630" s="4"/>
      <c r="J630" s="4"/>
      <c r="K630" s="123"/>
      <c r="L630" s="7"/>
      <c r="M630" s="12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23"/>
      <c r="D631" s="4"/>
      <c r="E631" s="4"/>
      <c r="F631" s="4"/>
      <c r="G631" s="4"/>
      <c r="H631" s="4"/>
      <c r="I631" s="4"/>
      <c r="J631" s="4"/>
      <c r="K631" s="123"/>
      <c r="L631" s="7"/>
      <c r="M631" s="12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23"/>
      <c r="D632" s="4"/>
      <c r="E632" s="4"/>
      <c r="F632" s="4"/>
      <c r="G632" s="4"/>
      <c r="H632" s="4"/>
      <c r="I632" s="4"/>
      <c r="J632" s="4"/>
      <c r="K632" s="123"/>
      <c r="L632" s="7"/>
      <c r="M632" s="12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23"/>
      <c r="D633" s="4"/>
      <c r="E633" s="4"/>
      <c r="F633" s="4"/>
      <c r="G633" s="4"/>
      <c r="H633" s="4"/>
      <c r="I633" s="4"/>
      <c r="J633" s="4"/>
      <c r="K633" s="123"/>
      <c r="L633" s="7"/>
      <c r="M633" s="12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23"/>
      <c r="D634" s="4"/>
      <c r="E634" s="4"/>
      <c r="F634" s="4"/>
      <c r="G634" s="4"/>
      <c r="H634" s="4"/>
      <c r="I634" s="4"/>
      <c r="J634" s="4"/>
      <c r="K634" s="123"/>
      <c r="L634" s="7"/>
      <c r="M634" s="12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23"/>
      <c r="D635" s="4"/>
      <c r="E635" s="4"/>
      <c r="F635" s="4"/>
      <c r="G635" s="4"/>
      <c r="H635" s="4"/>
      <c r="I635" s="4"/>
      <c r="J635" s="4"/>
      <c r="K635" s="123"/>
      <c r="L635" s="7"/>
      <c r="M635" s="12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23"/>
      <c r="D636" s="4"/>
      <c r="E636" s="4"/>
      <c r="F636" s="4"/>
      <c r="G636" s="4"/>
      <c r="H636" s="4"/>
      <c r="I636" s="4"/>
      <c r="J636" s="4"/>
      <c r="K636" s="123"/>
      <c r="L636" s="7"/>
      <c r="M636" s="12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23"/>
      <c r="D637" s="4"/>
      <c r="E637" s="4"/>
      <c r="F637" s="4"/>
      <c r="G637" s="4"/>
      <c r="H637" s="4"/>
      <c r="I637" s="4"/>
      <c r="J637" s="4"/>
      <c r="K637" s="123"/>
      <c r="L637" s="7"/>
      <c r="M637" s="12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23"/>
      <c r="D638" s="4"/>
      <c r="E638" s="4"/>
      <c r="F638" s="4"/>
      <c r="G638" s="4"/>
      <c r="H638" s="4"/>
      <c r="I638" s="4"/>
      <c r="J638" s="4"/>
      <c r="K638" s="123"/>
      <c r="L638" s="7"/>
      <c r="M638" s="12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23"/>
      <c r="D639" s="4"/>
      <c r="E639" s="4"/>
      <c r="F639" s="4"/>
      <c r="G639" s="4"/>
      <c r="H639" s="4"/>
      <c r="I639" s="4"/>
      <c r="J639" s="4"/>
      <c r="K639" s="123"/>
      <c r="L639" s="7"/>
      <c r="M639" s="12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23"/>
      <c r="D640" s="4"/>
      <c r="E640" s="4"/>
      <c r="F640" s="4"/>
      <c r="G640" s="4"/>
      <c r="H640" s="4"/>
      <c r="I640" s="4"/>
      <c r="J640" s="4"/>
      <c r="K640" s="123"/>
      <c r="L640" s="7"/>
      <c r="M640" s="12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23"/>
      <c r="D641" s="4"/>
      <c r="E641" s="4"/>
      <c r="F641" s="4"/>
      <c r="G641" s="4"/>
      <c r="H641" s="4"/>
      <c r="I641" s="4"/>
      <c r="J641" s="4"/>
      <c r="K641" s="123"/>
      <c r="L641" s="7"/>
      <c r="M641" s="12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23"/>
      <c r="D642" s="4"/>
      <c r="E642" s="4"/>
      <c r="F642" s="4"/>
      <c r="G642" s="4"/>
      <c r="H642" s="4"/>
      <c r="I642" s="4"/>
      <c r="J642" s="4"/>
      <c r="K642" s="123"/>
      <c r="L642" s="7"/>
      <c r="M642" s="12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23"/>
      <c r="D643" s="4"/>
      <c r="E643" s="4"/>
      <c r="F643" s="4"/>
      <c r="G643" s="4"/>
      <c r="H643" s="4"/>
      <c r="I643" s="4"/>
      <c r="J643" s="4"/>
      <c r="K643" s="123"/>
      <c r="L643" s="7"/>
      <c r="M643" s="12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23"/>
      <c r="D644" s="4"/>
      <c r="E644" s="4"/>
      <c r="F644" s="4"/>
      <c r="G644" s="4"/>
      <c r="H644" s="4"/>
      <c r="I644" s="4"/>
      <c r="J644" s="4"/>
      <c r="K644" s="123"/>
      <c r="L644" s="7"/>
      <c r="M644" s="12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23"/>
      <c r="D645" s="4"/>
      <c r="E645" s="4"/>
      <c r="F645" s="4"/>
      <c r="G645" s="4"/>
      <c r="H645" s="4"/>
      <c r="I645" s="4"/>
      <c r="J645" s="4"/>
      <c r="K645" s="123"/>
      <c r="L645" s="7"/>
      <c r="M645" s="12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23"/>
      <c r="D646" s="4"/>
      <c r="E646" s="4"/>
      <c r="F646" s="4"/>
      <c r="G646" s="4"/>
      <c r="H646" s="4"/>
      <c r="I646" s="4"/>
      <c r="J646" s="4"/>
      <c r="K646" s="123"/>
      <c r="L646" s="7"/>
      <c r="M646" s="12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23"/>
      <c r="D647" s="4"/>
      <c r="E647" s="4"/>
      <c r="F647" s="4"/>
      <c r="G647" s="4"/>
      <c r="H647" s="4"/>
      <c r="I647" s="4"/>
      <c r="J647" s="4"/>
      <c r="K647" s="123"/>
      <c r="L647" s="7"/>
      <c r="M647" s="12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23"/>
      <c r="D648" s="4"/>
      <c r="E648" s="4"/>
      <c r="F648" s="4"/>
      <c r="G648" s="4"/>
      <c r="H648" s="4"/>
      <c r="I648" s="4"/>
      <c r="J648" s="4"/>
      <c r="K648" s="123"/>
      <c r="L648" s="7"/>
      <c r="M648" s="12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23"/>
      <c r="D649" s="4"/>
      <c r="E649" s="4"/>
      <c r="F649" s="4"/>
      <c r="G649" s="4"/>
      <c r="H649" s="4"/>
      <c r="I649" s="4"/>
      <c r="J649" s="4"/>
      <c r="K649" s="123"/>
      <c r="L649" s="7"/>
      <c r="M649" s="12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23"/>
      <c r="D650" s="4"/>
      <c r="E650" s="4"/>
      <c r="F650" s="4"/>
      <c r="G650" s="4"/>
      <c r="H650" s="4"/>
      <c r="I650" s="4"/>
      <c r="J650" s="4"/>
      <c r="K650" s="123"/>
      <c r="L650" s="7"/>
      <c r="M650" s="12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23"/>
      <c r="D651" s="4"/>
      <c r="E651" s="4"/>
      <c r="F651" s="4"/>
      <c r="G651" s="4"/>
      <c r="H651" s="4"/>
      <c r="I651" s="4"/>
      <c r="J651" s="4"/>
      <c r="K651" s="123"/>
      <c r="L651" s="7"/>
      <c r="M651" s="12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23"/>
      <c r="D652" s="4"/>
      <c r="E652" s="4"/>
      <c r="F652" s="4"/>
      <c r="G652" s="4"/>
      <c r="H652" s="4"/>
      <c r="I652" s="4"/>
      <c r="J652" s="4"/>
      <c r="K652" s="123"/>
      <c r="L652" s="7"/>
      <c r="M652" s="12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23"/>
      <c r="D653" s="4"/>
      <c r="E653" s="4"/>
      <c r="F653" s="4"/>
      <c r="G653" s="4"/>
      <c r="H653" s="4"/>
      <c r="I653" s="4"/>
      <c r="J653" s="4"/>
      <c r="K653" s="123"/>
      <c r="L653" s="7"/>
      <c r="M653" s="12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23"/>
      <c r="D654" s="4"/>
      <c r="E654" s="4"/>
      <c r="F654" s="4"/>
      <c r="G654" s="4"/>
      <c r="H654" s="4"/>
      <c r="I654" s="4"/>
      <c r="J654" s="4"/>
      <c r="K654" s="123"/>
      <c r="L654" s="7"/>
      <c r="M654" s="12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23"/>
      <c r="D655" s="4"/>
      <c r="E655" s="4"/>
      <c r="F655" s="4"/>
      <c r="G655" s="4"/>
      <c r="H655" s="4"/>
      <c r="I655" s="4"/>
      <c r="J655" s="4"/>
      <c r="K655" s="123"/>
      <c r="L655" s="7"/>
      <c r="M655" s="12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23"/>
      <c r="D656" s="4"/>
      <c r="E656" s="4"/>
      <c r="F656" s="4"/>
      <c r="G656" s="4"/>
      <c r="H656" s="4"/>
      <c r="I656" s="4"/>
      <c r="J656" s="4"/>
      <c r="K656" s="123"/>
      <c r="L656" s="7"/>
      <c r="M656" s="12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23"/>
      <c r="D657" s="4"/>
      <c r="E657" s="4"/>
      <c r="F657" s="4"/>
      <c r="G657" s="4"/>
      <c r="H657" s="4"/>
      <c r="I657" s="4"/>
      <c r="J657" s="4"/>
      <c r="K657" s="123"/>
      <c r="L657" s="7"/>
      <c r="M657" s="12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23"/>
      <c r="D658" s="4"/>
      <c r="E658" s="4"/>
      <c r="F658" s="4"/>
      <c r="G658" s="4"/>
      <c r="H658" s="4"/>
      <c r="I658" s="4"/>
      <c r="J658" s="4"/>
      <c r="K658" s="123"/>
      <c r="L658" s="7"/>
      <c r="M658" s="12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23"/>
      <c r="D659" s="4"/>
      <c r="E659" s="4"/>
      <c r="F659" s="4"/>
      <c r="G659" s="4"/>
      <c r="H659" s="4"/>
      <c r="I659" s="4"/>
      <c r="J659" s="4"/>
      <c r="K659" s="123"/>
      <c r="L659" s="7"/>
      <c r="M659" s="12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23"/>
      <c r="D660" s="4"/>
      <c r="E660" s="4"/>
      <c r="F660" s="4"/>
      <c r="G660" s="4"/>
      <c r="H660" s="4"/>
      <c r="I660" s="4"/>
      <c r="J660" s="4"/>
      <c r="K660" s="123"/>
      <c r="L660" s="7"/>
      <c r="M660" s="12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23"/>
      <c r="D661" s="4"/>
      <c r="E661" s="4"/>
      <c r="F661" s="4"/>
      <c r="G661" s="4"/>
      <c r="H661" s="4"/>
      <c r="I661" s="4"/>
      <c r="J661" s="4"/>
      <c r="K661" s="123"/>
      <c r="L661" s="7"/>
      <c r="M661" s="12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23"/>
      <c r="D662" s="4"/>
      <c r="E662" s="4"/>
      <c r="F662" s="4"/>
      <c r="G662" s="4"/>
      <c r="H662" s="4"/>
      <c r="I662" s="4"/>
      <c r="J662" s="4"/>
      <c r="K662" s="123"/>
      <c r="L662" s="7"/>
      <c r="M662" s="12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23"/>
      <c r="D663" s="4"/>
      <c r="E663" s="4"/>
      <c r="F663" s="4"/>
      <c r="G663" s="4"/>
      <c r="H663" s="4"/>
      <c r="I663" s="4"/>
      <c r="J663" s="4"/>
      <c r="K663" s="123"/>
      <c r="L663" s="7"/>
      <c r="M663" s="12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23"/>
      <c r="D664" s="4"/>
      <c r="E664" s="4"/>
      <c r="F664" s="4"/>
      <c r="G664" s="4"/>
      <c r="H664" s="4"/>
      <c r="I664" s="4"/>
      <c r="J664" s="4"/>
      <c r="K664" s="123"/>
      <c r="L664" s="7"/>
      <c r="M664" s="12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23"/>
      <c r="D665" s="4"/>
      <c r="E665" s="4"/>
      <c r="F665" s="4"/>
      <c r="G665" s="4"/>
      <c r="H665" s="4"/>
      <c r="I665" s="4"/>
      <c r="J665" s="4"/>
      <c r="K665" s="123"/>
      <c r="L665" s="7"/>
      <c r="M665" s="12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23"/>
      <c r="D666" s="4"/>
      <c r="E666" s="4"/>
      <c r="F666" s="4"/>
      <c r="G666" s="4"/>
      <c r="H666" s="4"/>
      <c r="I666" s="4"/>
      <c r="J666" s="4"/>
      <c r="K666" s="123"/>
      <c r="L666" s="7"/>
      <c r="M666" s="12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23"/>
      <c r="D667" s="4"/>
      <c r="E667" s="4"/>
      <c r="F667" s="4"/>
      <c r="G667" s="4"/>
      <c r="H667" s="4"/>
      <c r="I667" s="4"/>
      <c r="J667" s="4"/>
      <c r="K667" s="123"/>
      <c r="L667" s="7"/>
      <c r="M667" s="12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23"/>
      <c r="D668" s="4"/>
      <c r="E668" s="4"/>
      <c r="F668" s="4"/>
      <c r="G668" s="4"/>
      <c r="H668" s="4"/>
      <c r="I668" s="4"/>
      <c r="J668" s="4"/>
      <c r="K668" s="123"/>
      <c r="L668" s="7"/>
      <c r="M668" s="12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23"/>
      <c r="D669" s="4"/>
      <c r="E669" s="4"/>
      <c r="F669" s="4"/>
      <c r="G669" s="4"/>
      <c r="H669" s="4"/>
      <c r="I669" s="4"/>
      <c r="J669" s="4"/>
      <c r="K669" s="123"/>
      <c r="L669" s="7"/>
      <c r="M669" s="12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23"/>
      <c r="D670" s="4"/>
      <c r="E670" s="4"/>
      <c r="F670" s="4"/>
      <c r="G670" s="4"/>
      <c r="H670" s="4"/>
      <c r="I670" s="4"/>
      <c r="J670" s="4"/>
      <c r="K670" s="123"/>
      <c r="L670" s="7"/>
      <c r="M670" s="12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23"/>
      <c r="D671" s="4"/>
      <c r="E671" s="4"/>
      <c r="F671" s="4"/>
      <c r="G671" s="4"/>
      <c r="H671" s="4"/>
      <c r="I671" s="4"/>
      <c r="J671" s="4"/>
      <c r="K671" s="123"/>
      <c r="L671" s="7"/>
      <c r="M671" s="12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23"/>
      <c r="D672" s="4"/>
      <c r="E672" s="4"/>
      <c r="F672" s="4"/>
      <c r="G672" s="4"/>
      <c r="H672" s="4"/>
      <c r="I672" s="4"/>
      <c r="J672" s="4"/>
      <c r="K672" s="123"/>
      <c r="L672" s="7"/>
      <c r="M672" s="12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23"/>
      <c r="D673" s="4"/>
      <c r="E673" s="4"/>
      <c r="F673" s="4"/>
      <c r="G673" s="4"/>
      <c r="H673" s="4"/>
      <c r="I673" s="4"/>
      <c r="J673" s="4"/>
      <c r="K673" s="123"/>
      <c r="L673" s="7"/>
      <c r="M673" s="12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23"/>
      <c r="D674" s="4"/>
      <c r="E674" s="4"/>
      <c r="F674" s="4"/>
      <c r="G674" s="4"/>
      <c r="H674" s="4"/>
      <c r="I674" s="4"/>
      <c r="J674" s="4"/>
      <c r="K674" s="123"/>
      <c r="L674" s="7"/>
      <c r="M674" s="12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23"/>
      <c r="D675" s="4"/>
      <c r="E675" s="4"/>
      <c r="F675" s="4"/>
      <c r="G675" s="4"/>
      <c r="H675" s="4"/>
      <c r="I675" s="4"/>
      <c r="J675" s="4"/>
      <c r="K675" s="123"/>
      <c r="L675" s="7"/>
      <c r="M675" s="12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23"/>
      <c r="D676" s="4"/>
      <c r="E676" s="4"/>
      <c r="F676" s="4"/>
      <c r="G676" s="4"/>
      <c r="H676" s="4"/>
      <c r="I676" s="4"/>
      <c r="J676" s="4"/>
      <c r="K676" s="123"/>
      <c r="L676" s="7"/>
      <c r="M676" s="12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23"/>
      <c r="D677" s="4"/>
      <c r="E677" s="4"/>
      <c r="F677" s="4"/>
      <c r="G677" s="4"/>
      <c r="H677" s="4"/>
      <c r="I677" s="4"/>
      <c r="J677" s="4"/>
      <c r="K677" s="123"/>
      <c r="L677" s="7"/>
      <c r="M677" s="12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23"/>
      <c r="D678" s="4"/>
      <c r="E678" s="4"/>
      <c r="F678" s="4"/>
      <c r="G678" s="4"/>
      <c r="H678" s="4"/>
      <c r="I678" s="4"/>
      <c r="J678" s="4"/>
      <c r="K678" s="123"/>
      <c r="L678" s="7"/>
      <c r="M678" s="12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23"/>
      <c r="D679" s="4"/>
      <c r="E679" s="4"/>
      <c r="F679" s="4"/>
      <c r="G679" s="4"/>
      <c r="H679" s="4"/>
      <c r="I679" s="4"/>
      <c r="J679" s="4"/>
      <c r="K679" s="123"/>
      <c r="L679" s="7"/>
      <c r="M679" s="12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23"/>
      <c r="D680" s="4"/>
      <c r="E680" s="4"/>
      <c r="F680" s="4"/>
      <c r="G680" s="4"/>
      <c r="H680" s="4"/>
      <c r="I680" s="4"/>
      <c r="J680" s="4"/>
      <c r="K680" s="123"/>
      <c r="L680" s="7"/>
      <c r="M680" s="12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23"/>
      <c r="D681" s="4"/>
      <c r="E681" s="4"/>
      <c r="F681" s="4"/>
      <c r="G681" s="4"/>
      <c r="H681" s="4"/>
      <c r="I681" s="4"/>
      <c r="J681" s="4"/>
      <c r="K681" s="123"/>
      <c r="L681" s="7"/>
      <c r="M681" s="12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23"/>
      <c r="D682" s="4"/>
      <c r="E682" s="4"/>
      <c r="F682" s="4"/>
      <c r="G682" s="4"/>
      <c r="H682" s="4"/>
      <c r="I682" s="4"/>
      <c r="J682" s="4"/>
      <c r="K682" s="123"/>
      <c r="L682" s="7"/>
      <c r="M682" s="12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23"/>
      <c r="D683" s="4"/>
      <c r="E683" s="4"/>
      <c r="F683" s="4"/>
      <c r="G683" s="4"/>
      <c r="H683" s="4"/>
      <c r="I683" s="4"/>
      <c r="J683" s="4"/>
      <c r="K683" s="123"/>
      <c r="L683" s="7"/>
      <c r="M683" s="12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23"/>
      <c r="D684" s="4"/>
      <c r="E684" s="4"/>
      <c r="F684" s="4"/>
      <c r="G684" s="4"/>
      <c r="H684" s="4"/>
      <c r="I684" s="4"/>
      <c r="J684" s="4"/>
      <c r="K684" s="123"/>
      <c r="L684" s="7"/>
      <c r="M684" s="12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23"/>
      <c r="D685" s="4"/>
      <c r="E685" s="4"/>
      <c r="F685" s="4"/>
      <c r="G685" s="4"/>
      <c r="H685" s="4"/>
      <c r="I685" s="4"/>
      <c r="J685" s="4"/>
      <c r="K685" s="123"/>
      <c r="L685" s="7"/>
      <c r="M685" s="12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23"/>
      <c r="D686" s="4"/>
      <c r="E686" s="4"/>
      <c r="F686" s="4"/>
      <c r="G686" s="4"/>
      <c r="H686" s="4"/>
      <c r="I686" s="4"/>
      <c r="J686" s="4"/>
      <c r="K686" s="123"/>
      <c r="L686" s="7"/>
      <c r="M686" s="12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23"/>
      <c r="D687" s="4"/>
      <c r="E687" s="4"/>
      <c r="F687" s="4"/>
      <c r="G687" s="4"/>
      <c r="H687" s="4"/>
      <c r="I687" s="4"/>
      <c r="J687" s="4"/>
      <c r="K687" s="123"/>
      <c r="L687" s="7"/>
      <c r="M687" s="12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23"/>
      <c r="D688" s="4"/>
      <c r="E688" s="4"/>
      <c r="F688" s="4"/>
      <c r="G688" s="4"/>
      <c r="H688" s="4"/>
      <c r="I688" s="4"/>
      <c r="J688" s="4"/>
      <c r="K688" s="123"/>
      <c r="L688" s="7"/>
      <c r="M688" s="12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23"/>
      <c r="D689" s="4"/>
      <c r="E689" s="4"/>
      <c r="F689" s="4"/>
      <c r="G689" s="4"/>
      <c r="H689" s="4"/>
      <c r="I689" s="4"/>
      <c r="J689" s="4"/>
      <c r="K689" s="123"/>
      <c r="L689" s="7"/>
      <c r="M689" s="12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23"/>
      <c r="D690" s="4"/>
      <c r="E690" s="4"/>
      <c r="F690" s="4"/>
      <c r="G690" s="4"/>
      <c r="H690" s="4"/>
      <c r="I690" s="4"/>
      <c r="J690" s="4"/>
      <c r="K690" s="123"/>
      <c r="L690" s="7"/>
      <c r="M690" s="12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23"/>
      <c r="D691" s="4"/>
      <c r="E691" s="4"/>
      <c r="F691" s="4"/>
      <c r="G691" s="4"/>
      <c r="H691" s="4"/>
      <c r="I691" s="4"/>
      <c r="J691" s="4"/>
      <c r="K691" s="123"/>
      <c r="L691" s="7"/>
      <c r="M691" s="12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23"/>
      <c r="D692" s="4"/>
      <c r="E692" s="4"/>
      <c r="F692" s="4"/>
      <c r="G692" s="4"/>
      <c r="H692" s="4"/>
      <c r="I692" s="4"/>
      <c r="J692" s="4"/>
      <c r="K692" s="123"/>
      <c r="L692" s="7"/>
      <c r="M692" s="12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23"/>
      <c r="D693" s="4"/>
      <c r="E693" s="4"/>
      <c r="F693" s="4"/>
      <c r="G693" s="4"/>
      <c r="H693" s="4"/>
      <c r="I693" s="4"/>
      <c r="J693" s="4"/>
      <c r="K693" s="123"/>
      <c r="L693" s="7"/>
      <c r="M693" s="12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23"/>
      <c r="D694" s="4"/>
      <c r="E694" s="4"/>
      <c r="F694" s="4"/>
      <c r="G694" s="4"/>
      <c r="H694" s="4"/>
      <c r="I694" s="4"/>
      <c r="J694" s="4"/>
      <c r="K694" s="123"/>
      <c r="L694" s="7"/>
      <c r="M694" s="12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23"/>
      <c r="D695" s="4"/>
      <c r="E695" s="4"/>
      <c r="F695" s="4"/>
      <c r="G695" s="4"/>
      <c r="H695" s="4"/>
      <c r="I695" s="4"/>
      <c r="J695" s="4"/>
      <c r="K695" s="123"/>
      <c r="L695" s="7"/>
      <c r="M695" s="12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23"/>
      <c r="D696" s="4"/>
      <c r="E696" s="4"/>
      <c r="F696" s="4"/>
      <c r="G696" s="4"/>
      <c r="H696" s="4"/>
      <c r="I696" s="4"/>
      <c r="J696" s="4"/>
      <c r="K696" s="123"/>
      <c r="L696" s="7"/>
      <c r="M696" s="12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23"/>
      <c r="D697" s="4"/>
      <c r="E697" s="4"/>
      <c r="F697" s="4"/>
      <c r="G697" s="4"/>
      <c r="H697" s="4"/>
      <c r="I697" s="4"/>
      <c r="J697" s="4"/>
      <c r="K697" s="123"/>
      <c r="L697" s="7"/>
      <c r="M697" s="12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23"/>
      <c r="D698" s="4"/>
      <c r="E698" s="4"/>
      <c r="F698" s="4"/>
      <c r="G698" s="4"/>
      <c r="H698" s="4"/>
      <c r="I698" s="4"/>
      <c r="J698" s="4"/>
      <c r="K698" s="123"/>
      <c r="L698" s="7"/>
      <c r="M698" s="12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23"/>
      <c r="D699" s="4"/>
      <c r="E699" s="4"/>
      <c r="F699" s="4"/>
      <c r="G699" s="4"/>
      <c r="H699" s="4"/>
      <c r="I699" s="4"/>
      <c r="J699" s="4"/>
      <c r="K699" s="123"/>
      <c r="L699" s="7"/>
      <c r="M699" s="12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23"/>
      <c r="D700" s="4"/>
      <c r="E700" s="4"/>
      <c r="F700" s="4"/>
      <c r="G700" s="4"/>
      <c r="H700" s="4"/>
      <c r="I700" s="4"/>
      <c r="J700" s="4"/>
      <c r="K700" s="123"/>
      <c r="L700" s="7"/>
      <c r="M700" s="12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23"/>
      <c r="D701" s="4"/>
      <c r="E701" s="4"/>
      <c r="F701" s="4"/>
      <c r="G701" s="4"/>
      <c r="H701" s="4"/>
      <c r="I701" s="4"/>
      <c r="J701" s="4"/>
      <c r="K701" s="123"/>
      <c r="L701" s="7"/>
      <c r="M701" s="12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23"/>
      <c r="D702" s="4"/>
      <c r="E702" s="4"/>
      <c r="F702" s="4"/>
      <c r="G702" s="4"/>
      <c r="H702" s="4"/>
      <c r="I702" s="4"/>
      <c r="J702" s="4"/>
      <c r="K702" s="123"/>
      <c r="L702" s="7"/>
      <c r="M702" s="12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23"/>
      <c r="D703" s="4"/>
      <c r="E703" s="4"/>
      <c r="F703" s="4"/>
      <c r="G703" s="4"/>
      <c r="H703" s="4"/>
      <c r="I703" s="4"/>
      <c r="J703" s="4"/>
      <c r="K703" s="123"/>
      <c r="L703" s="7"/>
      <c r="M703" s="12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23"/>
      <c r="D704" s="4"/>
      <c r="E704" s="4"/>
      <c r="F704" s="4"/>
      <c r="G704" s="4"/>
      <c r="H704" s="4"/>
      <c r="I704" s="4"/>
      <c r="J704" s="4"/>
      <c r="K704" s="123"/>
      <c r="L704" s="7"/>
      <c r="M704" s="12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23"/>
      <c r="D705" s="4"/>
      <c r="E705" s="4"/>
      <c r="F705" s="4"/>
      <c r="G705" s="4"/>
      <c r="H705" s="4"/>
      <c r="I705" s="4"/>
      <c r="J705" s="4"/>
      <c r="K705" s="123"/>
      <c r="L705" s="7"/>
      <c r="M705" s="12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23"/>
      <c r="D706" s="4"/>
      <c r="E706" s="4"/>
      <c r="F706" s="4"/>
      <c r="G706" s="4"/>
      <c r="H706" s="4"/>
      <c r="I706" s="4"/>
      <c r="J706" s="4"/>
      <c r="K706" s="123"/>
      <c r="L706" s="7"/>
      <c r="M706" s="12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23"/>
      <c r="D707" s="4"/>
      <c r="E707" s="4"/>
      <c r="F707" s="4"/>
      <c r="G707" s="4"/>
      <c r="H707" s="4"/>
      <c r="I707" s="4"/>
      <c r="J707" s="4"/>
      <c r="K707" s="123"/>
      <c r="L707" s="7"/>
      <c r="M707" s="12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23"/>
      <c r="D708" s="4"/>
      <c r="E708" s="4"/>
      <c r="F708" s="4"/>
      <c r="G708" s="4"/>
      <c r="H708" s="4"/>
      <c r="I708" s="4"/>
      <c r="J708" s="4"/>
      <c r="K708" s="123"/>
      <c r="L708" s="7"/>
      <c r="M708" s="12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23"/>
      <c r="D709" s="4"/>
      <c r="E709" s="4"/>
      <c r="F709" s="4"/>
      <c r="G709" s="4"/>
      <c r="H709" s="4"/>
      <c r="I709" s="4"/>
      <c r="J709" s="4"/>
      <c r="K709" s="123"/>
      <c r="L709" s="7"/>
      <c r="M709" s="12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23"/>
      <c r="D710" s="4"/>
      <c r="E710" s="4"/>
      <c r="F710" s="4"/>
      <c r="G710" s="4"/>
      <c r="H710" s="4"/>
      <c r="I710" s="4"/>
      <c r="J710" s="4"/>
      <c r="K710" s="123"/>
      <c r="L710" s="7"/>
      <c r="M710" s="12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23"/>
      <c r="D711" s="4"/>
      <c r="E711" s="4"/>
      <c r="F711" s="4"/>
      <c r="G711" s="4"/>
      <c r="H711" s="4"/>
      <c r="I711" s="4"/>
      <c r="J711" s="4"/>
      <c r="K711" s="123"/>
      <c r="L711" s="7"/>
      <c r="M711" s="12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23"/>
      <c r="D712" s="4"/>
      <c r="E712" s="4"/>
      <c r="F712" s="4"/>
      <c r="G712" s="4"/>
      <c r="H712" s="4"/>
      <c r="I712" s="4"/>
      <c r="J712" s="4"/>
      <c r="K712" s="123"/>
      <c r="L712" s="7"/>
      <c r="M712" s="12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23"/>
      <c r="D713" s="4"/>
      <c r="E713" s="4"/>
      <c r="F713" s="4"/>
      <c r="G713" s="4"/>
      <c r="H713" s="4"/>
      <c r="I713" s="4"/>
      <c r="J713" s="4"/>
      <c r="K713" s="123"/>
      <c r="L713" s="7"/>
      <c r="M713" s="12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23"/>
      <c r="D714" s="4"/>
      <c r="E714" s="4"/>
      <c r="F714" s="4"/>
      <c r="G714" s="4"/>
      <c r="H714" s="4"/>
      <c r="I714" s="4"/>
      <c r="J714" s="4"/>
      <c r="K714" s="123"/>
      <c r="L714" s="7"/>
      <c r="M714" s="12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23"/>
      <c r="D715" s="4"/>
      <c r="E715" s="4"/>
      <c r="F715" s="4"/>
      <c r="G715" s="4"/>
      <c r="H715" s="4"/>
      <c r="I715" s="4"/>
      <c r="J715" s="4"/>
      <c r="K715" s="123"/>
      <c r="L715" s="7"/>
      <c r="M715" s="12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23"/>
      <c r="D716" s="4"/>
      <c r="E716" s="4"/>
      <c r="F716" s="4"/>
      <c r="G716" s="4"/>
      <c r="H716" s="4"/>
      <c r="I716" s="4"/>
      <c r="J716" s="4"/>
      <c r="K716" s="123"/>
      <c r="L716" s="7"/>
      <c r="M716" s="12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23"/>
      <c r="D717" s="4"/>
      <c r="E717" s="4"/>
      <c r="F717" s="4"/>
      <c r="G717" s="4"/>
      <c r="H717" s="4"/>
      <c r="I717" s="4"/>
      <c r="J717" s="4"/>
      <c r="K717" s="123"/>
      <c r="L717" s="7"/>
      <c r="M717" s="12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23"/>
      <c r="D718" s="4"/>
      <c r="E718" s="4"/>
      <c r="F718" s="4"/>
      <c r="G718" s="4"/>
      <c r="H718" s="4"/>
      <c r="I718" s="4"/>
      <c r="J718" s="4"/>
      <c r="K718" s="123"/>
      <c r="L718" s="7"/>
      <c r="M718" s="12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23"/>
      <c r="D719" s="4"/>
      <c r="E719" s="4"/>
      <c r="F719" s="4"/>
      <c r="G719" s="4"/>
      <c r="H719" s="4"/>
      <c r="I719" s="4"/>
      <c r="J719" s="4"/>
      <c r="K719" s="123"/>
      <c r="L719" s="7"/>
      <c r="M719" s="12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23"/>
      <c r="D720" s="4"/>
      <c r="E720" s="4"/>
      <c r="F720" s="4"/>
      <c r="G720" s="4"/>
      <c r="H720" s="4"/>
      <c r="I720" s="4"/>
      <c r="J720" s="4"/>
      <c r="K720" s="123"/>
      <c r="L720" s="7"/>
      <c r="M720" s="12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23"/>
      <c r="D721" s="4"/>
      <c r="E721" s="4"/>
      <c r="F721" s="4"/>
      <c r="G721" s="4"/>
      <c r="H721" s="4"/>
      <c r="I721" s="4"/>
      <c r="J721" s="4"/>
      <c r="K721" s="123"/>
      <c r="L721" s="7"/>
      <c r="M721" s="12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23"/>
      <c r="D722" s="4"/>
      <c r="E722" s="4"/>
      <c r="F722" s="4"/>
      <c r="G722" s="4"/>
      <c r="H722" s="4"/>
      <c r="I722" s="4"/>
      <c r="J722" s="4"/>
      <c r="K722" s="123"/>
      <c r="L722" s="7"/>
      <c r="M722" s="12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23"/>
      <c r="D723" s="4"/>
      <c r="E723" s="4"/>
      <c r="F723" s="4"/>
      <c r="G723" s="4"/>
      <c r="H723" s="4"/>
      <c r="I723" s="4"/>
      <c r="J723" s="4"/>
      <c r="K723" s="123"/>
      <c r="L723" s="7"/>
      <c r="M723" s="12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23"/>
      <c r="D724" s="4"/>
      <c r="E724" s="4"/>
      <c r="F724" s="4"/>
      <c r="G724" s="4"/>
      <c r="H724" s="4"/>
      <c r="I724" s="4"/>
      <c r="J724" s="4"/>
      <c r="K724" s="123"/>
      <c r="L724" s="7"/>
      <c r="M724" s="12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23"/>
      <c r="D725" s="4"/>
      <c r="E725" s="4"/>
      <c r="F725" s="4"/>
      <c r="G725" s="4"/>
      <c r="H725" s="4"/>
      <c r="I725" s="4"/>
      <c r="J725" s="4"/>
      <c r="K725" s="123"/>
      <c r="L725" s="7"/>
      <c r="M725" s="12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23"/>
      <c r="D726" s="4"/>
      <c r="E726" s="4"/>
      <c r="F726" s="4"/>
      <c r="G726" s="4"/>
      <c r="H726" s="4"/>
      <c r="I726" s="4"/>
      <c r="J726" s="4"/>
      <c r="K726" s="123"/>
      <c r="L726" s="7"/>
      <c r="M726" s="12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23"/>
      <c r="D727" s="4"/>
      <c r="E727" s="4"/>
      <c r="F727" s="4"/>
      <c r="G727" s="4"/>
      <c r="H727" s="4"/>
      <c r="I727" s="4"/>
      <c r="J727" s="4"/>
      <c r="K727" s="123"/>
      <c r="L727" s="7"/>
      <c r="M727" s="12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23"/>
      <c r="D728" s="4"/>
      <c r="E728" s="4"/>
      <c r="F728" s="4"/>
      <c r="G728" s="4"/>
      <c r="H728" s="4"/>
      <c r="I728" s="4"/>
      <c r="J728" s="4"/>
      <c r="K728" s="123"/>
      <c r="L728" s="7"/>
      <c r="M728" s="12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23"/>
      <c r="D729" s="4"/>
      <c r="E729" s="4"/>
      <c r="F729" s="4"/>
      <c r="G729" s="4"/>
      <c r="H729" s="4"/>
      <c r="I729" s="4"/>
      <c r="J729" s="4"/>
      <c r="K729" s="123"/>
      <c r="L729" s="7"/>
      <c r="M729" s="12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23"/>
      <c r="D730" s="4"/>
      <c r="E730" s="4"/>
      <c r="F730" s="4"/>
      <c r="G730" s="4"/>
      <c r="H730" s="4"/>
      <c r="I730" s="4"/>
      <c r="J730" s="4"/>
      <c r="K730" s="123"/>
      <c r="L730" s="7"/>
      <c r="M730" s="12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23"/>
      <c r="D731" s="4"/>
      <c r="E731" s="4"/>
      <c r="F731" s="4"/>
      <c r="G731" s="4"/>
      <c r="H731" s="4"/>
      <c r="I731" s="4"/>
      <c r="J731" s="4"/>
      <c r="K731" s="123"/>
      <c r="L731" s="7"/>
      <c r="M731" s="12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23"/>
      <c r="D732" s="4"/>
      <c r="E732" s="4"/>
      <c r="F732" s="4"/>
      <c r="G732" s="4"/>
      <c r="H732" s="4"/>
      <c r="I732" s="4"/>
      <c r="J732" s="4"/>
      <c r="K732" s="123"/>
      <c r="L732" s="7"/>
      <c r="M732" s="12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23"/>
      <c r="D733" s="4"/>
      <c r="E733" s="4"/>
      <c r="F733" s="4"/>
      <c r="G733" s="4"/>
      <c r="H733" s="4"/>
      <c r="I733" s="4"/>
      <c r="J733" s="4"/>
      <c r="K733" s="123"/>
      <c r="L733" s="7"/>
      <c r="M733" s="12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23"/>
      <c r="D734" s="4"/>
      <c r="E734" s="4"/>
      <c r="F734" s="4"/>
      <c r="G734" s="4"/>
      <c r="H734" s="4"/>
      <c r="I734" s="4"/>
      <c r="J734" s="4"/>
      <c r="K734" s="123"/>
      <c r="L734" s="7"/>
      <c r="M734" s="12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23"/>
      <c r="D735" s="4"/>
      <c r="E735" s="4"/>
      <c r="F735" s="4"/>
      <c r="G735" s="4"/>
      <c r="H735" s="4"/>
      <c r="I735" s="4"/>
      <c r="J735" s="4"/>
      <c r="K735" s="123"/>
      <c r="L735" s="7"/>
      <c r="M735" s="12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23"/>
      <c r="D736" s="4"/>
      <c r="E736" s="4"/>
      <c r="F736" s="4"/>
      <c r="G736" s="4"/>
      <c r="H736" s="4"/>
      <c r="I736" s="4"/>
      <c r="J736" s="4"/>
      <c r="K736" s="123"/>
      <c r="L736" s="7"/>
      <c r="M736" s="12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23"/>
      <c r="D737" s="4"/>
      <c r="E737" s="4"/>
      <c r="F737" s="4"/>
      <c r="G737" s="4"/>
      <c r="H737" s="4"/>
      <c r="I737" s="4"/>
      <c r="J737" s="4"/>
      <c r="K737" s="123"/>
      <c r="L737" s="7"/>
      <c r="M737" s="12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23"/>
      <c r="D738" s="4"/>
      <c r="E738" s="4"/>
      <c r="F738" s="4"/>
      <c r="G738" s="4"/>
      <c r="H738" s="4"/>
      <c r="I738" s="4"/>
      <c r="J738" s="4"/>
      <c r="K738" s="123"/>
      <c r="L738" s="7"/>
      <c r="M738" s="12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23"/>
      <c r="D739" s="4"/>
      <c r="E739" s="4"/>
      <c r="F739" s="4"/>
      <c r="G739" s="4"/>
      <c r="H739" s="4"/>
      <c r="I739" s="4"/>
      <c r="J739" s="4"/>
      <c r="K739" s="123"/>
      <c r="L739" s="7"/>
      <c r="M739" s="12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23"/>
      <c r="D740" s="4"/>
      <c r="E740" s="4"/>
      <c r="F740" s="4"/>
      <c r="G740" s="4"/>
      <c r="H740" s="4"/>
      <c r="I740" s="4"/>
      <c r="J740" s="4"/>
      <c r="K740" s="123"/>
      <c r="L740" s="7"/>
      <c r="M740" s="12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23"/>
      <c r="D741" s="4"/>
      <c r="E741" s="4"/>
      <c r="F741" s="4"/>
      <c r="G741" s="4"/>
      <c r="H741" s="4"/>
      <c r="I741" s="4"/>
      <c r="J741" s="4"/>
      <c r="K741" s="123"/>
      <c r="L741" s="7"/>
      <c r="M741" s="12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23"/>
      <c r="D742" s="4"/>
      <c r="E742" s="4"/>
      <c r="F742" s="4"/>
      <c r="G742" s="4"/>
      <c r="H742" s="4"/>
      <c r="I742" s="4"/>
      <c r="J742" s="4"/>
      <c r="K742" s="123"/>
      <c r="L742" s="7"/>
      <c r="M742" s="12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23"/>
      <c r="D743" s="4"/>
      <c r="E743" s="4"/>
      <c r="F743" s="4"/>
      <c r="G743" s="4"/>
      <c r="H743" s="4"/>
      <c r="I743" s="4"/>
      <c r="J743" s="4"/>
      <c r="K743" s="123"/>
      <c r="L743" s="7"/>
      <c r="M743" s="12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23"/>
      <c r="D744" s="4"/>
      <c r="E744" s="4"/>
      <c r="F744" s="4"/>
      <c r="G744" s="4"/>
      <c r="H744" s="4"/>
      <c r="I744" s="4"/>
      <c r="J744" s="4"/>
      <c r="K744" s="123"/>
      <c r="L744" s="7"/>
      <c r="M744" s="12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23"/>
      <c r="D745" s="4"/>
      <c r="E745" s="4"/>
      <c r="F745" s="4"/>
      <c r="G745" s="4"/>
      <c r="H745" s="4"/>
      <c r="I745" s="4"/>
      <c r="J745" s="4"/>
      <c r="K745" s="123"/>
      <c r="L745" s="7"/>
      <c r="M745" s="12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23"/>
      <c r="D746" s="4"/>
      <c r="E746" s="4"/>
      <c r="F746" s="4"/>
      <c r="G746" s="4"/>
      <c r="H746" s="4"/>
      <c r="I746" s="4"/>
      <c r="J746" s="4"/>
      <c r="K746" s="123"/>
      <c r="L746" s="7"/>
      <c r="M746" s="12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23"/>
      <c r="D747" s="4"/>
      <c r="E747" s="4"/>
      <c r="F747" s="4"/>
      <c r="G747" s="4"/>
      <c r="H747" s="4"/>
      <c r="I747" s="4"/>
      <c r="J747" s="4"/>
      <c r="K747" s="123"/>
      <c r="L747" s="7"/>
      <c r="M747" s="12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23"/>
      <c r="D748" s="4"/>
      <c r="E748" s="4"/>
      <c r="F748" s="4"/>
      <c r="G748" s="4"/>
      <c r="H748" s="4"/>
      <c r="I748" s="4"/>
      <c r="J748" s="4"/>
      <c r="K748" s="123"/>
      <c r="L748" s="7"/>
      <c r="M748" s="12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23"/>
      <c r="D749" s="4"/>
      <c r="E749" s="4"/>
      <c r="F749" s="4"/>
      <c r="G749" s="4"/>
      <c r="H749" s="4"/>
      <c r="I749" s="4"/>
      <c r="J749" s="4"/>
      <c r="K749" s="123"/>
      <c r="L749" s="7"/>
      <c r="M749" s="12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23"/>
      <c r="D750" s="4"/>
      <c r="E750" s="4"/>
      <c r="F750" s="4"/>
      <c r="G750" s="4"/>
      <c r="H750" s="4"/>
      <c r="I750" s="4"/>
      <c r="J750" s="4"/>
      <c r="K750" s="123"/>
      <c r="L750" s="7"/>
      <c r="M750" s="12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23"/>
      <c r="D751" s="4"/>
      <c r="E751" s="4"/>
      <c r="F751" s="4"/>
      <c r="G751" s="4"/>
      <c r="H751" s="4"/>
      <c r="I751" s="4"/>
      <c r="J751" s="4"/>
      <c r="K751" s="123"/>
      <c r="L751" s="7"/>
      <c r="M751" s="12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23"/>
      <c r="D752" s="4"/>
      <c r="E752" s="4"/>
      <c r="F752" s="4"/>
      <c r="G752" s="4"/>
      <c r="H752" s="4"/>
      <c r="I752" s="4"/>
      <c r="J752" s="4"/>
      <c r="K752" s="123"/>
      <c r="L752" s="7"/>
      <c r="M752" s="12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23"/>
      <c r="D753" s="4"/>
      <c r="E753" s="4"/>
      <c r="F753" s="4"/>
      <c r="G753" s="4"/>
      <c r="H753" s="4"/>
      <c r="I753" s="4"/>
      <c r="J753" s="4"/>
      <c r="K753" s="123"/>
      <c r="L753" s="7"/>
      <c r="M753" s="12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23"/>
      <c r="D754" s="4"/>
      <c r="E754" s="4"/>
      <c r="F754" s="4"/>
      <c r="G754" s="4"/>
      <c r="H754" s="4"/>
      <c r="I754" s="4"/>
      <c r="J754" s="4"/>
      <c r="K754" s="123"/>
      <c r="L754" s="7"/>
      <c r="M754" s="12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23"/>
      <c r="D755" s="4"/>
      <c r="E755" s="4"/>
      <c r="F755" s="4"/>
      <c r="G755" s="4"/>
      <c r="H755" s="4"/>
      <c r="I755" s="4"/>
      <c r="J755" s="4"/>
      <c r="K755" s="123"/>
      <c r="L755" s="7"/>
      <c r="M755" s="12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23"/>
      <c r="D756" s="4"/>
      <c r="E756" s="4"/>
      <c r="F756" s="4"/>
      <c r="G756" s="4"/>
      <c r="H756" s="4"/>
      <c r="I756" s="4"/>
      <c r="J756" s="4"/>
      <c r="K756" s="123"/>
      <c r="L756" s="7"/>
      <c r="M756" s="12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23"/>
      <c r="D757" s="4"/>
      <c r="E757" s="4"/>
      <c r="F757" s="4"/>
      <c r="G757" s="4"/>
      <c r="H757" s="4"/>
      <c r="I757" s="4"/>
      <c r="J757" s="4"/>
      <c r="K757" s="123"/>
      <c r="L757" s="7"/>
      <c r="M757" s="12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23"/>
      <c r="D758" s="4"/>
      <c r="E758" s="4"/>
      <c r="F758" s="4"/>
      <c r="G758" s="4"/>
      <c r="H758" s="4"/>
      <c r="I758" s="4"/>
      <c r="J758" s="4"/>
      <c r="K758" s="123"/>
      <c r="L758" s="7"/>
      <c r="M758" s="12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23"/>
      <c r="D759" s="4"/>
      <c r="E759" s="4"/>
      <c r="F759" s="4"/>
      <c r="G759" s="4"/>
      <c r="H759" s="4"/>
      <c r="I759" s="4"/>
      <c r="J759" s="4"/>
      <c r="K759" s="123"/>
      <c r="L759" s="7"/>
      <c r="M759" s="12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23"/>
      <c r="D760" s="4"/>
      <c r="E760" s="4"/>
      <c r="F760" s="4"/>
      <c r="G760" s="4"/>
      <c r="H760" s="4"/>
      <c r="I760" s="4"/>
      <c r="J760" s="4"/>
      <c r="K760" s="123"/>
      <c r="L760" s="7"/>
      <c r="M760" s="12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23"/>
      <c r="D761" s="4"/>
      <c r="E761" s="4"/>
      <c r="F761" s="4"/>
      <c r="G761" s="4"/>
      <c r="H761" s="4"/>
      <c r="I761" s="4"/>
      <c r="J761" s="4"/>
      <c r="K761" s="123"/>
      <c r="L761" s="7"/>
      <c r="M761" s="12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23"/>
      <c r="D762" s="4"/>
      <c r="E762" s="4"/>
      <c r="F762" s="4"/>
      <c r="G762" s="4"/>
      <c r="H762" s="4"/>
      <c r="I762" s="4"/>
      <c r="J762" s="4"/>
      <c r="K762" s="123"/>
      <c r="L762" s="7"/>
      <c r="M762" s="12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23"/>
      <c r="D763" s="4"/>
      <c r="E763" s="4"/>
      <c r="F763" s="4"/>
      <c r="G763" s="4"/>
      <c r="H763" s="4"/>
      <c r="I763" s="4"/>
      <c r="J763" s="4"/>
      <c r="K763" s="123"/>
      <c r="L763" s="7"/>
      <c r="M763" s="12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23"/>
      <c r="D764" s="4"/>
      <c r="E764" s="4"/>
      <c r="F764" s="4"/>
      <c r="G764" s="4"/>
      <c r="H764" s="4"/>
      <c r="I764" s="4"/>
      <c r="J764" s="4"/>
      <c r="K764" s="123"/>
      <c r="L764" s="7"/>
      <c r="M764" s="12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23"/>
      <c r="D765" s="4"/>
      <c r="E765" s="4"/>
      <c r="F765" s="4"/>
      <c r="G765" s="4"/>
      <c r="H765" s="4"/>
      <c r="I765" s="4"/>
      <c r="J765" s="4"/>
      <c r="K765" s="123"/>
      <c r="L765" s="7"/>
      <c r="M765" s="12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23"/>
      <c r="D766" s="4"/>
      <c r="E766" s="4"/>
      <c r="F766" s="4"/>
      <c r="G766" s="4"/>
      <c r="H766" s="4"/>
      <c r="I766" s="4"/>
      <c r="J766" s="4"/>
      <c r="K766" s="123"/>
      <c r="L766" s="7"/>
      <c r="M766" s="12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23"/>
      <c r="D767" s="4"/>
      <c r="E767" s="4"/>
      <c r="F767" s="4"/>
      <c r="G767" s="4"/>
      <c r="H767" s="4"/>
      <c r="I767" s="4"/>
      <c r="J767" s="4"/>
      <c r="K767" s="123"/>
      <c r="L767" s="7"/>
      <c r="M767" s="12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23"/>
      <c r="D768" s="4"/>
      <c r="E768" s="4"/>
      <c r="F768" s="4"/>
      <c r="G768" s="4"/>
      <c r="H768" s="4"/>
      <c r="I768" s="4"/>
      <c r="J768" s="4"/>
      <c r="K768" s="123"/>
      <c r="L768" s="7"/>
      <c r="M768" s="12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23"/>
      <c r="D769" s="4"/>
      <c r="E769" s="4"/>
      <c r="F769" s="4"/>
      <c r="G769" s="4"/>
      <c r="H769" s="4"/>
      <c r="I769" s="4"/>
      <c r="J769" s="4"/>
      <c r="K769" s="123"/>
      <c r="L769" s="7"/>
      <c r="M769" s="12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23"/>
      <c r="D770" s="4"/>
      <c r="E770" s="4"/>
      <c r="F770" s="4"/>
      <c r="G770" s="4"/>
      <c r="H770" s="4"/>
      <c r="I770" s="4"/>
      <c r="J770" s="4"/>
      <c r="K770" s="123"/>
      <c r="L770" s="7"/>
      <c r="M770" s="12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23"/>
      <c r="D771" s="4"/>
      <c r="E771" s="4"/>
      <c r="F771" s="4"/>
      <c r="G771" s="4"/>
      <c r="H771" s="4"/>
      <c r="I771" s="4"/>
      <c r="J771" s="4"/>
      <c r="K771" s="123"/>
      <c r="L771" s="7"/>
      <c r="M771" s="12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23"/>
      <c r="D772" s="4"/>
      <c r="E772" s="4"/>
      <c r="F772" s="4"/>
      <c r="G772" s="4"/>
      <c r="H772" s="4"/>
      <c r="I772" s="4"/>
      <c r="J772" s="4"/>
      <c r="K772" s="123"/>
      <c r="L772" s="7"/>
      <c r="M772" s="12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23"/>
      <c r="D773" s="4"/>
      <c r="E773" s="4"/>
      <c r="F773" s="4"/>
      <c r="G773" s="4"/>
      <c r="H773" s="4"/>
      <c r="I773" s="4"/>
      <c r="J773" s="4"/>
      <c r="K773" s="123"/>
      <c r="L773" s="7"/>
      <c r="M773" s="12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23"/>
      <c r="D774" s="4"/>
      <c r="E774" s="4"/>
      <c r="F774" s="4"/>
      <c r="G774" s="4"/>
      <c r="H774" s="4"/>
      <c r="I774" s="4"/>
      <c r="J774" s="4"/>
      <c r="K774" s="123"/>
      <c r="L774" s="7"/>
      <c r="M774" s="12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23"/>
      <c r="D775" s="4"/>
      <c r="E775" s="4"/>
      <c r="F775" s="4"/>
      <c r="G775" s="4"/>
      <c r="H775" s="4"/>
      <c r="I775" s="4"/>
      <c r="J775" s="4"/>
      <c r="K775" s="123"/>
      <c r="L775" s="7"/>
      <c r="M775" s="12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23"/>
      <c r="D776" s="4"/>
      <c r="E776" s="4"/>
      <c r="F776" s="4"/>
      <c r="G776" s="4"/>
      <c r="H776" s="4"/>
      <c r="I776" s="4"/>
      <c r="J776" s="4"/>
      <c r="K776" s="123"/>
      <c r="L776" s="7"/>
      <c r="M776" s="12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23"/>
      <c r="D777" s="4"/>
      <c r="E777" s="4"/>
      <c r="F777" s="4"/>
      <c r="G777" s="4"/>
      <c r="H777" s="4"/>
      <c r="I777" s="4"/>
      <c r="J777" s="4"/>
      <c r="K777" s="123"/>
      <c r="L777" s="7"/>
      <c r="M777" s="12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23"/>
      <c r="D778" s="4"/>
      <c r="E778" s="4"/>
      <c r="F778" s="4"/>
      <c r="G778" s="4"/>
      <c r="H778" s="4"/>
      <c r="I778" s="4"/>
      <c r="J778" s="4"/>
      <c r="K778" s="123"/>
      <c r="L778" s="7"/>
      <c r="M778" s="12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23"/>
      <c r="D779" s="4"/>
      <c r="E779" s="4"/>
      <c r="F779" s="4"/>
      <c r="G779" s="4"/>
      <c r="H779" s="4"/>
      <c r="I779" s="4"/>
      <c r="J779" s="4"/>
      <c r="K779" s="123"/>
      <c r="L779" s="7"/>
      <c r="M779" s="12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23"/>
      <c r="D780" s="4"/>
      <c r="E780" s="4"/>
      <c r="F780" s="4"/>
      <c r="G780" s="4"/>
      <c r="H780" s="4"/>
      <c r="I780" s="4"/>
      <c r="J780" s="4"/>
      <c r="K780" s="123"/>
      <c r="L780" s="7"/>
      <c r="M780" s="12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23"/>
      <c r="D781" s="4"/>
      <c r="E781" s="4"/>
      <c r="F781" s="4"/>
      <c r="G781" s="4"/>
      <c r="H781" s="4"/>
      <c r="I781" s="4"/>
      <c r="J781" s="4"/>
      <c r="K781" s="123"/>
      <c r="L781" s="7"/>
      <c r="M781" s="12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23"/>
      <c r="D782" s="4"/>
      <c r="E782" s="4"/>
      <c r="F782" s="4"/>
      <c r="G782" s="4"/>
      <c r="H782" s="4"/>
      <c r="I782" s="4"/>
      <c r="J782" s="4"/>
      <c r="K782" s="123"/>
      <c r="L782" s="7"/>
      <c r="M782" s="12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23"/>
      <c r="D783" s="4"/>
      <c r="E783" s="4"/>
      <c r="F783" s="4"/>
      <c r="G783" s="4"/>
      <c r="H783" s="4"/>
      <c r="I783" s="4"/>
      <c r="J783" s="4"/>
      <c r="K783" s="123"/>
      <c r="L783" s="7"/>
      <c r="M783" s="12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23"/>
      <c r="D784" s="4"/>
      <c r="E784" s="4"/>
      <c r="F784" s="4"/>
      <c r="G784" s="4"/>
      <c r="H784" s="4"/>
      <c r="I784" s="4"/>
      <c r="J784" s="4"/>
      <c r="K784" s="123"/>
      <c r="L784" s="7"/>
      <c r="M784" s="12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23"/>
      <c r="D785" s="4"/>
      <c r="E785" s="4"/>
      <c r="F785" s="4"/>
      <c r="G785" s="4"/>
      <c r="H785" s="4"/>
      <c r="I785" s="4"/>
      <c r="J785" s="4"/>
      <c r="K785" s="123"/>
      <c r="L785" s="7"/>
      <c r="M785" s="12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23"/>
      <c r="D786" s="4"/>
      <c r="E786" s="4"/>
      <c r="F786" s="4"/>
      <c r="G786" s="4"/>
      <c r="H786" s="4"/>
      <c r="I786" s="4"/>
      <c r="J786" s="4"/>
      <c r="K786" s="123"/>
      <c r="L786" s="7"/>
      <c r="M786" s="12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23"/>
      <c r="D787" s="4"/>
      <c r="E787" s="4"/>
      <c r="F787" s="4"/>
      <c r="G787" s="4"/>
      <c r="H787" s="4"/>
      <c r="I787" s="4"/>
      <c r="J787" s="4"/>
      <c r="K787" s="123"/>
      <c r="L787" s="7"/>
      <c r="M787" s="12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23"/>
      <c r="D788" s="4"/>
      <c r="E788" s="4"/>
      <c r="F788" s="4"/>
      <c r="G788" s="4"/>
      <c r="H788" s="4"/>
      <c r="I788" s="4"/>
      <c r="J788" s="4"/>
      <c r="K788" s="123"/>
      <c r="L788" s="7"/>
      <c r="M788" s="12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23"/>
      <c r="D789" s="4"/>
      <c r="E789" s="4"/>
      <c r="F789" s="4"/>
      <c r="G789" s="4"/>
      <c r="H789" s="4"/>
      <c r="I789" s="4"/>
      <c r="J789" s="4"/>
      <c r="K789" s="123"/>
      <c r="L789" s="7"/>
      <c r="M789" s="12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23"/>
      <c r="D790" s="4"/>
      <c r="E790" s="4"/>
      <c r="F790" s="4"/>
      <c r="G790" s="4"/>
      <c r="H790" s="4"/>
      <c r="I790" s="4"/>
      <c r="J790" s="4"/>
      <c r="K790" s="123"/>
      <c r="L790" s="7"/>
      <c r="M790" s="12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23"/>
      <c r="D791" s="4"/>
      <c r="E791" s="4"/>
      <c r="F791" s="4"/>
      <c r="G791" s="4"/>
      <c r="H791" s="4"/>
      <c r="I791" s="4"/>
      <c r="J791" s="4"/>
      <c r="K791" s="123"/>
      <c r="L791" s="7"/>
      <c r="M791" s="12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23"/>
      <c r="D792" s="4"/>
      <c r="E792" s="4"/>
      <c r="F792" s="4"/>
      <c r="G792" s="4"/>
      <c r="H792" s="4"/>
      <c r="I792" s="4"/>
      <c r="J792" s="4"/>
      <c r="K792" s="123"/>
      <c r="L792" s="7"/>
      <c r="M792" s="12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23"/>
      <c r="D793" s="4"/>
      <c r="E793" s="4"/>
      <c r="F793" s="4"/>
      <c r="G793" s="4"/>
      <c r="H793" s="4"/>
      <c r="I793" s="4"/>
      <c r="J793" s="4"/>
      <c r="K793" s="123"/>
      <c r="L793" s="7"/>
      <c r="M793" s="12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23"/>
      <c r="D794" s="4"/>
      <c r="E794" s="4"/>
      <c r="F794" s="4"/>
      <c r="G794" s="4"/>
      <c r="H794" s="4"/>
      <c r="I794" s="4"/>
      <c r="J794" s="4"/>
      <c r="K794" s="123"/>
      <c r="L794" s="7"/>
      <c r="M794" s="12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23"/>
      <c r="D795" s="4"/>
      <c r="E795" s="4"/>
      <c r="F795" s="4"/>
      <c r="G795" s="4"/>
      <c r="H795" s="4"/>
      <c r="I795" s="4"/>
      <c r="J795" s="4"/>
      <c r="K795" s="123"/>
      <c r="L795" s="7"/>
      <c r="M795" s="12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23"/>
      <c r="D796" s="4"/>
      <c r="E796" s="4"/>
      <c r="F796" s="4"/>
      <c r="G796" s="4"/>
      <c r="H796" s="4"/>
      <c r="I796" s="4"/>
      <c r="J796" s="4"/>
      <c r="K796" s="123"/>
      <c r="L796" s="7"/>
      <c r="M796" s="12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23"/>
      <c r="D797" s="4"/>
      <c r="E797" s="4"/>
      <c r="F797" s="4"/>
      <c r="G797" s="4"/>
      <c r="H797" s="4"/>
      <c r="I797" s="4"/>
      <c r="J797" s="4"/>
      <c r="K797" s="123"/>
      <c r="L797" s="7"/>
      <c r="M797" s="12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23"/>
      <c r="D798" s="4"/>
      <c r="E798" s="4"/>
      <c r="F798" s="4"/>
      <c r="G798" s="4"/>
      <c r="H798" s="4"/>
      <c r="I798" s="4"/>
      <c r="J798" s="4"/>
      <c r="K798" s="123"/>
      <c r="L798" s="7"/>
      <c r="M798" s="12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23"/>
      <c r="D799" s="4"/>
      <c r="E799" s="4"/>
      <c r="F799" s="4"/>
      <c r="G799" s="4"/>
      <c r="H799" s="4"/>
      <c r="I799" s="4"/>
      <c r="J799" s="4"/>
      <c r="K799" s="123"/>
      <c r="L799" s="7"/>
      <c r="M799" s="12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23"/>
      <c r="D800" s="4"/>
      <c r="E800" s="4"/>
      <c r="F800" s="4"/>
      <c r="G800" s="4"/>
      <c r="H800" s="4"/>
      <c r="I800" s="4"/>
      <c r="J800" s="4"/>
      <c r="K800" s="123"/>
      <c r="L800" s="7"/>
      <c r="M800" s="12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23"/>
      <c r="D801" s="4"/>
      <c r="E801" s="4"/>
      <c r="F801" s="4"/>
      <c r="G801" s="4"/>
      <c r="H801" s="4"/>
      <c r="I801" s="4"/>
      <c r="J801" s="4"/>
      <c r="K801" s="123"/>
      <c r="L801" s="7"/>
      <c r="M801" s="12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23"/>
      <c r="D802" s="4"/>
      <c r="E802" s="4"/>
      <c r="F802" s="4"/>
      <c r="G802" s="4"/>
      <c r="H802" s="4"/>
      <c r="I802" s="4"/>
      <c r="J802" s="4"/>
      <c r="K802" s="123"/>
      <c r="L802" s="7"/>
      <c r="M802" s="12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23"/>
      <c r="D803" s="4"/>
      <c r="E803" s="4"/>
      <c r="F803" s="4"/>
      <c r="G803" s="4"/>
      <c r="H803" s="4"/>
      <c r="I803" s="4"/>
      <c r="J803" s="4"/>
      <c r="K803" s="123"/>
      <c r="L803" s="7"/>
      <c r="M803" s="12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23"/>
      <c r="D804" s="4"/>
      <c r="E804" s="4"/>
      <c r="F804" s="4"/>
      <c r="G804" s="4"/>
      <c r="H804" s="4"/>
      <c r="I804" s="4"/>
      <c r="J804" s="4"/>
      <c r="K804" s="123"/>
      <c r="L804" s="7"/>
      <c r="M804" s="12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23"/>
      <c r="D805" s="4"/>
      <c r="E805" s="4"/>
      <c r="F805" s="4"/>
      <c r="G805" s="4"/>
      <c r="H805" s="4"/>
      <c r="I805" s="4"/>
      <c r="J805" s="4"/>
      <c r="K805" s="123"/>
      <c r="L805" s="7"/>
      <c r="M805" s="12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23"/>
      <c r="D806" s="4"/>
      <c r="E806" s="4"/>
      <c r="F806" s="4"/>
      <c r="G806" s="4"/>
      <c r="H806" s="4"/>
      <c r="I806" s="4"/>
      <c r="J806" s="4"/>
      <c r="K806" s="123"/>
      <c r="L806" s="7"/>
      <c r="M806" s="12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23"/>
      <c r="D807" s="4"/>
      <c r="E807" s="4"/>
      <c r="F807" s="4"/>
      <c r="G807" s="4"/>
      <c r="H807" s="4"/>
      <c r="I807" s="4"/>
      <c r="J807" s="4"/>
      <c r="K807" s="123"/>
      <c r="L807" s="7"/>
      <c r="M807" s="12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23"/>
      <c r="D808" s="4"/>
      <c r="E808" s="4"/>
      <c r="F808" s="4"/>
      <c r="G808" s="4"/>
      <c r="H808" s="4"/>
      <c r="I808" s="4"/>
      <c r="J808" s="4"/>
      <c r="K808" s="123"/>
      <c r="L808" s="7"/>
      <c r="M808" s="12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23"/>
      <c r="D809" s="4"/>
      <c r="E809" s="4"/>
      <c r="F809" s="4"/>
      <c r="G809" s="4"/>
      <c r="H809" s="4"/>
      <c r="I809" s="4"/>
      <c r="J809" s="4"/>
      <c r="K809" s="123"/>
      <c r="L809" s="7"/>
      <c r="M809" s="12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23"/>
      <c r="D810" s="4"/>
      <c r="E810" s="4"/>
      <c r="F810" s="4"/>
      <c r="G810" s="4"/>
      <c r="H810" s="4"/>
      <c r="I810" s="4"/>
      <c r="J810" s="4"/>
      <c r="K810" s="123"/>
      <c r="L810" s="7"/>
      <c r="M810" s="12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23"/>
      <c r="D811" s="4"/>
      <c r="E811" s="4"/>
      <c r="F811" s="4"/>
      <c r="G811" s="4"/>
      <c r="H811" s="4"/>
      <c r="I811" s="4"/>
      <c r="J811" s="4"/>
      <c r="K811" s="123"/>
      <c r="L811" s="7"/>
      <c r="M811" s="12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23"/>
      <c r="D812" s="4"/>
      <c r="E812" s="4"/>
      <c r="F812" s="4"/>
      <c r="G812" s="4"/>
      <c r="H812" s="4"/>
      <c r="I812" s="4"/>
      <c r="J812" s="4"/>
      <c r="K812" s="123"/>
      <c r="L812" s="7"/>
      <c r="M812" s="12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23"/>
      <c r="D813" s="4"/>
      <c r="E813" s="4"/>
      <c r="F813" s="4"/>
      <c r="G813" s="4"/>
      <c r="H813" s="4"/>
      <c r="I813" s="4"/>
      <c r="J813" s="4"/>
      <c r="K813" s="123"/>
      <c r="L813" s="7"/>
      <c r="M813" s="12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23"/>
      <c r="D814" s="4"/>
      <c r="E814" s="4"/>
      <c r="F814" s="4"/>
      <c r="G814" s="4"/>
      <c r="H814" s="4"/>
      <c r="I814" s="4"/>
      <c r="J814" s="4"/>
      <c r="K814" s="123"/>
      <c r="L814" s="7"/>
      <c r="M814" s="12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23"/>
      <c r="D815" s="4"/>
      <c r="E815" s="4"/>
      <c r="F815" s="4"/>
      <c r="G815" s="4"/>
      <c r="H815" s="4"/>
      <c r="I815" s="4"/>
      <c r="J815" s="4"/>
      <c r="K815" s="123"/>
      <c r="L815" s="7"/>
      <c r="M815" s="12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23"/>
      <c r="D816" s="4"/>
      <c r="E816" s="4"/>
      <c r="F816" s="4"/>
      <c r="G816" s="4"/>
      <c r="H816" s="4"/>
      <c r="I816" s="4"/>
      <c r="J816" s="4"/>
      <c r="K816" s="123"/>
      <c r="L816" s="7"/>
      <c r="M816" s="12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23"/>
      <c r="D817" s="4"/>
      <c r="E817" s="4"/>
      <c r="F817" s="4"/>
      <c r="G817" s="4"/>
      <c r="H817" s="4"/>
      <c r="I817" s="4"/>
      <c r="J817" s="4"/>
      <c r="K817" s="123"/>
      <c r="L817" s="7"/>
      <c r="M817" s="12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23"/>
      <c r="D818" s="4"/>
      <c r="E818" s="4"/>
      <c r="F818" s="4"/>
      <c r="G818" s="4"/>
      <c r="H818" s="4"/>
      <c r="I818" s="4"/>
      <c r="J818" s="4"/>
      <c r="K818" s="123"/>
      <c r="L818" s="7"/>
      <c r="M818" s="12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23"/>
      <c r="D819" s="4"/>
      <c r="E819" s="4"/>
      <c r="F819" s="4"/>
      <c r="G819" s="4"/>
      <c r="H819" s="4"/>
      <c r="I819" s="4"/>
      <c r="J819" s="4"/>
      <c r="K819" s="123"/>
      <c r="L819" s="7"/>
      <c r="M819" s="12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23"/>
      <c r="D820" s="4"/>
      <c r="E820" s="4"/>
      <c r="F820" s="4"/>
      <c r="G820" s="4"/>
      <c r="H820" s="4"/>
      <c r="I820" s="4"/>
      <c r="J820" s="4"/>
      <c r="K820" s="123"/>
      <c r="L820" s="7"/>
      <c r="M820" s="12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23"/>
      <c r="D821" s="4"/>
      <c r="E821" s="4"/>
      <c r="F821" s="4"/>
      <c r="G821" s="4"/>
      <c r="H821" s="4"/>
      <c r="I821" s="4"/>
      <c r="J821" s="4"/>
      <c r="K821" s="123"/>
      <c r="L821" s="7"/>
      <c r="M821" s="12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23"/>
      <c r="D822" s="4"/>
      <c r="E822" s="4"/>
      <c r="F822" s="4"/>
      <c r="G822" s="4"/>
      <c r="H822" s="4"/>
      <c r="I822" s="4"/>
      <c r="J822" s="4"/>
      <c r="K822" s="123"/>
      <c r="L822" s="7"/>
      <c r="M822" s="12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23"/>
      <c r="D823" s="4"/>
      <c r="E823" s="4"/>
      <c r="F823" s="4"/>
      <c r="G823" s="4"/>
      <c r="H823" s="4"/>
      <c r="I823" s="4"/>
      <c r="J823" s="4"/>
      <c r="K823" s="123"/>
      <c r="L823" s="7"/>
      <c r="M823" s="12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23"/>
      <c r="D824" s="4"/>
      <c r="E824" s="4"/>
      <c r="F824" s="4"/>
      <c r="G824" s="4"/>
      <c r="H824" s="4"/>
      <c r="I824" s="4"/>
      <c r="J824" s="4"/>
      <c r="K824" s="123"/>
      <c r="L824" s="7"/>
      <c r="M824" s="125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23"/>
      <c r="D825" s="4"/>
      <c r="E825" s="4"/>
      <c r="F825" s="4"/>
      <c r="G825" s="4"/>
      <c r="H825" s="4"/>
      <c r="I825" s="4"/>
      <c r="J825" s="4"/>
      <c r="K825" s="123"/>
      <c r="L825" s="7"/>
      <c r="M825" s="125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23"/>
      <c r="D826" s="4"/>
      <c r="E826" s="4"/>
      <c r="F826" s="4"/>
      <c r="G826" s="4"/>
      <c r="H826" s="4"/>
      <c r="I826" s="4"/>
      <c r="J826" s="4"/>
      <c r="K826" s="123"/>
      <c r="L826" s="7"/>
      <c r="M826" s="125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23"/>
      <c r="D827" s="4"/>
      <c r="E827" s="4"/>
      <c r="F827" s="4"/>
      <c r="G827" s="4"/>
      <c r="H827" s="4"/>
      <c r="I827" s="4"/>
      <c r="J827" s="4"/>
      <c r="K827" s="123"/>
      <c r="L827" s="7"/>
      <c r="M827" s="125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23"/>
      <c r="D828" s="4"/>
      <c r="E828" s="4"/>
      <c r="F828" s="4"/>
      <c r="G828" s="4"/>
      <c r="H828" s="4"/>
      <c r="I828" s="4"/>
      <c r="J828" s="4"/>
      <c r="K828" s="123"/>
      <c r="L828" s="7"/>
      <c r="M828" s="125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23"/>
      <c r="D829" s="4"/>
      <c r="E829" s="4"/>
      <c r="F829" s="4"/>
      <c r="G829" s="4"/>
      <c r="H829" s="4"/>
      <c r="I829" s="4"/>
      <c r="J829" s="4"/>
      <c r="K829" s="123"/>
      <c r="L829" s="7"/>
      <c r="M829" s="125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23"/>
      <c r="D830" s="4"/>
      <c r="E830" s="4"/>
      <c r="F830" s="4"/>
      <c r="G830" s="4"/>
      <c r="H830" s="4"/>
      <c r="I830" s="4"/>
      <c r="J830" s="4"/>
      <c r="K830" s="123"/>
      <c r="L830" s="7"/>
      <c r="M830" s="125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23"/>
      <c r="D831" s="4"/>
      <c r="E831" s="4"/>
      <c r="F831" s="4"/>
      <c r="G831" s="4"/>
      <c r="H831" s="4"/>
      <c r="I831" s="4"/>
      <c r="J831" s="4"/>
      <c r="K831" s="123"/>
      <c r="L831" s="7"/>
      <c r="M831" s="125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23"/>
      <c r="D832" s="4"/>
      <c r="E832" s="4"/>
      <c r="F832" s="4"/>
      <c r="G832" s="4"/>
      <c r="H832" s="4"/>
      <c r="I832" s="4"/>
      <c r="J832" s="4"/>
      <c r="K832" s="123"/>
      <c r="L832" s="7"/>
      <c r="M832" s="125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23"/>
      <c r="D833" s="4"/>
      <c r="E833" s="4"/>
      <c r="F833" s="4"/>
      <c r="G833" s="4"/>
      <c r="H833" s="4"/>
      <c r="I833" s="4"/>
      <c r="J833" s="4"/>
      <c r="K833" s="123"/>
      <c r="L833" s="7"/>
      <c r="M833" s="125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23"/>
      <c r="D834" s="4"/>
      <c r="E834" s="4"/>
      <c r="F834" s="4"/>
      <c r="G834" s="4"/>
      <c r="H834" s="4"/>
      <c r="I834" s="4"/>
      <c r="J834" s="4"/>
      <c r="K834" s="123"/>
      <c r="L834" s="7"/>
      <c r="M834" s="125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23"/>
      <c r="D835" s="4"/>
      <c r="E835" s="4"/>
      <c r="F835" s="4"/>
      <c r="G835" s="4"/>
      <c r="H835" s="4"/>
      <c r="I835" s="4"/>
      <c r="J835" s="4"/>
      <c r="K835" s="123"/>
      <c r="L835" s="7"/>
      <c r="M835" s="125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23"/>
      <c r="D836" s="4"/>
      <c r="E836" s="4"/>
      <c r="F836" s="4"/>
      <c r="G836" s="4"/>
      <c r="H836" s="4"/>
      <c r="I836" s="4"/>
      <c r="J836" s="4"/>
      <c r="K836" s="123"/>
      <c r="L836" s="7"/>
      <c r="M836" s="125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23"/>
      <c r="D837" s="4"/>
      <c r="E837" s="4"/>
      <c r="F837" s="4"/>
      <c r="G837" s="4"/>
      <c r="H837" s="4"/>
      <c r="I837" s="4"/>
      <c r="J837" s="4"/>
      <c r="K837" s="123"/>
      <c r="L837" s="7"/>
      <c r="M837" s="125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23"/>
      <c r="D838" s="4"/>
      <c r="E838" s="4"/>
      <c r="F838" s="4"/>
      <c r="G838" s="4"/>
      <c r="H838" s="4"/>
      <c r="I838" s="4"/>
      <c r="J838" s="4"/>
      <c r="K838" s="123"/>
      <c r="L838" s="7"/>
      <c r="M838" s="125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23"/>
      <c r="D839" s="4"/>
      <c r="E839" s="4"/>
      <c r="F839" s="4"/>
      <c r="G839" s="4"/>
      <c r="H839" s="4"/>
      <c r="I839" s="4"/>
      <c r="J839" s="4"/>
      <c r="K839" s="123"/>
      <c r="L839" s="7"/>
      <c r="M839" s="125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23"/>
      <c r="D840" s="4"/>
      <c r="E840" s="4"/>
      <c r="F840" s="4"/>
      <c r="G840" s="4"/>
      <c r="H840" s="4"/>
      <c r="I840" s="4"/>
      <c r="J840" s="4"/>
      <c r="K840" s="123"/>
      <c r="L840" s="7"/>
      <c r="M840" s="125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23"/>
      <c r="D841" s="4"/>
      <c r="E841" s="4"/>
      <c r="F841" s="4"/>
      <c r="G841" s="4"/>
      <c r="H841" s="4"/>
      <c r="I841" s="4"/>
      <c r="J841" s="4"/>
      <c r="K841" s="123"/>
      <c r="L841" s="7"/>
      <c r="M841" s="125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23"/>
      <c r="D842" s="4"/>
      <c r="E842" s="4"/>
      <c r="F842" s="4"/>
      <c r="G842" s="4"/>
      <c r="H842" s="4"/>
      <c r="I842" s="4"/>
      <c r="J842" s="4"/>
      <c r="K842" s="123"/>
      <c r="L842" s="7"/>
      <c r="M842" s="125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23"/>
      <c r="D843" s="4"/>
      <c r="E843" s="4"/>
      <c r="F843" s="4"/>
      <c r="G843" s="4"/>
      <c r="H843" s="4"/>
      <c r="I843" s="4"/>
      <c r="J843" s="4"/>
      <c r="K843" s="123"/>
      <c r="L843" s="7"/>
      <c r="M843" s="125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23"/>
      <c r="D844" s="4"/>
      <c r="E844" s="4"/>
      <c r="F844" s="4"/>
      <c r="G844" s="4"/>
      <c r="H844" s="4"/>
      <c r="I844" s="4"/>
      <c r="J844" s="4"/>
      <c r="K844" s="123"/>
      <c r="L844" s="7"/>
      <c r="M844" s="125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23"/>
      <c r="D845" s="4"/>
      <c r="E845" s="4"/>
      <c r="F845" s="4"/>
      <c r="G845" s="4"/>
      <c r="H845" s="4"/>
      <c r="I845" s="4"/>
      <c r="J845" s="4"/>
      <c r="K845" s="123"/>
      <c r="L845" s="7"/>
      <c r="M845" s="125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23"/>
      <c r="D846" s="4"/>
      <c r="E846" s="4"/>
      <c r="F846" s="4"/>
      <c r="G846" s="4"/>
      <c r="H846" s="4"/>
      <c r="I846" s="4"/>
      <c r="J846" s="4"/>
      <c r="K846" s="123"/>
      <c r="L846" s="7"/>
      <c r="M846" s="125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23"/>
      <c r="D847" s="4"/>
      <c r="E847" s="4"/>
      <c r="F847" s="4"/>
      <c r="G847" s="4"/>
      <c r="H847" s="4"/>
      <c r="I847" s="4"/>
      <c r="J847" s="4"/>
      <c r="K847" s="123"/>
      <c r="L847" s="7"/>
      <c r="M847" s="125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23"/>
      <c r="D848" s="4"/>
      <c r="E848" s="4"/>
      <c r="F848" s="4"/>
      <c r="G848" s="4"/>
      <c r="H848" s="4"/>
      <c r="I848" s="4"/>
      <c r="J848" s="4"/>
      <c r="K848" s="123"/>
      <c r="L848" s="7"/>
      <c r="M848" s="125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23"/>
      <c r="D849" s="4"/>
      <c r="E849" s="4"/>
      <c r="F849" s="4"/>
      <c r="G849" s="4"/>
      <c r="H849" s="4"/>
      <c r="I849" s="4"/>
      <c r="J849" s="4"/>
      <c r="K849" s="123"/>
      <c r="L849" s="7"/>
      <c r="M849" s="125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23"/>
      <c r="D850" s="4"/>
      <c r="E850" s="4"/>
      <c r="F850" s="4"/>
      <c r="G850" s="4"/>
      <c r="H850" s="4"/>
      <c r="I850" s="4"/>
      <c r="J850" s="4"/>
      <c r="K850" s="123"/>
      <c r="L850" s="7"/>
      <c r="M850" s="125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23"/>
      <c r="D851" s="4"/>
      <c r="E851" s="4"/>
      <c r="F851" s="4"/>
      <c r="G851" s="4"/>
      <c r="H851" s="4"/>
      <c r="I851" s="4"/>
      <c r="J851" s="4"/>
      <c r="K851" s="123"/>
      <c r="L851" s="7"/>
      <c r="M851" s="125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23"/>
      <c r="D852" s="4"/>
      <c r="E852" s="4"/>
      <c r="F852" s="4"/>
      <c r="G852" s="4"/>
      <c r="H852" s="4"/>
      <c r="I852" s="4"/>
      <c r="J852" s="4"/>
      <c r="K852" s="123"/>
      <c r="L852" s="7"/>
      <c r="M852" s="125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23"/>
      <c r="D853" s="4"/>
      <c r="E853" s="4"/>
      <c r="F853" s="4"/>
      <c r="G853" s="4"/>
      <c r="H853" s="4"/>
      <c r="I853" s="4"/>
      <c r="J853" s="4"/>
      <c r="K853" s="123"/>
      <c r="L853" s="7"/>
      <c r="M853" s="125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23"/>
      <c r="D854" s="4"/>
      <c r="E854" s="4"/>
      <c r="F854" s="4"/>
      <c r="G854" s="4"/>
      <c r="H854" s="4"/>
      <c r="I854" s="4"/>
      <c r="J854" s="4"/>
      <c r="K854" s="123"/>
      <c r="L854" s="7"/>
      <c r="M854" s="125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23"/>
      <c r="D855" s="4"/>
      <c r="E855" s="4"/>
      <c r="F855" s="4"/>
      <c r="G855" s="4"/>
      <c r="H855" s="4"/>
      <c r="I855" s="4"/>
      <c r="J855" s="4"/>
      <c r="K855" s="123"/>
      <c r="L855" s="7"/>
      <c r="M855" s="125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23"/>
      <c r="D856" s="4"/>
      <c r="E856" s="4"/>
      <c r="F856" s="4"/>
      <c r="G856" s="4"/>
      <c r="H856" s="4"/>
      <c r="I856" s="4"/>
      <c r="J856" s="4"/>
      <c r="K856" s="123"/>
      <c r="L856" s="7"/>
      <c r="M856" s="125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23"/>
      <c r="D857" s="4"/>
      <c r="E857" s="4"/>
      <c r="F857" s="4"/>
      <c r="G857" s="4"/>
      <c r="H857" s="4"/>
      <c r="I857" s="4"/>
      <c r="J857" s="4"/>
      <c r="K857" s="123"/>
      <c r="L857" s="7"/>
      <c r="M857" s="125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23"/>
      <c r="D858" s="4"/>
      <c r="E858" s="4"/>
      <c r="F858" s="4"/>
      <c r="G858" s="4"/>
      <c r="H858" s="4"/>
      <c r="I858" s="4"/>
      <c r="J858" s="4"/>
      <c r="K858" s="123"/>
      <c r="L858" s="7"/>
      <c r="M858" s="125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23"/>
      <c r="D859" s="4"/>
      <c r="E859" s="4"/>
      <c r="F859" s="4"/>
      <c r="G859" s="4"/>
      <c r="H859" s="4"/>
      <c r="I859" s="4"/>
      <c r="J859" s="4"/>
      <c r="K859" s="123"/>
      <c r="L859" s="7"/>
      <c r="M859" s="125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23"/>
      <c r="D860" s="4"/>
      <c r="E860" s="4"/>
      <c r="F860" s="4"/>
      <c r="G860" s="4"/>
      <c r="H860" s="4"/>
      <c r="I860" s="4"/>
      <c r="J860" s="4"/>
      <c r="K860" s="123"/>
      <c r="L860" s="7"/>
      <c r="M860" s="125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23"/>
      <c r="D861" s="4"/>
      <c r="E861" s="4"/>
      <c r="F861" s="4"/>
      <c r="G861" s="4"/>
      <c r="H861" s="4"/>
      <c r="I861" s="4"/>
      <c r="J861" s="4"/>
      <c r="K861" s="123"/>
      <c r="L861" s="7"/>
      <c r="M861" s="125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23"/>
      <c r="D862" s="4"/>
      <c r="E862" s="4"/>
      <c r="F862" s="4"/>
      <c r="G862" s="4"/>
      <c r="H862" s="4"/>
      <c r="I862" s="4"/>
      <c r="J862" s="4"/>
      <c r="K862" s="123"/>
      <c r="L862" s="7"/>
      <c r="M862" s="125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23"/>
      <c r="D863" s="4"/>
      <c r="E863" s="4"/>
      <c r="F863" s="4"/>
      <c r="G863" s="4"/>
      <c r="H863" s="4"/>
      <c r="I863" s="4"/>
      <c r="J863" s="4"/>
      <c r="K863" s="123"/>
      <c r="L863" s="7"/>
      <c r="M863" s="125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23"/>
      <c r="D864" s="4"/>
      <c r="E864" s="4"/>
      <c r="F864" s="4"/>
      <c r="G864" s="4"/>
      <c r="H864" s="4"/>
      <c r="I864" s="4"/>
      <c r="J864" s="4"/>
      <c r="K864" s="123"/>
      <c r="L864" s="7"/>
      <c r="M864" s="125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23"/>
      <c r="D865" s="4"/>
      <c r="E865" s="4"/>
      <c r="F865" s="4"/>
      <c r="G865" s="4"/>
      <c r="H865" s="4"/>
      <c r="I865" s="4"/>
      <c r="J865" s="4"/>
      <c r="K865" s="123"/>
      <c r="L865" s="7"/>
      <c r="M865" s="125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23"/>
      <c r="D866" s="4"/>
      <c r="E866" s="4"/>
      <c r="F866" s="4"/>
      <c r="G866" s="4"/>
      <c r="H866" s="4"/>
      <c r="I866" s="4"/>
      <c r="J866" s="4"/>
      <c r="K866" s="123"/>
      <c r="L866" s="7"/>
      <c r="M866" s="125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23"/>
      <c r="D867" s="4"/>
      <c r="E867" s="4"/>
      <c r="F867" s="4"/>
      <c r="G867" s="4"/>
      <c r="H867" s="4"/>
      <c r="I867" s="4"/>
      <c r="J867" s="4"/>
      <c r="K867" s="123"/>
      <c r="L867" s="7"/>
      <c r="M867" s="125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23"/>
      <c r="D868" s="4"/>
      <c r="E868" s="4"/>
      <c r="F868" s="4"/>
      <c r="G868" s="4"/>
      <c r="H868" s="4"/>
      <c r="I868" s="4"/>
      <c r="J868" s="4"/>
      <c r="K868" s="123"/>
      <c r="L868" s="7"/>
      <c r="M868" s="125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23"/>
      <c r="D869" s="4"/>
      <c r="E869" s="4"/>
      <c r="F869" s="4"/>
      <c r="G869" s="4"/>
      <c r="H869" s="4"/>
      <c r="I869" s="4"/>
      <c r="J869" s="4"/>
      <c r="K869" s="123"/>
      <c r="L869" s="7"/>
      <c r="M869" s="12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23"/>
      <c r="D870" s="4"/>
      <c r="E870" s="4"/>
      <c r="F870" s="4"/>
      <c r="G870" s="4"/>
      <c r="H870" s="4"/>
      <c r="I870" s="4"/>
      <c r="J870" s="4"/>
      <c r="K870" s="123"/>
      <c r="L870" s="7"/>
      <c r="M870" s="12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23"/>
      <c r="D871" s="4"/>
      <c r="E871" s="4"/>
      <c r="F871" s="4"/>
      <c r="G871" s="4"/>
      <c r="H871" s="4"/>
      <c r="I871" s="4"/>
      <c r="J871" s="4"/>
      <c r="K871" s="123"/>
      <c r="L871" s="7"/>
      <c r="M871" s="12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23"/>
      <c r="D872" s="4"/>
      <c r="E872" s="4"/>
      <c r="F872" s="4"/>
      <c r="G872" s="4"/>
      <c r="H872" s="4"/>
      <c r="I872" s="4"/>
      <c r="J872" s="4"/>
      <c r="K872" s="123"/>
      <c r="L872" s="7"/>
      <c r="M872" s="12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23"/>
      <c r="D873" s="4"/>
      <c r="E873" s="4"/>
      <c r="F873" s="4"/>
      <c r="G873" s="4"/>
      <c r="H873" s="4"/>
      <c r="I873" s="4"/>
      <c r="J873" s="4"/>
      <c r="K873" s="123"/>
      <c r="L873" s="7"/>
      <c r="M873" s="12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23"/>
      <c r="D874" s="4"/>
      <c r="E874" s="4"/>
      <c r="F874" s="4"/>
      <c r="G874" s="4"/>
      <c r="H874" s="4"/>
      <c r="I874" s="4"/>
      <c r="J874" s="4"/>
      <c r="K874" s="123"/>
      <c r="L874" s="7"/>
      <c r="M874" s="12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23"/>
      <c r="D875" s="4"/>
      <c r="E875" s="4"/>
      <c r="F875" s="4"/>
      <c r="G875" s="4"/>
      <c r="H875" s="4"/>
      <c r="I875" s="4"/>
      <c r="J875" s="4"/>
      <c r="K875" s="123"/>
      <c r="L875" s="7"/>
      <c r="M875" s="12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23"/>
      <c r="D876" s="4"/>
      <c r="E876" s="4"/>
      <c r="F876" s="4"/>
      <c r="G876" s="4"/>
      <c r="H876" s="4"/>
      <c r="I876" s="4"/>
      <c r="J876" s="4"/>
      <c r="K876" s="123"/>
      <c r="L876" s="7"/>
      <c r="M876" s="12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23"/>
      <c r="D877" s="4"/>
      <c r="E877" s="4"/>
      <c r="F877" s="4"/>
      <c r="G877" s="4"/>
      <c r="H877" s="4"/>
      <c r="I877" s="4"/>
      <c r="J877" s="4"/>
      <c r="K877" s="123"/>
      <c r="L877" s="7"/>
      <c r="M877" s="12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23"/>
      <c r="D878" s="4"/>
      <c r="E878" s="4"/>
      <c r="F878" s="4"/>
      <c r="G878" s="4"/>
      <c r="H878" s="4"/>
      <c r="I878" s="4"/>
      <c r="J878" s="4"/>
      <c r="K878" s="123"/>
      <c r="L878" s="7"/>
      <c r="M878" s="12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23"/>
      <c r="D879" s="4"/>
      <c r="E879" s="4"/>
      <c r="F879" s="4"/>
      <c r="G879" s="4"/>
      <c r="H879" s="4"/>
      <c r="I879" s="4"/>
      <c r="J879" s="4"/>
      <c r="K879" s="123"/>
      <c r="L879" s="7"/>
      <c r="M879" s="12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23"/>
      <c r="D880" s="4"/>
      <c r="E880" s="4"/>
      <c r="F880" s="4"/>
      <c r="G880" s="4"/>
      <c r="H880" s="4"/>
      <c r="I880" s="4"/>
      <c r="J880" s="4"/>
      <c r="K880" s="123"/>
      <c r="L880" s="7"/>
      <c r="M880" s="12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23"/>
      <c r="D881" s="4"/>
      <c r="E881" s="4"/>
      <c r="F881" s="4"/>
      <c r="G881" s="4"/>
      <c r="H881" s="4"/>
      <c r="I881" s="4"/>
      <c r="J881" s="4"/>
      <c r="K881" s="123"/>
      <c r="L881" s="7"/>
      <c r="M881" s="12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23"/>
      <c r="D882" s="4"/>
      <c r="E882" s="4"/>
      <c r="F882" s="4"/>
      <c r="G882" s="4"/>
      <c r="H882" s="4"/>
      <c r="I882" s="4"/>
      <c r="J882" s="4"/>
      <c r="K882" s="123"/>
      <c r="L882" s="7"/>
      <c r="M882" s="12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23"/>
      <c r="D883" s="4"/>
      <c r="E883" s="4"/>
      <c r="F883" s="4"/>
      <c r="G883" s="4"/>
      <c r="H883" s="4"/>
      <c r="I883" s="4"/>
      <c r="J883" s="4"/>
      <c r="K883" s="123"/>
      <c r="L883" s="7"/>
      <c r="M883" s="12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23"/>
      <c r="D884" s="4"/>
      <c r="E884" s="4"/>
      <c r="F884" s="4"/>
      <c r="G884" s="4"/>
      <c r="H884" s="4"/>
      <c r="I884" s="4"/>
      <c r="J884" s="4"/>
      <c r="K884" s="123"/>
      <c r="L884" s="7"/>
      <c r="M884" s="12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23"/>
      <c r="D885" s="4"/>
      <c r="E885" s="4"/>
      <c r="F885" s="4"/>
      <c r="G885" s="4"/>
      <c r="H885" s="4"/>
      <c r="I885" s="4"/>
      <c r="J885" s="4"/>
      <c r="K885" s="123"/>
      <c r="L885" s="7"/>
      <c r="M885" s="12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23"/>
      <c r="D886" s="4"/>
      <c r="E886" s="4"/>
      <c r="F886" s="4"/>
      <c r="G886" s="4"/>
      <c r="H886" s="4"/>
      <c r="I886" s="4"/>
      <c r="J886" s="4"/>
      <c r="K886" s="123"/>
      <c r="L886" s="7"/>
      <c r="M886" s="12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23"/>
      <c r="D887" s="4"/>
      <c r="E887" s="4"/>
      <c r="F887" s="4"/>
      <c r="G887" s="4"/>
      <c r="H887" s="4"/>
      <c r="I887" s="4"/>
      <c r="J887" s="4"/>
      <c r="K887" s="123"/>
      <c r="L887" s="7"/>
      <c r="M887" s="12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23"/>
      <c r="D888" s="4"/>
      <c r="E888" s="4"/>
      <c r="F888" s="4"/>
      <c r="G888" s="4"/>
      <c r="H888" s="4"/>
      <c r="I888" s="4"/>
      <c r="J888" s="4"/>
      <c r="K888" s="123"/>
      <c r="L888" s="7"/>
      <c r="M888" s="12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23"/>
      <c r="D889" s="4"/>
      <c r="E889" s="4"/>
      <c r="F889" s="4"/>
      <c r="G889" s="4"/>
      <c r="H889" s="4"/>
      <c r="I889" s="4"/>
      <c r="J889" s="4"/>
      <c r="K889" s="123"/>
      <c r="L889" s="7"/>
      <c r="M889" s="12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23"/>
      <c r="D890" s="4"/>
      <c r="E890" s="4"/>
      <c r="F890" s="4"/>
      <c r="G890" s="4"/>
      <c r="H890" s="4"/>
      <c r="I890" s="4"/>
      <c r="J890" s="4"/>
      <c r="K890" s="123"/>
      <c r="L890" s="7"/>
      <c r="M890" s="12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23"/>
      <c r="D891" s="4"/>
      <c r="E891" s="4"/>
      <c r="F891" s="4"/>
      <c r="G891" s="4"/>
      <c r="H891" s="4"/>
      <c r="I891" s="4"/>
      <c r="J891" s="4"/>
      <c r="K891" s="123"/>
      <c r="L891" s="7"/>
      <c r="M891" s="12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23"/>
      <c r="D892" s="4"/>
      <c r="E892" s="4"/>
      <c r="F892" s="4"/>
      <c r="G892" s="4"/>
      <c r="H892" s="4"/>
      <c r="I892" s="4"/>
      <c r="J892" s="4"/>
      <c r="K892" s="123"/>
      <c r="L892" s="7"/>
      <c r="M892" s="12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23"/>
      <c r="D893" s="4"/>
      <c r="E893" s="4"/>
      <c r="F893" s="4"/>
      <c r="G893" s="4"/>
      <c r="H893" s="4"/>
      <c r="I893" s="4"/>
      <c r="J893" s="4"/>
      <c r="K893" s="123"/>
      <c r="L893" s="7"/>
      <c r="M893" s="12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23"/>
      <c r="D894" s="4"/>
      <c r="E894" s="4"/>
      <c r="F894" s="4"/>
      <c r="G894" s="4"/>
      <c r="H894" s="4"/>
      <c r="I894" s="4"/>
      <c r="J894" s="4"/>
      <c r="K894" s="123"/>
      <c r="L894" s="7"/>
      <c r="M894" s="12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23"/>
      <c r="D895" s="4"/>
      <c r="E895" s="4"/>
      <c r="F895" s="4"/>
      <c r="G895" s="4"/>
      <c r="H895" s="4"/>
      <c r="I895" s="4"/>
      <c r="J895" s="4"/>
      <c r="K895" s="123"/>
      <c r="L895" s="7"/>
      <c r="M895" s="12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23"/>
      <c r="D896" s="4"/>
      <c r="E896" s="4"/>
      <c r="F896" s="4"/>
      <c r="G896" s="4"/>
      <c r="H896" s="4"/>
      <c r="I896" s="4"/>
      <c r="J896" s="4"/>
      <c r="K896" s="123"/>
      <c r="L896" s="7"/>
      <c r="M896" s="12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23"/>
      <c r="D897" s="4"/>
      <c r="E897" s="4"/>
      <c r="F897" s="4"/>
      <c r="G897" s="4"/>
      <c r="H897" s="4"/>
      <c r="I897" s="4"/>
      <c r="J897" s="4"/>
      <c r="K897" s="123"/>
      <c r="L897" s="7"/>
      <c r="M897" s="12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23"/>
      <c r="D898" s="4"/>
      <c r="E898" s="4"/>
      <c r="F898" s="4"/>
      <c r="G898" s="4"/>
      <c r="H898" s="4"/>
      <c r="I898" s="4"/>
      <c r="J898" s="4"/>
      <c r="K898" s="123"/>
      <c r="L898" s="7"/>
      <c r="M898" s="12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23"/>
      <c r="D899" s="4"/>
      <c r="E899" s="4"/>
      <c r="F899" s="4"/>
      <c r="G899" s="4"/>
      <c r="H899" s="4"/>
      <c r="I899" s="4"/>
      <c r="J899" s="4"/>
      <c r="K899" s="123"/>
      <c r="L899" s="7"/>
      <c r="M899" s="12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23"/>
      <c r="D900" s="4"/>
      <c r="E900" s="4"/>
      <c r="F900" s="4"/>
      <c r="G900" s="4"/>
      <c r="H900" s="4"/>
      <c r="I900" s="4"/>
      <c r="J900" s="4"/>
      <c r="K900" s="123"/>
      <c r="L900" s="7"/>
      <c r="M900" s="12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23"/>
      <c r="D901" s="4"/>
      <c r="E901" s="4"/>
      <c r="F901" s="4"/>
      <c r="G901" s="4"/>
      <c r="H901" s="4"/>
      <c r="I901" s="4"/>
      <c r="J901" s="4"/>
      <c r="K901" s="123"/>
      <c r="L901" s="7"/>
      <c r="M901" s="12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23"/>
      <c r="D902" s="4"/>
      <c r="E902" s="4"/>
      <c r="F902" s="4"/>
      <c r="G902" s="4"/>
      <c r="H902" s="4"/>
      <c r="I902" s="4"/>
      <c r="J902" s="4"/>
      <c r="K902" s="123"/>
      <c r="L902" s="7"/>
      <c r="M902" s="12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23"/>
      <c r="D903" s="4"/>
      <c r="E903" s="4"/>
      <c r="F903" s="4"/>
      <c r="G903" s="4"/>
      <c r="H903" s="4"/>
      <c r="I903" s="4"/>
      <c r="J903" s="4"/>
      <c r="K903" s="123"/>
      <c r="L903" s="7"/>
      <c r="M903" s="12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23"/>
      <c r="D904" s="4"/>
      <c r="E904" s="4"/>
      <c r="F904" s="4"/>
      <c r="G904" s="4"/>
      <c r="H904" s="4"/>
      <c r="I904" s="4"/>
      <c r="J904" s="4"/>
      <c r="K904" s="123"/>
      <c r="L904" s="7"/>
      <c r="M904" s="12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23"/>
      <c r="D905" s="4"/>
      <c r="E905" s="4"/>
      <c r="F905" s="4"/>
      <c r="G905" s="4"/>
      <c r="H905" s="4"/>
      <c r="I905" s="4"/>
      <c r="J905" s="4"/>
      <c r="K905" s="123"/>
      <c r="L905" s="7"/>
      <c r="M905" s="12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23"/>
      <c r="D906" s="4"/>
      <c r="E906" s="4"/>
      <c r="F906" s="4"/>
      <c r="G906" s="4"/>
      <c r="H906" s="4"/>
      <c r="I906" s="4"/>
      <c r="J906" s="4"/>
      <c r="K906" s="123"/>
      <c r="L906" s="7"/>
      <c r="M906" s="12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23"/>
      <c r="D907" s="4"/>
      <c r="E907" s="4"/>
      <c r="F907" s="4"/>
      <c r="G907" s="4"/>
      <c r="H907" s="4"/>
      <c r="I907" s="4"/>
      <c r="J907" s="4"/>
      <c r="K907" s="123"/>
      <c r="L907" s="7"/>
      <c r="M907" s="12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23"/>
      <c r="D908" s="4"/>
      <c r="E908" s="4"/>
      <c r="F908" s="4"/>
      <c r="G908" s="4"/>
      <c r="H908" s="4"/>
      <c r="I908" s="4"/>
      <c r="J908" s="4"/>
      <c r="K908" s="123"/>
      <c r="L908" s="7"/>
      <c r="M908" s="12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23"/>
      <c r="D909" s="4"/>
      <c r="E909" s="4"/>
      <c r="F909" s="4"/>
      <c r="G909" s="4"/>
      <c r="H909" s="4"/>
      <c r="I909" s="4"/>
      <c r="J909" s="4"/>
      <c r="K909" s="123"/>
      <c r="L909" s="7"/>
      <c r="M909" s="12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23"/>
      <c r="D910" s="4"/>
      <c r="E910" s="4"/>
      <c r="F910" s="4"/>
      <c r="G910" s="4"/>
      <c r="H910" s="4"/>
      <c r="I910" s="4"/>
      <c r="J910" s="4"/>
      <c r="K910" s="123"/>
      <c r="L910" s="7"/>
      <c r="M910" s="12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23"/>
      <c r="D911" s="4"/>
      <c r="E911" s="4"/>
      <c r="F911" s="4"/>
      <c r="G911" s="4"/>
      <c r="H911" s="4"/>
      <c r="I911" s="4"/>
      <c r="J911" s="4"/>
      <c r="K911" s="123"/>
      <c r="L911" s="7"/>
      <c r="M911" s="12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23"/>
      <c r="D912" s="4"/>
      <c r="E912" s="4"/>
      <c r="F912" s="4"/>
      <c r="G912" s="4"/>
      <c r="H912" s="4"/>
      <c r="I912" s="4"/>
      <c r="J912" s="4"/>
      <c r="K912" s="123"/>
      <c r="L912" s="7"/>
      <c r="M912" s="12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23"/>
      <c r="D913" s="4"/>
      <c r="E913" s="4"/>
      <c r="F913" s="4"/>
      <c r="G913" s="4"/>
      <c r="H913" s="4"/>
      <c r="I913" s="4"/>
      <c r="J913" s="4"/>
      <c r="K913" s="123"/>
      <c r="L913" s="7"/>
      <c r="M913" s="12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23"/>
      <c r="D914" s="4"/>
      <c r="E914" s="4"/>
      <c r="F914" s="4"/>
      <c r="G914" s="4"/>
      <c r="H914" s="4"/>
      <c r="I914" s="4"/>
      <c r="J914" s="4"/>
      <c r="K914" s="123"/>
      <c r="L914" s="7"/>
      <c r="M914" s="12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23"/>
      <c r="D915" s="4"/>
      <c r="E915" s="4"/>
      <c r="F915" s="4"/>
      <c r="G915" s="4"/>
      <c r="H915" s="4"/>
      <c r="I915" s="4"/>
      <c r="J915" s="4"/>
      <c r="K915" s="123"/>
      <c r="L915" s="7"/>
      <c r="M915" s="12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23"/>
      <c r="D916" s="4"/>
      <c r="E916" s="4"/>
      <c r="F916" s="4"/>
      <c r="G916" s="4"/>
      <c r="H916" s="4"/>
      <c r="I916" s="4"/>
      <c r="J916" s="4"/>
      <c r="K916" s="123"/>
      <c r="L916" s="7"/>
      <c r="M916" s="12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23"/>
      <c r="D917" s="4"/>
      <c r="E917" s="4"/>
      <c r="F917" s="4"/>
      <c r="G917" s="4"/>
      <c r="H917" s="4"/>
      <c r="I917" s="4"/>
      <c r="J917" s="4"/>
      <c r="K917" s="123"/>
      <c r="L917" s="7"/>
      <c r="M917" s="12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23"/>
      <c r="D918" s="4"/>
      <c r="E918" s="4"/>
      <c r="F918" s="4"/>
      <c r="G918" s="4"/>
      <c r="H918" s="4"/>
      <c r="I918" s="4"/>
      <c r="J918" s="4"/>
      <c r="K918" s="123"/>
      <c r="L918" s="7"/>
      <c r="M918" s="12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23"/>
      <c r="D919" s="4"/>
      <c r="E919" s="4"/>
      <c r="F919" s="4"/>
      <c r="G919" s="4"/>
      <c r="H919" s="4"/>
      <c r="I919" s="4"/>
      <c r="J919" s="4"/>
      <c r="K919" s="123"/>
      <c r="L919" s="7"/>
      <c r="M919" s="12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23"/>
      <c r="D920" s="4"/>
      <c r="E920" s="4"/>
      <c r="F920" s="4"/>
      <c r="G920" s="4"/>
      <c r="H920" s="4"/>
      <c r="I920" s="4"/>
      <c r="J920" s="4"/>
      <c r="K920" s="123"/>
      <c r="L920" s="7"/>
      <c r="M920" s="12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23"/>
      <c r="D921" s="4"/>
      <c r="E921" s="4"/>
      <c r="F921" s="4"/>
      <c r="G921" s="4"/>
      <c r="H921" s="4"/>
      <c r="I921" s="4"/>
      <c r="J921" s="4"/>
      <c r="K921" s="123"/>
      <c r="L921" s="7"/>
      <c r="M921" s="12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23"/>
      <c r="D922" s="4"/>
      <c r="E922" s="4"/>
      <c r="F922" s="4"/>
      <c r="G922" s="4"/>
      <c r="H922" s="4"/>
      <c r="I922" s="4"/>
      <c r="J922" s="4"/>
      <c r="K922" s="123"/>
      <c r="L922" s="7"/>
      <c r="M922" s="12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23"/>
      <c r="D923" s="4"/>
      <c r="E923" s="4"/>
      <c r="F923" s="4"/>
      <c r="G923" s="4"/>
      <c r="H923" s="4"/>
      <c r="I923" s="4"/>
      <c r="J923" s="4"/>
      <c r="K923" s="123"/>
      <c r="L923" s="7"/>
      <c r="M923" s="12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23"/>
      <c r="D924" s="4"/>
      <c r="E924" s="4"/>
      <c r="F924" s="4"/>
      <c r="G924" s="4"/>
      <c r="H924" s="4"/>
      <c r="I924" s="4"/>
      <c r="J924" s="4"/>
      <c r="K924" s="123"/>
      <c r="L924" s="7"/>
      <c r="M924" s="12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23"/>
      <c r="D925" s="4"/>
      <c r="E925" s="4"/>
      <c r="F925" s="4"/>
      <c r="G925" s="4"/>
      <c r="H925" s="4"/>
      <c r="I925" s="4"/>
      <c r="J925" s="4"/>
      <c r="K925" s="123"/>
      <c r="L925" s="7"/>
      <c r="M925" s="12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23"/>
      <c r="D926" s="4"/>
      <c r="E926" s="4"/>
      <c r="F926" s="4"/>
      <c r="G926" s="4"/>
      <c r="H926" s="4"/>
      <c r="I926" s="4"/>
      <c r="J926" s="4"/>
      <c r="K926" s="123"/>
      <c r="L926" s="7"/>
      <c r="M926" s="12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23"/>
      <c r="D927" s="4"/>
      <c r="E927" s="4"/>
      <c r="F927" s="4"/>
      <c r="G927" s="4"/>
      <c r="H927" s="4"/>
      <c r="I927" s="4"/>
      <c r="J927" s="4"/>
      <c r="K927" s="123"/>
      <c r="L927" s="7"/>
      <c r="M927" s="12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23"/>
      <c r="D928" s="4"/>
      <c r="E928" s="4"/>
      <c r="F928" s="4"/>
      <c r="G928" s="4"/>
      <c r="H928" s="4"/>
      <c r="I928" s="4"/>
      <c r="J928" s="4"/>
      <c r="K928" s="123"/>
      <c r="L928" s="7"/>
      <c r="M928" s="12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23"/>
      <c r="D929" s="4"/>
      <c r="E929" s="4"/>
      <c r="F929" s="4"/>
      <c r="G929" s="4"/>
      <c r="H929" s="4"/>
      <c r="I929" s="4"/>
      <c r="J929" s="4"/>
      <c r="K929" s="123"/>
      <c r="L929" s="7"/>
      <c r="M929" s="12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23"/>
      <c r="D930" s="4"/>
      <c r="E930" s="4"/>
      <c r="F930" s="4"/>
      <c r="G930" s="4"/>
      <c r="H930" s="4"/>
      <c r="I930" s="4"/>
      <c r="J930" s="4"/>
      <c r="K930" s="123"/>
      <c r="L930" s="7"/>
      <c r="M930" s="12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23"/>
      <c r="D931" s="4"/>
      <c r="E931" s="4"/>
      <c r="F931" s="4"/>
      <c r="G931" s="4"/>
      <c r="H931" s="4"/>
      <c r="I931" s="4"/>
      <c r="J931" s="4"/>
      <c r="K931" s="123"/>
      <c r="L931" s="7"/>
      <c r="M931" s="12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23"/>
      <c r="D932" s="4"/>
      <c r="E932" s="4"/>
      <c r="F932" s="4"/>
      <c r="G932" s="4"/>
      <c r="H932" s="4"/>
      <c r="I932" s="4"/>
      <c r="J932" s="4"/>
      <c r="K932" s="123"/>
      <c r="L932" s="7"/>
      <c r="M932" s="12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23"/>
      <c r="D933" s="4"/>
      <c r="E933" s="4"/>
      <c r="F933" s="4"/>
      <c r="G933" s="4"/>
      <c r="H933" s="4"/>
      <c r="I933" s="4"/>
      <c r="J933" s="4"/>
      <c r="K933" s="123"/>
      <c r="L933" s="7"/>
      <c r="M933" s="12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23"/>
      <c r="D934" s="4"/>
      <c r="E934" s="4"/>
      <c r="F934" s="4"/>
      <c r="G934" s="4"/>
      <c r="H934" s="4"/>
      <c r="I934" s="4"/>
      <c r="J934" s="4"/>
      <c r="K934" s="123"/>
      <c r="L934" s="7"/>
      <c r="M934" s="12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23"/>
      <c r="D935" s="4"/>
      <c r="E935" s="4"/>
      <c r="F935" s="4"/>
      <c r="G935" s="4"/>
      <c r="H935" s="4"/>
      <c r="I935" s="4"/>
      <c r="J935" s="4"/>
      <c r="K935" s="123"/>
      <c r="L935" s="7"/>
      <c r="M935" s="12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23"/>
      <c r="D936" s="4"/>
      <c r="E936" s="4"/>
      <c r="F936" s="4"/>
      <c r="G936" s="4"/>
      <c r="H936" s="4"/>
      <c r="I936" s="4"/>
      <c r="J936" s="4"/>
      <c r="K936" s="123"/>
      <c r="L936" s="7"/>
      <c r="M936" s="12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23"/>
      <c r="D937" s="4"/>
      <c r="E937" s="4"/>
      <c r="F937" s="4"/>
      <c r="G937" s="4"/>
      <c r="H937" s="4"/>
      <c r="I937" s="4"/>
      <c r="J937" s="4"/>
      <c r="K937" s="123"/>
      <c r="L937" s="7"/>
      <c r="M937" s="12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23"/>
      <c r="D938" s="4"/>
      <c r="E938" s="4"/>
      <c r="F938" s="4"/>
      <c r="G938" s="4"/>
      <c r="H938" s="4"/>
      <c r="I938" s="4"/>
      <c r="J938" s="4"/>
      <c r="K938" s="123"/>
      <c r="L938" s="7"/>
      <c r="M938" s="12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23"/>
      <c r="D939" s="4"/>
      <c r="E939" s="4"/>
      <c r="F939" s="4"/>
      <c r="G939" s="4"/>
      <c r="H939" s="4"/>
      <c r="I939" s="4"/>
      <c r="J939" s="4"/>
      <c r="K939" s="123"/>
      <c r="L939" s="7"/>
      <c r="M939" s="12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23"/>
      <c r="D940" s="4"/>
      <c r="E940" s="4"/>
      <c r="F940" s="4"/>
      <c r="G940" s="4"/>
      <c r="H940" s="4"/>
      <c r="I940" s="4"/>
      <c r="J940" s="4"/>
      <c r="K940" s="123"/>
      <c r="L940" s="7"/>
      <c r="M940" s="12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23"/>
      <c r="D941" s="4"/>
      <c r="E941" s="4"/>
      <c r="F941" s="4"/>
      <c r="G941" s="4"/>
      <c r="H941" s="4"/>
      <c r="I941" s="4"/>
      <c r="J941" s="4"/>
      <c r="K941" s="123"/>
      <c r="L941" s="7"/>
      <c r="M941" s="12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23"/>
      <c r="D942" s="4"/>
      <c r="E942" s="4"/>
      <c r="F942" s="4"/>
      <c r="G942" s="4"/>
      <c r="H942" s="4"/>
      <c r="I942" s="4"/>
      <c r="J942" s="4"/>
      <c r="K942" s="123"/>
      <c r="L942" s="7"/>
      <c r="M942" s="12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23"/>
      <c r="D943" s="4"/>
      <c r="E943" s="4"/>
      <c r="F943" s="4"/>
      <c r="G943" s="4"/>
      <c r="H943" s="4"/>
      <c r="I943" s="4"/>
      <c r="J943" s="4"/>
      <c r="K943" s="123"/>
      <c r="L943" s="7"/>
      <c r="M943" s="12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23"/>
      <c r="D944" s="4"/>
      <c r="E944" s="4"/>
      <c r="F944" s="4"/>
      <c r="G944" s="4"/>
      <c r="H944" s="4"/>
      <c r="I944" s="4"/>
      <c r="J944" s="4"/>
      <c r="K944" s="123"/>
      <c r="L944" s="7"/>
      <c r="M944" s="12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23"/>
      <c r="D945" s="4"/>
      <c r="E945" s="4"/>
      <c r="F945" s="4"/>
      <c r="G945" s="4"/>
      <c r="H945" s="4"/>
      <c r="I945" s="4"/>
      <c r="J945" s="4"/>
      <c r="K945" s="123"/>
      <c r="L945" s="7"/>
      <c r="M945" s="12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23"/>
      <c r="D946" s="4"/>
      <c r="E946" s="4"/>
      <c r="F946" s="4"/>
      <c r="G946" s="4"/>
      <c r="H946" s="4"/>
      <c r="I946" s="4"/>
      <c r="J946" s="4"/>
      <c r="K946" s="123"/>
      <c r="L946" s="7"/>
      <c r="M946" s="12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23"/>
      <c r="D947" s="4"/>
      <c r="E947" s="4"/>
      <c r="F947" s="4"/>
      <c r="G947" s="4"/>
      <c r="H947" s="4"/>
      <c r="I947" s="4"/>
      <c r="J947" s="4"/>
      <c r="K947" s="123"/>
      <c r="L947" s="7"/>
      <c r="M947" s="12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23"/>
      <c r="D948" s="4"/>
      <c r="E948" s="4"/>
      <c r="F948" s="4"/>
      <c r="G948" s="4"/>
      <c r="H948" s="4"/>
      <c r="I948" s="4"/>
      <c r="J948" s="4"/>
      <c r="K948" s="123"/>
      <c r="L948" s="7"/>
      <c r="M948" s="12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23"/>
      <c r="D949" s="4"/>
      <c r="E949" s="4"/>
      <c r="F949" s="4"/>
      <c r="G949" s="4"/>
      <c r="H949" s="4"/>
      <c r="I949" s="4"/>
      <c r="J949" s="4"/>
      <c r="K949" s="123"/>
      <c r="L949" s="7"/>
      <c r="M949" s="12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23"/>
      <c r="D950" s="4"/>
      <c r="E950" s="4"/>
      <c r="F950" s="4"/>
      <c r="G950" s="4"/>
      <c r="H950" s="4"/>
      <c r="I950" s="4"/>
      <c r="J950" s="4"/>
      <c r="K950" s="123"/>
      <c r="L950" s="7"/>
      <c r="M950" s="12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23"/>
      <c r="D951" s="4"/>
      <c r="E951" s="4"/>
      <c r="F951" s="4"/>
      <c r="G951" s="4"/>
      <c r="H951" s="4"/>
      <c r="I951" s="4"/>
      <c r="J951" s="4"/>
      <c r="K951" s="123"/>
      <c r="L951" s="7"/>
      <c r="M951" s="12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23"/>
      <c r="D952" s="4"/>
      <c r="E952" s="4"/>
      <c r="F952" s="4"/>
      <c r="G952" s="4"/>
      <c r="H952" s="4"/>
      <c r="I952" s="4"/>
      <c r="J952" s="4"/>
      <c r="K952" s="123"/>
      <c r="L952" s="7"/>
      <c r="M952" s="12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23"/>
      <c r="D953" s="4"/>
      <c r="E953" s="4"/>
      <c r="F953" s="4"/>
      <c r="G953" s="4"/>
      <c r="H953" s="4"/>
      <c r="I953" s="4"/>
      <c r="J953" s="4"/>
      <c r="K953" s="123"/>
      <c r="L953" s="7"/>
      <c r="M953" s="12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23"/>
      <c r="D954" s="4"/>
      <c r="E954" s="4"/>
      <c r="F954" s="4"/>
      <c r="G954" s="4"/>
      <c r="H954" s="4"/>
      <c r="I954" s="4"/>
      <c r="J954" s="4"/>
      <c r="K954" s="123"/>
      <c r="L954" s="7"/>
      <c r="M954" s="12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23"/>
      <c r="D955" s="4"/>
      <c r="E955" s="4"/>
      <c r="F955" s="4"/>
      <c r="G955" s="4"/>
      <c r="H955" s="4"/>
      <c r="I955" s="4"/>
      <c r="J955" s="4"/>
      <c r="K955" s="123"/>
      <c r="L955" s="7"/>
      <c r="M955" s="12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23"/>
      <c r="D956" s="4"/>
      <c r="E956" s="4"/>
      <c r="F956" s="4"/>
      <c r="G956" s="4"/>
      <c r="H956" s="4"/>
      <c r="I956" s="4"/>
      <c r="J956" s="4"/>
      <c r="K956" s="123"/>
      <c r="L956" s="7"/>
      <c r="M956" s="12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23"/>
      <c r="D957" s="4"/>
      <c r="E957" s="4"/>
      <c r="F957" s="4"/>
      <c r="G957" s="4"/>
      <c r="H957" s="4"/>
      <c r="I957" s="4"/>
      <c r="J957" s="4"/>
      <c r="K957" s="123"/>
      <c r="L957" s="7"/>
      <c r="M957" s="12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23"/>
      <c r="D958" s="4"/>
      <c r="E958" s="4"/>
      <c r="F958" s="4"/>
      <c r="G958" s="4"/>
      <c r="H958" s="4"/>
      <c r="I958" s="4"/>
      <c r="J958" s="4"/>
      <c r="K958" s="123"/>
      <c r="L958" s="7"/>
      <c r="M958" s="12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23"/>
      <c r="D959" s="4"/>
      <c r="E959" s="4"/>
      <c r="F959" s="4"/>
      <c r="G959" s="4"/>
      <c r="H959" s="4"/>
      <c r="I959" s="4"/>
      <c r="J959" s="4"/>
      <c r="K959" s="123"/>
      <c r="L959" s="7"/>
      <c r="M959" s="12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23"/>
      <c r="D960" s="4"/>
      <c r="E960" s="4"/>
      <c r="F960" s="4"/>
      <c r="G960" s="4"/>
      <c r="H960" s="4"/>
      <c r="I960" s="4"/>
      <c r="J960" s="4"/>
      <c r="K960" s="123"/>
      <c r="L960" s="7"/>
      <c r="M960" s="12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23"/>
      <c r="D961" s="4"/>
      <c r="E961" s="4"/>
      <c r="F961" s="4"/>
      <c r="G961" s="4"/>
      <c r="H961" s="4"/>
      <c r="I961" s="4"/>
      <c r="J961" s="4"/>
      <c r="K961" s="123"/>
      <c r="L961" s="7"/>
      <c r="M961" s="12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23"/>
      <c r="D962" s="4"/>
      <c r="E962" s="4"/>
      <c r="F962" s="4"/>
      <c r="G962" s="4"/>
      <c r="H962" s="4"/>
      <c r="I962" s="4"/>
      <c r="J962" s="4"/>
      <c r="K962" s="123"/>
      <c r="L962" s="7"/>
      <c r="M962" s="12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23"/>
      <c r="D963" s="4"/>
      <c r="E963" s="4"/>
      <c r="F963" s="4"/>
      <c r="G963" s="4"/>
      <c r="H963" s="4"/>
      <c r="I963" s="4"/>
      <c r="J963" s="4"/>
      <c r="K963" s="123"/>
      <c r="L963" s="7"/>
      <c r="M963" s="12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23"/>
      <c r="D964" s="4"/>
      <c r="E964" s="4"/>
      <c r="F964" s="4"/>
      <c r="G964" s="4"/>
      <c r="H964" s="4"/>
      <c r="I964" s="4"/>
      <c r="J964" s="4"/>
      <c r="K964" s="123"/>
      <c r="L964" s="7"/>
      <c r="M964" s="12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23"/>
      <c r="D965" s="4"/>
      <c r="E965" s="4"/>
      <c r="F965" s="4"/>
      <c r="G965" s="4"/>
      <c r="H965" s="4"/>
      <c r="I965" s="4"/>
      <c r="J965" s="4"/>
      <c r="K965" s="123"/>
      <c r="L965" s="7"/>
      <c r="M965" s="12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23"/>
      <c r="D966" s="4"/>
      <c r="E966" s="4"/>
      <c r="F966" s="4"/>
      <c r="G966" s="4"/>
      <c r="H966" s="4"/>
      <c r="I966" s="4"/>
      <c r="J966" s="4"/>
      <c r="K966" s="123"/>
      <c r="L966" s="7"/>
      <c r="M966" s="12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23"/>
      <c r="D967" s="4"/>
      <c r="E967" s="4"/>
      <c r="F967" s="4"/>
      <c r="G967" s="4"/>
      <c r="H967" s="4"/>
      <c r="I967" s="4"/>
      <c r="J967" s="4"/>
      <c r="K967" s="123"/>
      <c r="L967" s="7"/>
      <c r="M967" s="12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23"/>
      <c r="D968" s="4"/>
      <c r="E968" s="4"/>
      <c r="F968" s="4"/>
      <c r="G968" s="4"/>
      <c r="H968" s="4"/>
      <c r="I968" s="4"/>
      <c r="J968" s="4"/>
      <c r="K968" s="123"/>
      <c r="L968" s="7"/>
      <c r="M968" s="12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23"/>
      <c r="D969" s="4"/>
      <c r="E969" s="4"/>
      <c r="F969" s="4"/>
      <c r="G969" s="4"/>
      <c r="H969" s="4"/>
      <c r="I969" s="4"/>
      <c r="J969" s="4"/>
      <c r="K969" s="123"/>
      <c r="L969" s="7"/>
      <c r="M969" s="12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23"/>
      <c r="D970" s="4"/>
      <c r="E970" s="4"/>
      <c r="F970" s="4"/>
      <c r="G970" s="4"/>
      <c r="H970" s="4"/>
      <c r="I970" s="4"/>
      <c r="J970" s="4"/>
      <c r="K970" s="123"/>
      <c r="L970" s="7"/>
      <c r="M970" s="12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23"/>
      <c r="D971" s="4"/>
      <c r="E971" s="4"/>
      <c r="F971" s="4"/>
      <c r="G971" s="4"/>
      <c r="H971" s="4"/>
      <c r="I971" s="4"/>
      <c r="J971" s="4"/>
      <c r="K971" s="123"/>
      <c r="L971" s="7"/>
      <c r="M971" s="125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23"/>
      <c r="D972" s="4"/>
      <c r="E972" s="4"/>
      <c r="F972" s="4"/>
      <c r="G972" s="4"/>
      <c r="H972" s="4"/>
      <c r="I972" s="4"/>
      <c r="J972" s="4"/>
      <c r="K972" s="123"/>
      <c r="L972" s="7"/>
      <c r="M972" s="12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23"/>
      <c r="D973" s="4"/>
      <c r="E973" s="4"/>
      <c r="F973" s="4"/>
      <c r="G973" s="4"/>
      <c r="H973" s="4"/>
      <c r="I973" s="4"/>
      <c r="J973" s="4"/>
      <c r="K973" s="123"/>
      <c r="L973" s="7"/>
      <c r="M973" s="12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23"/>
      <c r="D974" s="4"/>
      <c r="E974" s="4"/>
      <c r="F974" s="4"/>
      <c r="G974" s="4"/>
      <c r="H974" s="4"/>
      <c r="I974" s="4"/>
      <c r="J974" s="4"/>
      <c r="K974" s="123"/>
      <c r="L974" s="7"/>
      <c r="M974" s="12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23"/>
      <c r="D975" s="4"/>
      <c r="E975" s="4"/>
      <c r="F975" s="4"/>
      <c r="G975" s="4"/>
      <c r="H975" s="4"/>
      <c r="I975" s="4"/>
      <c r="J975" s="4"/>
      <c r="K975" s="123"/>
      <c r="L975" s="7"/>
      <c r="M975" s="12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23"/>
      <c r="D976" s="4"/>
      <c r="E976" s="4"/>
      <c r="F976" s="4"/>
      <c r="G976" s="4"/>
      <c r="H976" s="4"/>
      <c r="I976" s="4"/>
      <c r="J976" s="4"/>
      <c r="K976" s="123"/>
      <c r="L976" s="7"/>
      <c r="M976" s="125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23"/>
      <c r="D977" s="4"/>
      <c r="E977" s="4"/>
      <c r="F977" s="4"/>
      <c r="G977" s="4"/>
      <c r="H977" s="4"/>
      <c r="I977" s="4"/>
      <c r="J977" s="4"/>
      <c r="K977" s="123"/>
      <c r="L977" s="7"/>
      <c r="M977" s="125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23"/>
      <c r="D978" s="4"/>
      <c r="E978" s="4"/>
      <c r="F978" s="4"/>
      <c r="G978" s="4"/>
      <c r="H978" s="4"/>
      <c r="I978" s="4"/>
      <c r="J978" s="4"/>
      <c r="K978" s="123"/>
      <c r="L978" s="7"/>
      <c r="M978" s="125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23"/>
      <c r="D979" s="4"/>
      <c r="E979" s="4"/>
      <c r="F979" s="4"/>
      <c r="G979" s="4"/>
      <c r="H979" s="4"/>
      <c r="I979" s="4"/>
      <c r="J979" s="4"/>
      <c r="K979" s="123"/>
      <c r="L979" s="7"/>
      <c r="M979" s="12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23"/>
      <c r="D980" s="4"/>
      <c r="E980" s="4"/>
      <c r="F980" s="4"/>
      <c r="G980" s="4"/>
      <c r="H980" s="4"/>
      <c r="I980" s="4"/>
      <c r="J980" s="4"/>
      <c r="K980" s="123"/>
      <c r="L980" s="7"/>
      <c r="M980" s="12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23"/>
      <c r="D981" s="4"/>
      <c r="E981" s="4"/>
      <c r="F981" s="4"/>
      <c r="G981" s="4"/>
      <c r="H981" s="4"/>
      <c r="I981" s="4"/>
      <c r="J981" s="4"/>
      <c r="K981" s="123"/>
      <c r="L981" s="7"/>
      <c r="M981" s="125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23"/>
      <c r="D982" s="4"/>
      <c r="E982" s="4"/>
      <c r="F982" s="4"/>
      <c r="G982" s="4"/>
      <c r="H982" s="4"/>
      <c r="I982" s="4"/>
      <c r="J982" s="4"/>
      <c r="K982" s="123"/>
      <c r="L982" s="7"/>
      <c r="M982" s="12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23"/>
      <c r="D983" s="4"/>
      <c r="E983" s="4"/>
      <c r="F983" s="4"/>
      <c r="G983" s="4"/>
      <c r="H983" s="4"/>
      <c r="I983" s="4"/>
      <c r="J983" s="4"/>
      <c r="K983" s="123"/>
      <c r="L983" s="7"/>
      <c r="M983" s="12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23"/>
      <c r="D984" s="4"/>
      <c r="E984" s="4"/>
      <c r="F984" s="4"/>
      <c r="G984" s="4"/>
      <c r="H984" s="4"/>
      <c r="I984" s="4"/>
      <c r="J984" s="4"/>
      <c r="K984" s="123"/>
      <c r="L984" s="7"/>
      <c r="M984" s="12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23"/>
      <c r="D985" s="4"/>
      <c r="E985" s="4"/>
      <c r="F985" s="4"/>
      <c r="G985" s="4"/>
      <c r="H985" s="4"/>
      <c r="I985" s="4"/>
      <c r="J985" s="4"/>
      <c r="K985" s="123"/>
      <c r="L985" s="7"/>
      <c r="M985" s="12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123"/>
      <c r="D986" s="4"/>
      <c r="E986" s="4"/>
      <c r="F986" s="4"/>
      <c r="G986" s="4"/>
      <c r="H986" s="4"/>
      <c r="I986" s="4"/>
      <c r="J986" s="4"/>
      <c r="K986" s="123"/>
      <c r="L986" s="7"/>
      <c r="M986" s="12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123"/>
      <c r="D987" s="4"/>
      <c r="E987" s="4"/>
      <c r="F987" s="4"/>
      <c r="G987" s="4"/>
      <c r="H987" s="4"/>
      <c r="I987" s="4"/>
      <c r="J987" s="4"/>
      <c r="K987" s="123"/>
      <c r="L987" s="7"/>
      <c r="M987" s="125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123"/>
      <c r="D988" s="4"/>
      <c r="E988" s="4"/>
      <c r="F988" s="4"/>
      <c r="G988" s="4"/>
      <c r="H988" s="4"/>
      <c r="I988" s="4"/>
      <c r="J988" s="4"/>
      <c r="K988" s="123"/>
      <c r="L988" s="7"/>
      <c r="M988" s="12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123"/>
      <c r="D989" s="4"/>
      <c r="E989" s="4"/>
      <c r="F989" s="4"/>
      <c r="G989" s="4"/>
      <c r="H989" s="4"/>
      <c r="I989" s="4"/>
      <c r="J989" s="4"/>
      <c r="K989" s="123"/>
      <c r="L989" s="7"/>
      <c r="M989" s="125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123"/>
      <c r="D990" s="4"/>
      <c r="E990" s="4"/>
      <c r="F990" s="4"/>
      <c r="G990" s="4"/>
      <c r="H990" s="4"/>
      <c r="I990" s="4"/>
      <c r="J990" s="4"/>
      <c r="K990" s="123"/>
      <c r="L990" s="7"/>
      <c r="M990" s="12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123"/>
      <c r="D991" s="4"/>
      <c r="E991" s="4"/>
      <c r="F991" s="4"/>
      <c r="G991" s="4"/>
      <c r="H991" s="4"/>
      <c r="I991" s="4"/>
      <c r="J991" s="4"/>
      <c r="K991" s="123"/>
      <c r="L991" s="7"/>
      <c r="M991" s="12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123"/>
      <c r="D992" s="4"/>
      <c r="E992" s="4"/>
      <c r="F992" s="4"/>
      <c r="G992" s="4"/>
      <c r="H992" s="4"/>
      <c r="I992" s="4"/>
      <c r="J992" s="4"/>
      <c r="K992" s="123"/>
      <c r="L992" s="7"/>
      <c r="M992" s="125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123"/>
      <c r="D993" s="4"/>
      <c r="E993" s="4"/>
      <c r="F993" s="4"/>
      <c r="G993" s="4"/>
      <c r="H993" s="4"/>
      <c r="I993" s="4"/>
      <c r="J993" s="4"/>
      <c r="K993" s="123"/>
      <c r="L993" s="7"/>
      <c r="M993" s="125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123"/>
      <c r="D994" s="4"/>
      <c r="E994" s="4"/>
      <c r="F994" s="4"/>
      <c r="G994" s="4"/>
      <c r="H994" s="4"/>
      <c r="I994" s="4"/>
      <c r="J994" s="4"/>
      <c r="K994" s="123"/>
      <c r="L994" s="7"/>
      <c r="M994" s="12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123"/>
      <c r="D995" s="4"/>
      <c r="E995" s="4"/>
      <c r="F995" s="4"/>
      <c r="G995" s="4"/>
      <c r="H995" s="4"/>
      <c r="I995" s="4"/>
      <c r="J995" s="4"/>
      <c r="K995" s="123"/>
      <c r="L995" s="7"/>
      <c r="M995" s="125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123"/>
      <c r="D996" s="4"/>
      <c r="E996" s="4"/>
      <c r="F996" s="4"/>
      <c r="G996" s="4"/>
      <c r="H996" s="4"/>
      <c r="I996" s="4"/>
      <c r="J996" s="4"/>
      <c r="K996" s="123"/>
      <c r="L996" s="7"/>
      <c r="M996" s="125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123"/>
      <c r="D997" s="4"/>
      <c r="E997" s="4"/>
      <c r="F997" s="4"/>
      <c r="G997" s="4"/>
      <c r="H997" s="4"/>
      <c r="I997" s="4"/>
      <c r="J997" s="4"/>
      <c r="K997" s="123"/>
      <c r="L997" s="7"/>
      <c r="M997" s="125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123"/>
      <c r="D998" s="4"/>
      <c r="E998" s="4"/>
      <c r="F998" s="4"/>
      <c r="G998" s="4"/>
      <c r="H998" s="4"/>
      <c r="I998" s="4"/>
      <c r="J998" s="4"/>
      <c r="K998" s="123"/>
      <c r="L998" s="7"/>
      <c r="M998" s="125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123"/>
      <c r="D999" s="4"/>
      <c r="E999" s="4"/>
      <c r="F999" s="4"/>
      <c r="G999" s="4"/>
      <c r="H999" s="4"/>
      <c r="I999" s="4"/>
      <c r="J999" s="4"/>
      <c r="K999" s="123"/>
      <c r="L999" s="7"/>
      <c r="M999" s="125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123"/>
      <c r="D1000" s="4"/>
      <c r="E1000" s="4"/>
      <c r="F1000" s="4"/>
      <c r="G1000" s="4"/>
      <c r="H1000" s="4"/>
      <c r="I1000" s="4"/>
      <c r="J1000" s="4"/>
      <c r="K1000" s="123"/>
      <c r="L1000" s="7"/>
      <c r="M1000" s="125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123"/>
      <c r="D1001" s="4"/>
      <c r="E1001" s="4"/>
      <c r="F1001" s="4"/>
      <c r="G1001" s="4"/>
      <c r="H1001" s="4"/>
      <c r="I1001" s="4"/>
      <c r="J1001" s="4"/>
      <c r="K1001" s="123"/>
      <c r="L1001" s="7"/>
      <c r="M1001" s="125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</sheetData>
  <autoFilter ref="$A$1:$M$7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26" t="s">
        <v>203</v>
      </c>
      <c r="B1" s="126" t="s">
        <v>194</v>
      </c>
      <c r="C1" s="126" t="s">
        <v>192</v>
      </c>
      <c r="D1" s="126" t="s">
        <v>204</v>
      </c>
      <c r="E1" s="126" t="s">
        <v>192</v>
      </c>
      <c r="F1" s="126" t="s">
        <v>205</v>
      </c>
      <c r="G1" s="126" t="s">
        <v>192</v>
      </c>
      <c r="H1" s="126" t="s">
        <v>206</v>
      </c>
      <c r="I1" s="126" t="s">
        <v>192</v>
      </c>
      <c r="J1" s="126" t="s">
        <v>207</v>
      </c>
      <c r="K1" s="126" t="s">
        <v>192</v>
      </c>
      <c r="L1" s="126" t="s">
        <v>208</v>
      </c>
      <c r="M1" s="126" t="s">
        <v>192</v>
      </c>
      <c r="N1" s="126" t="s">
        <v>209</v>
      </c>
      <c r="O1" s="126" t="s">
        <v>192</v>
      </c>
      <c r="P1" s="126" t="s">
        <v>202</v>
      </c>
      <c r="Q1" s="126" t="s">
        <v>192</v>
      </c>
    </row>
    <row r="2">
      <c r="A2" s="126">
        <v>1.0</v>
      </c>
      <c r="B2" s="127">
        <f>IFERROR(__xludf.DUMMYFUNCTION("query({'Player Season Stats'!$A2:$A65,'Player Season Stats'!D2:D65}, ""select Col2, Col1 order by Col2 desc limit 10"") "),25.292857142857144)</f>
        <v>25.29285714</v>
      </c>
      <c r="C2" s="128" t="str">
        <f>IFERROR(__xludf.DUMMYFUNCTION("""COMPUTED_VALUE"""),"Schmid")</f>
        <v>Schmid</v>
      </c>
      <c r="D2" s="129">
        <f>IFERROR(__xludf.DUMMYFUNCTION("query({'Player Season Stats'!$A2:$A65,'Player Season Stats'!E2:E65}, ""select Col2, Col1 order by Col2 desc limit 10"") "),24.571428571428573)</f>
        <v>24.57142857</v>
      </c>
      <c r="E2" s="130" t="str">
        <f>IFERROR(__xludf.DUMMYFUNCTION("""COMPUTED_VALUE"""),"Schmid")</f>
        <v>Schmid</v>
      </c>
      <c r="F2" s="127">
        <f>IFERROR(__xludf.DUMMYFUNCTION("query({'Player Season Stats'!$A2:$A65,'Player Season Stats'!F2:F65}, ""select Col2, Col1 order by Col2 desc limit 10"") "),16.571428571428573)</f>
        <v>16.57142857</v>
      </c>
      <c r="G2" s="128" t="str">
        <f>IFERROR(__xludf.DUMMYFUNCTION("""COMPUTED_VALUE"""),"Schmid")</f>
        <v>Schmid</v>
      </c>
      <c r="H2" s="129">
        <f>IFERROR(__xludf.DUMMYFUNCTION("query({'Player Season Stats'!$A2:$A65,'Player Season Stats'!G2:G65}, ""select Col2, Col1 order by Col2 desc limit 10"") "),3.0)</f>
        <v>3</v>
      </c>
      <c r="I2" s="130" t="str">
        <f>IFERROR(__xludf.DUMMYFUNCTION("""COMPUTED_VALUE"""),"Taran")</f>
        <v>Taran</v>
      </c>
      <c r="J2" s="127">
        <f>IFERROR(__xludf.DUMMYFUNCTION("query({'Player Season Stats'!$A2:$A65,'Player Season Stats'!H2:H65}, ""select Col2, Col1 order by Col2 desc limit 10"") "),10.5)</f>
        <v>10.5</v>
      </c>
      <c r="K2" s="128" t="str">
        <f>IFERROR(__xludf.DUMMYFUNCTION("""COMPUTED_VALUE"""),"SoHo")</f>
        <v>SoHo</v>
      </c>
      <c r="L2" s="129">
        <f>IFERROR(__xludf.DUMMYFUNCTION("query({'Player Season Stats'!$A2:$A65,'Player Season Stats'!I2:I65}, ""select Col2, Col1 order by Col2 desc limit 10"") "),3.2857142857142856)</f>
        <v>3.285714286</v>
      </c>
      <c r="M2" s="130" t="str">
        <f>IFERROR(__xludf.DUMMYFUNCTION("""COMPUTED_VALUE"""),"JChan")</f>
        <v>JChan</v>
      </c>
      <c r="N2" s="131">
        <f>IFERROR(__xludf.DUMMYFUNCTION("query({'Player Season Stats'!$A2:$A65,'Player Season Stats'!K2:K65}, ""select Col2, Col1 order by Col2 desc limit 10"") "),0.5103857566765578)</f>
        <v>0.5103857567</v>
      </c>
      <c r="O2" s="128" t="str">
        <f>IFERROR(__xludf.DUMMYFUNCTION("""COMPUTED_VALUE"""),"Schmid")</f>
        <v>Schmid</v>
      </c>
      <c r="P2" s="129">
        <f>IFERROR(__xludf.DUMMYFUNCTION("query({'Player Season Stats'!$A2:$A65,'Player Season Stats'!M2:M65}, ""select Col2, Col1 order by Col2 desc limit 10"") "),34.80442156877116)</f>
        <v>34.80442157</v>
      </c>
      <c r="Q2" s="130" t="str">
        <f>IFERROR(__xludf.DUMMYFUNCTION("""COMPUTED_VALUE"""),"Schmid")</f>
        <v>Schmid</v>
      </c>
    </row>
    <row r="3">
      <c r="A3" s="126">
        <f t="shared" ref="A3:A11" si="1">A2+1</f>
        <v>2</v>
      </c>
      <c r="B3" s="127">
        <f>IFERROR(__xludf.DUMMYFUNCTION("""COMPUTED_VALUE"""),21.791666666666668)</f>
        <v>21.79166667</v>
      </c>
      <c r="C3" s="128" t="str">
        <f>IFERROR(__xludf.DUMMYFUNCTION("""COMPUTED_VALUE"""),"Seb")</f>
        <v>Seb</v>
      </c>
      <c r="D3" s="129">
        <f>IFERROR(__xludf.DUMMYFUNCTION("""COMPUTED_VALUE"""),20.714285714285715)</f>
        <v>20.71428571</v>
      </c>
      <c r="E3" s="130" t="str">
        <f>IFERROR(__xludf.DUMMYFUNCTION("""COMPUTED_VALUE"""),"Hawkins")</f>
        <v>Hawkins</v>
      </c>
      <c r="F3" s="127">
        <f>IFERROR(__xludf.DUMMYFUNCTION("""COMPUTED_VALUE"""),15.857142857142858)</f>
        <v>15.85714286</v>
      </c>
      <c r="G3" s="128" t="str">
        <f>IFERROR(__xludf.DUMMYFUNCTION("""COMPUTED_VALUE"""),"Marmo")</f>
        <v>Marmo</v>
      </c>
      <c r="H3" s="129">
        <f>IFERROR(__xludf.DUMMYFUNCTION("""COMPUTED_VALUE"""),2.8333333333333335)</f>
        <v>2.833333333</v>
      </c>
      <c r="I3" s="130" t="str">
        <f>IFERROR(__xludf.DUMMYFUNCTION("""COMPUTED_VALUE"""),"Seb")</f>
        <v>Seb</v>
      </c>
      <c r="J3" s="127">
        <f>IFERROR(__xludf.DUMMYFUNCTION("""COMPUTED_VALUE"""),10.0)</f>
        <v>10</v>
      </c>
      <c r="K3" s="128" t="str">
        <f>IFERROR(__xludf.DUMMYFUNCTION("""COMPUTED_VALUE"""),"Kevin Zhou")</f>
        <v>Kevin Zhou</v>
      </c>
      <c r="L3" s="129">
        <f>IFERROR(__xludf.DUMMYFUNCTION("""COMPUTED_VALUE"""),2.8333333333333335)</f>
        <v>2.833333333</v>
      </c>
      <c r="M3" s="130" t="str">
        <f>IFERROR(__xludf.DUMMYFUNCTION("""COMPUTED_VALUE"""),"Seb")</f>
        <v>Seb</v>
      </c>
      <c r="N3" s="131">
        <f>IFERROR(__xludf.DUMMYFUNCTION("""COMPUTED_VALUE"""),0.4576271186440678)</f>
        <v>0.4576271186</v>
      </c>
      <c r="O3" s="128" t="str">
        <f>IFERROR(__xludf.DUMMYFUNCTION("""COMPUTED_VALUE"""),"Gid")</f>
        <v>Gid</v>
      </c>
      <c r="P3" s="129">
        <f>IFERROR(__xludf.DUMMYFUNCTION("""COMPUTED_VALUE"""),25.97043231003603)</f>
        <v>25.97043231</v>
      </c>
      <c r="Q3" s="130" t="str">
        <f>IFERROR(__xludf.DUMMYFUNCTION("""COMPUTED_VALUE"""),"Seb")</f>
        <v>Seb</v>
      </c>
    </row>
    <row r="4">
      <c r="A4" s="126">
        <f t="shared" si="1"/>
        <v>3</v>
      </c>
      <c r="B4" s="127">
        <f>IFERROR(__xludf.DUMMYFUNCTION("""COMPUTED_VALUE"""),21.535714285714285)</f>
        <v>21.53571429</v>
      </c>
      <c r="C4" s="128" t="str">
        <f>IFERROR(__xludf.DUMMYFUNCTION("""COMPUTED_VALUE"""),"Hawkins")</f>
        <v>Hawkins</v>
      </c>
      <c r="D4" s="129">
        <f>IFERROR(__xludf.DUMMYFUNCTION("""COMPUTED_VALUE"""),20.333333333333332)</f>
        <v>20.33333333</v>
      </c>
      <c r="E4" s="130" t="str">
        <f>IFERROR(__xludf.DUMMYFUNCTION("""COMPUTED_VALUE"""),"Seb")</f>
        <v>Seb</v>
      </c>
      <c r="F4" s="127">
        <f>IFERROR(__xludf.DUMMYFUNCTION("""COMPUTED_VALUE"""),14.666666666666666)</f>
        <v>14.66666667</v>
      </c>
      <c r="G4" s="128" t="str">
        <f>IFERROR(__xludf.DUMMYFUNCTION("""COMPUTED_VALUE"""),"Lanuza")</f>
        <v>Lanuza</v>
      </c>
      <c r="H4" s="129">
        <f>IFERROR(__xludf.DUMMYFUNCTION("""COMPUTED_VALUE"""),2.7142857142857144)</f>
        <v>2.714285714</v>
      </c>
      <c r="I4" s="130" t="str">
        <f>IFERROR(__xludf.DUMMYFUNCTION("""COMPUTED_VALUE"""),"Schmid")</f>
        <v>Schmid</v>
      </c>
      <c r="J4" s="127">
        <f>IFERROR(__xludf.DUMMYFUNCTION("""COMPUTED_VALUE"""),10.0)</f>
        <v>10</v>
      </c>
      <c r="K4" s="128" t="str">
        <f>IFERROR(__xludf.DUMMYFUNCTION("""COMPUTED_VALUE"""),"Adi")</f>
        <v>Adi</v>
      </c>
      <c r="L4" s="129">
        <f>IFERROR(__xludf.DUMMYFUNCTION("""COMPUTED_VALUE"""),2.8)</f>
        <v>2.8</v>
      </c>
      <c r="M4" s="130" t="str">
        <f>IFERROR(__xludf.DUMMYFUNCTION("""COMPUTED_VALUE"""),"Maas")</f>
        <v>Maas</v>
      </c>
      <c r="N4" s="131">
        <f>IFERROR(__xludf.DUMMYFUNCTION("""COMPUTED_VALUE"""),0.4549763033175355)</f>
        <v>0.4549763033</v>
      </c>
      <c r="O4" s="128" t="str">
        <f>IFERROR(__xludf.DUMMYFUNCTION("""COMPUTED_VALUE"""),"Crosby")</f>
        <v>Crosby</v>
      </c>
      <c r="P4" s="129">
        <f>IFERROR(__xludf.DUMMYFUNCTION("""COMPUTED_VALUE"""),25.131618547549344)</f>
        <v>25.13161855</v>
      </c>
      <c r="Q4" s="130" t="str">
        <f>IFERROR(__xludf.DUMMYFUNCTION("""COMPUTED_VALUE"""),"Hawkins")</f>
        <v>Hawkins</v>
      </c>
    </row>
    <row r="5">
      <c r="A5" s="126">
        <f t="shared" si="1"/>
        <v>4</v>
      </c>
      <c r="B5" s="127">
        <f>IFERROR(__xludf.DUMMYFUNCTION("""COMPUTED_VALUE"""),20.27857142857143)</f>
        <v>20.27857143</v>
      </c>
      <c r="C5" s="128" t="str">
        <f>IFERROR(__xludf.DUMMYFUNCTION("""COMPUTED_VALUE"""),"Gid")</f>
        <v>Gid</v>
      </c>
      <c r="D5" s="129">
        <f>IFERROR(__xludf.DUMMYFUNCTION("""COMPUTED_VALUE"""),19.285714285714285)</f>
        <v>19.28571429</v>
      </c>
      <c r="E5" s="130" t="str">
        <f>IFERROR(__xludf.DUMMYFUNCTION("""COMPUTED_VALUE"""),"Gid")</f>
        <v>Gid</v>
      </c>
      <c r="F5" s="127">
        <f>IFERROR(__xludf.DUMMYFUNCTION("""COMPUTED_VALUE"""),12.857142857142858)</f>
        <v>12.85714286</v>
      </c>
      <c r="G5" s="128" t="str">
        <f>IFERROR(__xludf.DUMMYFUNCTION("""COMPUTED_VALUE"""),"Hawkins")</f>
        <v>Hawkins</v>
      </c>
      <c r="H5" s="129">
        <f>IFERROR(__xludf.DUMMYFUNCTION("""COMPUTED_VALUE"""),2.142857142857143)</f>
        <v>2.142857143</v>
      </c>
      <c r="I5" s="130" t="str">
        <f>IFERROR(__xludf.DUMMYFUNCTION("""COMPUTED_VALUE"""),"Gid")</f>
        <v>Gid</v>
      </c>
      <c r="J5" s="127">
        <f>IFERROR(__xludf.DUMMYFUNCTION("""COMPUTED_VALUE"""),9.2)</f>
        <v>9.2</v>
      </c>
      <c r="K5" s="128" t="str">
        <f>IFERROR(__xludf.DUMMYFUNCTION("""COMPUTED_VALUE"""),"Porco")</f>
        <v>Porco</v>
      </c>
      <c r="L5" s="129">
        <f>IFERROR(__xludf.DUMMYFUNCTION("""COMPUTED_VALUE"""),2.4285714285714284)</f>
        <v>2.428571429</v>
      </c>
      <c r="M5" s="130" t="str">
        <f>IFERROR(__xludf.DUMMYFUNCTION("""COMPUTED_VALUE"""),"Taran")</f>
        <v>Taran</v>
      </c>
      <c r="N5" s="131">
        <f>IFERROR(__xludf.DUMMYFUNCTION("""COMPUTED_VALUE"""),0.44202898550724634)</f>
        <v>0.4420289855</v>
      </c>
      <c r="O5" s="128" t="str">
        <f>IFERROR(__xludf.DUMMYFUNCTION("""COMPUTED_VALUE"""),"Seb")</f>
        <v>Seb</v>
      </c>
      <c r="P5" s="129">
        <f>IFERROR(__xludf.DUMMYFUNCTION("""COMPUTED_VALUE"""),25.019987746286123)</f>
        <v>25.01998775</v>
      </c>
      <c r="Q5" s="130" t="str">
        <f>IFERROR(__xludf.DUMMYFUNCTION("""COMPUTED_VALUE"""),"Gid")</f>
        <v>Gid</v>
      </c>
    </row>
    <row r="6">
      <c r="A6" s="126">
        <f t="shared" si="1"/>
        <v>5</v>
      </c>
      <c r="B6" s="127">
        <f>IFERROR(__xludf.DUMMYFUNCTION("""COMPUTED_VALUE"""),20.2)</f>
        <v>20.2</v>
      </c>
      <c r="C6" s="128" t="str">
        <f>IFERROR(__xludf.DUMMYFUNCTION("""COMPUTED_VALUE"""),"Adi")</f>
        <v>Adi</v>
      </c>
      <c r="D6" s="129">
        <f>IFERROR(__xludf.DUMMYFUNCTION("""COMPUTED_VALUE"""),19.2)</f>
        <v>19.2</v>
      </c>
      <c r="E6" s="130" t="str">
        <f>IFERROR(__xludf.DUMMYFUNCTION("""COMPUTED_VALUE"""),"Crosby")</f>
        <v>Crosby</v>
      </c>
      <c r="F6" s="127">
        <f>IFERROR(__xludf.DUMMYFUNCTION("""COMPUTED_VALUE"""),12.0)</f>
        <v>12</v>
      </c>
      <c r="G6" s="128" t="str">
        <f>IFERROR(__xludf.DUMMYFUNCTION("""COMPUTED_VALUE"""),"Emi")</f>
        <v>Emi</v>
      </c>
      <c r="H6" s="129">
        <f>IFERROR(__xludf.DUMMYFUNCTION("""COMPUTED_VALUE"""),2.0)</f>
        <v>2</v>
      </c>
      <c r="I6" s="130" t="str">
        <f>IFERROR(__xludf.DUMMYFUNCTION("""COMPUTED_VALUE"""),"Maas")</f>
        <v>Maas</v>
      </c>
      <c r="J6" s="127">
        <f>IFERROR(__xludf.DUMMYFUNCTION("""COMPUTED_VALUE"""),8.833333333333334)</f>
        <v>8.833333333</v>
      </c>
      <c r="K6" s="128" t="str">
        <f>IFERROR(__xludf.DUMMYFUNCTION("""COMPUTED_VALUE"""),"DC")</f>
        <v>DC</v>
      </c>
      <c r="L6" s="129">
        <f>IFERROR(__xludf.DUMMYFUNCTION("""COMPUTED_VALUE"""),2.0)</f>
        <v>2</v>
      </c>
      <c r="M6" s="130" t="str">
        <f>IFERROR(__xludf.DUMMYFUNCTION("""COMPUTED_VALUE"""),"Brendan")</f>
        <v>Brendan</v>
      </c>
      <c r="N6" s="131">
        <f>IFERROR(__xludf.DUMMYFUNCTION("""COMPUTED_VALUE"""),0.43283582089552236)</f>
        <v>0.4328358209</v>
      </c>
      <c r="O6" s="128" t="str">
        <f>IFERROR(__xludf.DUMMYFUNCTION("""COMPUTED_VALUE"""),"Hawkins")</f>
        <v>Hawkins</v>
      </c>
      <c r="P6" s="129">
        <f>IFERROR(__xludf.DUMMYFUNCTION("""COMPUTED_VALUE"""),24.60694449992921)</f>
        <v>24.6069445</v>
      </c>
      <c r="Q6" s="130" t="str">
        <f>IFERROR(__xludf.DUMMYFUNCTION("""COMPUTED_VALUE"""),"Crosby")</f>
        <v>Crosby</v>
      </c>
    </row>
    <row r="7">
      <c r="A7" s="126">
        <f t="shared" si="1"/>
        <v>6</v>
      </c>
      <c r="B7" s="127">
        <f>IFERROR(__xludf.DUMMYFUNCTION("""COMPUTED_VALUE"""),20.17857142857143)</f>
        <v>20.17857143</v>
      </c>
      <c r="C7" s="128" t="str">
        <f>IFERROR(__xludf.DUMMYFUNCTION("""COMPUTED_VALUE"""),"Taran")</f>
        <v>Taran</v>
      </c>
      <c r="D7" s="129">
        <f>IFERROR(__xludf.DUMMYFUNCTION("""COMPUTED_VALUE"""),19.0)</f>
        <v>19</v>
      </c>
      <c r="E7" s="130" t="str">
        <f>IFERROR(__xludf.DUMMYFUNCTION("""COMPUTED_VALUE"""),"Adi")</f>
        <v>Adi</v>
      </c>
      <c r="F7" s="127">
        <f>IFERROR(__xludf.DUMMYFUNCTION("""COMPUTED_VALUE"""),12.0)</f>
        <v>12</v>
      </c>
      <c r="G7" s="128" t="str">
        <f>IFERROR(__xludf.DUMMYFUNCTION("""COMPUTED_VALUE"""),"Kyi")</f>
        <v>Kyi</v>
      </c>
      <c r="H7" s="129">
        <f>IFERROR(__xludf.DUMMYFUNCTION("""COMPUTED_VALUE"""),1.7142857142857142)</f>
        <v>1.714285714</v>
      </c>
      <c r="I7" s="130" t="str">
        <f>IFERROR(__xludf.DUMMYFUNCTION("""COMPUTED_VALUE"""),"Leo")</f>
        <v>Leo</v>
      </c>
      <c r="J7" s="127">
        <f>IFERROR(__xludf.DUMMYFUNCTION("""COMPUTED_VALUE"""),8.714285714285714)</f>
        <v>8.714285714</v>
      </c>
      <c r="K7" s="128" t="str">
        <f>IFERROR(__xludf.DUMMYFUNCTION("""COMPUTED_VALUE"""),"Leo")</f>
        <v>Leo</v>
      </c>
      <c r="L7" s="129">
        <f>IFERROR(__xludf.DUMMYFUNCTION("""COMPUTED_VALUE"""),1.8333333333333333)</f>
        <v>1.833333333</v>
      </c>
      <c r="M7" s="130" t="str">
        <f>IFERROR(__xludf.DUMMYFUNCTION("""COMPUTED_VALUE"""),"BXu")</f>
        <v>BXu</v>
      </c>
      <c r="N7" s="131">
        <f>IFERROR(__xludf.DUMMYFUNCTION("""COMPUTED_VALUE"""),0.4307692307692308)</f>
        <v>0.4307692308</v>
      </c>
      <c r="O7" s="128" t="str">
        <f>IFERROR(__xludf.DUMMYFUNCTION("""COMPUTED_VALUE"""),"Emi")</f>
        <v>Emi</v>
      </c>
      <c r="P7" s="129">
        <f>IFERROR(__xludf.DUMMYFUNCTION("""COMPUTED_VALUE"""),22.579940802300083)</f>
        <v>22.5799408</v>
      </c>
      <c r="Q7" s="130" t="str">
        <f>IFERROR(__xludf.DUMMYFUNCTION("""COMPUTED_VALUE"""),"Kevin Zhou")</f>
        <v>Kevin Zhou</v>
      </c>
    </row>
    <row r="8">
      <c r="A8" s="126">
        <f t="shared" si="1"/>
        <v>7</v>
      </c>
      <c r="B8" s="127">
        <f>IFERROR(__xludf.DUMMYFUNCTION("""COMPUTED_VALUE"""),20.06)</f>
        <v>20.06</v>
      </c>
      <c r="C8" s="128" t="str">
        <f>IFERROR(__xludf.DUMMYFUNCTION("""COMPUTED_VALUE"""),"Crosby")</f>
        <v>Crosby</v>
      </c>
      <c r="D8" s="129">
        <f>IFERROR(__xludf.DUMMYFUNCTION("""COMPUTED_VALUE"""),18.857142857142858)</f>
        <v>18.85714286</v>
      </c>
      <c r="E8" s="130" t="str">
        <f>IFERROR(__xludf.DUMMYFUNCTION("""COMPUTED_VALUE"""),"Taran")</f>
        <v>Taran</v>
      </c>
      <c r="F8" s="127">
        <f>IFERROR(__xludf.DUMMYFUNCTION("""COMPUTED_VALUE"""),11.5)</f>
        <v>11.5</v>
      </c>
      <c r="G8" s="128" t="str">
        <f>IFERROR(__xludf.DUMMYFUNCTION("""COMPUTED_VALUE"""),"Pasha")</f>
        <v>Pasha</v>
      </c>
      <c r="H8" s="129">
        <f>IFERROR(__xludf.DUMMYFUNCTION("""COMPUTED_VALUE"""),1.7142857142857142)</f>
        <v>1.714285714</v>
      </c>
      <c r="I8" s="130" t="str">
        <f>IFERROR(__xludf.DUMMYFUNCTION("""COMPUTED_VALUE"""),"Arnav")</f>
        <v>Arnav</v>
      </c>
      <c r="J8" s="127">
        <f>IFERROR(__xludf.DUMMYFUNCTION("""COMPUTED_VALUE"""),8.285714285714286)</f>
        <v>8.285714286</v>
      </c>
      <c r="K8" s="128" t="str">
        <f>IFERROR(__xludf.DUMMYFUNCTION("""COMPUTED_VALUE"""),"Grish")</f>
        <v>Grish</v>
      </c>
      <c r="L8" s="129">
        <f>IFERROR(__xludf.DUMMYFUNCTION("""COMPUTED_VALUE"""),1.6)</f>
        <v>1.6</v>
      </c>
      <c r="M8" s="130" t="str">
        <f>IFERROR(__xludf.DUMMYFUNCTION("""COMPUTED_VALUE"""),"Porco")</f>
        <v>Porco</v>
      </c>
      <c r="N8" s="131">
        <f>IFERROR(__xludf.DUMMYFUNCTION("""COMPUTED_VALUE"""),0.42138364779874216)</f>
        <v>0.4213836478</v>
      </c>
      <c r="O8" s="128" t="str">
        <f>IFERROR(__xludf.DUMMYFUNCTION("""COMPUTED_VALUE"""),"Kevin Zhou")</f>
        <v>Kevin Zhou</v>
      </c>
      <c r="P8" s="129">
        <f>IFERROR(__xludf.DUMMYFUNCTION("""COMPUTED_VALUE"""),22.531203387020717)</f>
        <v>22.53120339</v>
      </c>
      <c r="Q8" s="130" t="str">
        <f>IFERROR(__xludf.DUMMYFUNCTION("""COMPUTED_VALUE"""),"Emi")</f>
        <v>Emi</v>
      </c>
    </row>
    <row r="9">
      <c r="A9" s="126">
        <f t="shared" si="1"/>
        <v>8</v>
      </c>
      <c r="B9" s="127">
        <f>IFERROR(__xludf.DUMMYFUNCTION("""COMPUTED_VALUE"""),19.875)</f>
        <v>19.875</v>
      </c>
      <c r="C9" s="128" t="str">
        <f>IFERROR(__xludf.DUMMYFUNCTION("""COMPUTED_VALUE"""),"Kevin Zhou")</f>
        <v>Kevin Zhou</v>
      </c>
      <c r="D9" s="129">
        <f>IFERROR(__xludf.DUMMYFUNCTION("""COMPUTED_VALUE"""),18.666666666666668)</f>
        <v>18.66666667</v>
      </c>
      <c r="E9" s="130" t="str">
        <f>IFERROR(__xludf.DUMMYFUNCTION("""COMPUTED_VALUE"""),"Emi")</f>
        <v>Emi</v>
      </c>
      <c r="F9" s="127">
        <f>IFERROR(__xludf.DUMMYFUNCTION("""COMPUTED_VALUE"""),11.0)</f>
        <v>11</v>
      </c>
      <c r="G9" s="128" t="str">
        <f>IFERROR(__xludf.DUMMYFUNCTION("""COMPUTED_VALUE"""),"Crosby")</f>
        <v>Crosby</v>
      </c>
      <c r="H9" s="129">
        <f>IFERROR(__xludf.DUMMYFUNCTION("""COMPUTED_VALUE"""),1.6666666666666667)</f>
        <v>1.666666667</v>
      </c>
      <c r="I9" s="130" t="str">
        <f>IFERROR(__xludf.DUMMYFUNCTION("""COMPUTED_VALUE"""),"BXu")</f>
        <v>BXu</v>
      </c>
      <c r="J9" s="127">
        <f>IFERROR(__xludf.DUMMYFUNCTION("""COMPUTED_VALUE"""),8.0)</f>
        <v>8</v>
      </c>
      <c r="K9" s="128" t="str">
        <f>IFERROR(__xludf.DUMMYFUNCTION("""COMPUTED_VALUE"""),"Lulu")</f>
        <v>Lulu</v>
      </c>
      <c r="L9" s="129">
        <f>IFERROR(__xludf.DUMMYFUNCTION("""COMPUTED_VALUE"""),1.5)</f>
        <v>1.5</v>
      </c>
      <c r="M9" s="130" t="str">
        <f>IFERROR(__xludf.DUMMYFUNCTION("""COMPUTED_VALUE"""),"Pasha")</f>
        <v>Pasha</v>
      </c>
      <c r="N9" s="131">
        <f>IFERROR(__xludf.DUMMYFUNCTION("""COMPUTED_VALUE"""),0.42071197411003236)</f>
        <v>0.4207119741</v>
      </c>
      <c r="O9" s="128" t="str">
        <f>IFERROR(__xludf.DUMMYFUNCTION("""COMPUTED_VALUE"""),"Marmo")</f>
        <v>Marmo</v>
      </c>
      <c r="P9" s="129">
        <f>IFERROR(__xludf.DUMMYFUNCTION("""COMPUTED_VALUE"""),22.511873926857525)</f>
        <v>22.51187393</v>
      </c>
      <c r="Q9" s="130" t="str">
        <f>IFERROR(__xludf.DUMMYFUNCTION("""COMPUTED_VALUE"""),"Taran")</f>
        <v>Taran</v>
      </c>
    </row>
    <row r="10">
      <c r="A10" s="126">
        <f t="shared" si="1"/>
        <v>9</v>
      </c>
      <c r="B10" s="127">
        <f>IFERROR(__xludf.DUMMYFUNCTION("""COMPUTED_VALUE"""),19.4)</f>
        <v>19.4</v>
      </c>
      <c r="C10" s="128" t="str">
        <f>IFERROR(__xludf.DUMMYFUNCTION("""COMPUTED_VALUE"""),"Emi")</f>
        <v>Emi</v>
      </c>
      <c r="D10" s="129">
        <f>IFERROR(__xludf.DUMMYFUNCTION("""COMPUTED_VALUE"""),18.571428571428573)</f>
        <v>18.57142857</v>
      </c>
      <c r="E10" s="130" t="str">
        <f>IFERROR(__xludf.DUMMYFUNCTION("""COMPUTED_VALUE"""),"Marmo")</f>
        <v>Marmo</v>
      </c>
      <c r="F10" s="127">
        <f>IFERROR(__xludf.DUMMYFUNCTION("""COMPUTED_VALUE"""),10.6)</f>
        <v>10.6</v>
      </c>
      <c r="G10" s="128" t="str">
        <f>IFERROR(__xludf.DUMMYFUNCTION("""COMPUTED_VALUE"""),"Derek")</f>
        <v>Derek</v>
      </c>
      <c r="H10" s="129">
        <f>IFERROR(__xludf.DUMMYFUNCTION("""COMPUTED_VALUE"""),1.5714285714285714)</f>
        <v>1.571428571</v>
      </c>
      <c r="I10" s="130" t="str">
        <f>IFERROR(__xludf.DUMMYFUNCTION("""COMPUTED_VALUE"""),"Matt")</f>
        <v>Matt</v>
      </c>
      <c r="J10" s="127">
        <f>IFERROR(__xludf.DUMMYFUNCTION("""COMPUTED_VALUE"""),7.714285714285714)</f>
        <v>7.714285714</v>
      </c>
      <c r="K10" s="128" t="str">
        <f>IFERROR(__xludf.DUMMYFUNCTION("""COMPUTED_VALUE"""),"Arnav")</f>
        <v>Arnav</v>
      </c>
      <c r="L10" s="129">
        <f>IFERROR(__xludf.DUMMYFUNCTION("""COMPUTED_VALUE"""),1.5)</f>
        <v>1.5</v>
      </c>
      <c r="M10" s="130" t="str">
        <f>IFERROR(__xludf.DUMMYFUNCTION("""COMPUTED_VALUE"""),"Fritz")</f>
        <v>Fritz</v>
      </c>
      <c r="N10" s="131">
        <f>IFERROR(__xludf.DUMMYFUNCTION("""COMPUTED_VALUE"""),0.4137931034482759)</f>
        <v>0.4137931034</v>
      </c>
      <c r="O10" s="128" t="str">
        <f>IFERROR(__xludf.DUMMYFUNCTION("""COMPUTED_VALUE"""),"Taran")</f>
        <v>Taran</v>
      </c>
      <c r="P10" s="129">
        <f>IFERROR(__xludf.DUMMYFUNCTION("""COMPUTED_VALUE"""),21.460064784417966)</f>
        <v>21.46006478</v>
      </c>
      <c r="Q10" s="130" t="str">
        <f>IFERROR(__xludf.DUMMYFUNCTION("""COMPUTED_VALUE"""),"Porco")</f>
        <v>Porco</v>
      </c>
    </row>
    <row r="11">
      <c r="A11" s="126">
        <f t="shared" si="1"/>
        <v>10</v>
      </c>
      <c r="B11" s="127">
        <f>IFERROR(__xludf.DUMMYFUNCTION("""COMPUTED_VALUE"""),19.28)</f>
        <v>19.28</v>
      </c>
      <c r="C11" s="128" t="str">
        <f>IFERROR(__xludf.DUMMYFUNCTION("""COMPUTED_VALUE"""),"Porco")</f>
        <v>Porco</v>
      </c>
      <c r="D11" s="129">
        <f>IFERROR(__xludf.DUMMYFUNCTION("""COMPUTED_VALUE"""),18.0)</f>
        <v>18</v>
      </c>
      <c r="E11" s="130" t="str">
        <f>IFERROR(__xludf.DUMMYFUNCTION("""COMPUTED_VALUE"""),"Porco")</f>
        <v>Porco</v>
      </c>
      <c r="F11" s="127">
        <f>IFERROR(__xludf.DUMMYFUNCTION("""COMPUTED_VALUE"""),10.5)</f>
        <v>10.5</v>
      </c>
      <c r="G11" s="128" t="str">
        <f>IFERROR(__xludf.DUMMYFUNCTION("""COMPUTED_VALUE"""),"Ilt")</f>
        <v>Ilt</v>
      </c>
      <c r="H11" s="129">
        <f>IFERROR(__xludf.DUMMYFUNCTION("""COMPUTED_VALUE"""),1.5714285714285714)</f>
        <v>1.571428571</v>
      </c>
      <c r="I11" s="130" t="str">
        <f>IFERROR(__xludf.DUMMYFUNCTION("""COMPUTED_VALUE"""),"Hawkins")</f>
        <v>Hawkins</v>
      </c>
      <c r="J11" s="127">
        <f>IFERROR(__xludf.DUMMYFUNCTION("""COMPUTED_VALUE"""),7.666666666666667)</f>
        <v>7.666666667</v>
      </c>
      <c r="K11" s="128" t="str">
        <f>IFERROR(__xludf.DUMMYFUNCTION("""COMPUTED_VALUE"""),"Brendan")</f>
        <v>Brendan</v>
      </c>
      <c r="L11" s="129">
        <f>IFERROR(__xludf.DUMMYFUNCTION("""COMPUTED_VALUE"""),1.5)</f>
        <v>1.5</v>
      </c>
      <c r="M11" s="130" t="str">
        <f>IFERROR(__xludf.DUMMYFUNCTION("""COMPUTED_VALUE"""),"Raymond")</f>
        <v>Raymond</v>
      </c>
      <c r="N11" s="131">
        <f>IFERROR(__xludf.DUMMYFUNCTION("""COMPUTED_VALUE"""),0.4128440366972477)</f>
        <v>0.4128440367</v>
      </c>
      <c r="O11" s="128" t="str">
        <f>IFERROR(__xludf.DUMMYFUNCTION("""COMPUTED_VALUE"""),"Porco")</f>
        <v>Porco</v>
      </c>
      <c r="P11" s="129">
        <f>IFERROR(__xludf.DUMMYFUNCTION("""COMPUTED_VALUE"""),21.35699895565775)</f>
        <v>21.35699896</v>
      </c>
      <c r="Q11" s="130" t="str">
        <f>IFERROR(__xludf.DUMMYFUNCTION("""COMPUTED_VALUE"""),"Marmo")</f>
        <v>Marmo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32" t="str">
        <f>Draft!B22</f>
        <v>Candice?</v>
      </c>
      <c r="B1" s="133" t="s">
        <v>210</v>
      </c>
      <c r="C1" s="133" t="s">
        <v>176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49" t="s">
        <v>201</v>
      </c>
      <c r="K1" s="134" t="str">
        <f>Draft!C22</f>
        <v>Team C</v>
      </c>
      <c r="L1" s="133" t="s">
        <v>210</v>
      </c>
      <c r="M1" s="133" t="s">
        <v>176</v>
      </c>
      <c r="N1" s="2" t="s">
        <v>195</v>
      </c>
      <c r="O1" s="2" t="s">
        <v>196</v>
      </c>
      <c r="P1" s="2" t="s">
        <v>197</v>
      </c>
      <c r="Q1" s="2" t="s">
        <v>198</v>
      </c>
      <c r="R1" s="2" t="s">
        <v>199</v>
      </c>
      <c r="S1" s="2" t="s">
        <v>200</v>
      </c>
      <c r="T1" s="49" t="s">
        <v>201</v>
      </c>
      <c r="U1" s="134" t="str">
        <f>Draft!D22</f>
        <v>Team E</v>
      </c>
      <c r="V1" s="133" t="s">
        <v>210</v>
      </c>
      <c r="W1" s="133" t="s">
        <v>176</v>
      </c>
      <c r="X1" s="2" t="s">
        <v>195</v>
      </c>
      <c r="Y1" s="2" t="s">
        <v>196</v>
      </c>
      <c r="Z1" s="2" t="s">
        <v>197</v>
      </c>
      <c r="AA1" s="2" t="s">
        <v>198</v>
      </c>
      <c r="AB1" s="2" t="s">
        <v>199</v>
      </c>
      <c r="AC1" s="2" t="s">
        <v>200</v>
      </c>
      <c r="AD1" s="49" t="s">
        <v>201</v>
      </c>
      <c r="AE1" s="134" t="str">
        <f>Draft!E22</f>
        <v>Migos</v>
      </c>
      <c r="AF1" s="133" t="s">
        <v>210</v>
      </c>
      <c r="AG1" s="133" t="s">
        <v>176</v>
      </c>
      <c r="AH1" s="2" t="s">
        <v>195</v>
      </c>
      <c r="AI1" s="2" t="s">
        <v>196</v>
      </c>
      <c r="AJ1" s="2" t="s">
        <v>197</v>
      </c>
      <c r="AK1" s="2" t="s">
        <v>198</v>
      </c>
      <c r="AL1" s="2" t="s">
        <v>199</v>
      </c>
      <c r="AM1" s="2" t="s">
        <v>200</v>
      </c>
      <c r="AN1" s="49" t="s">
        <v>201</v>
      </c>
      <c r="AO1" s="134" t="str">
        <f>Draft!F22</f>
        <v>Gargantuan</v>
      </c>
      <c r="AP1" s="133" t="s">
        <v>210</v>
      </c>
      <c r="AQ1" s="133" t="s">
        <v>176</v>
      </c>
      <c r="AR1" s="2" t="s">
        <v>195</v>
      </c>
      <c r="AS1" s="2" t="s">
        <v>196</v>
      </c>
      <c r="AT1" s="2" t="s">
        <v>197</v>
      </c>
      <c r="AU1" s="2" t="s">
        <v>198</v>
      </c>
      <c r="AV1" s="2" t="s">
        <v>199</v>
      </c>
      <c r="AW1" s="2" t="s">
        <v>200</v>
      </c>
      <c r="AX1" s="49" t="s">
        <v>201</v>
      </c>
      <c r="AY1" s="134" t="str">
        <f>Draft!G22</f>
        <v>Team F</v>
      </c>
      <c r="AZ1" s="133" t="s">
        <v>210</v>
      </c>
      <c r="BA1" s="133" t="s">
        <v>176</v>
      </c>
      <c r="BB1" s="2" t="s">
        <v>195</v>
      </c>
      <c r="BC1" s="2" t="s">
        <v>196</v>
      </c>
      <c r="BD1" s="2" t="s">
        <v>197</v>
      </c>
      <c r="BE1" s="2" t="s">
        <v>198</v>
      </c>
      <c r="BF1" s="2" t="s">
        <v>199</v>
      </c>
      <c r="BG1" s="2" t="s">
        <v>200</v>
      </c>
      <c r="BH1" s="49" t="s">
        <v>201</v>
      </c>
      <c r="BI1" s="7"/>
      <c r="BJ1" s="7"/>
      <c r="BK1" s="7"/>
      <c r="BL1" s="7"/>
    </row>
    <row r="2">
      <c r="A2" s="135" t="str">
        <f>Draft!B44</f>
        <v>Elmer</v>
      </c>
      <c r="B2" s="124">
        <f t="shared" ref="B2:J2" si="1">B12</f>
        <v>7</v>
      </c>
      <c r="C2" s="136">
        <f t="shared" si="1"/>
        <v>0.4285714286</v>
      </c>
      <c r="D2" s="137">
        <f t="shared" si="1"/>
        <v>14.14285714</v>
      </c>
      <c r="E2" s="137">
        <f t="shared" si="1"/>
        <v>5.285714286</v>
      </c>
      <c r="F2" s="137">
        <f t="shared" si="1"/>
        <v>1</v>
      </c>
      <c r="G2" s="137">
        <f t="shared" si="1"/>
        <v>6.571428571</v>
      </c>
      <c r="H2" s="137">
        <f t="shared" si="1"/>
        <v>1.285714286</v>
      </c>
      <c r="I2" s="138">
        <f t="shared" si="1"/>
        <v>26.57142857</v>
      </c>
      <c r="J2" s="139">
        <f t="shared" si="1"/>
        <v>0.3473684211</v>
      </c>
      <c r="K2" s="140" t="str">
        <f>Draft!C44</f>
        <v>Matt</v>
      </c>
      <c r="L2" s="124">
        <f t="shared" ref="L2:T2" si="2">L12</f>
        <v>7</v>
      </c>
      <c r="M2" s="136">
        <f t="shared" si="2"/>
        <v>0.5714285714</v>
      </c>
      <c r="N2" s="137">
        <f t="shared" si="2"/>
        <v>15.28571429</v>
      </c>
      <c r="O2" s="137">
        <f t="shared" si="2"/>
        <v>7.571428571</v>
      </c>
      <c r="P2" s="137">
        <f t="shared" si="2"/>
        <v>1.571428571</v>
      </c>
      <c r="Q2" s="137">
        <f t="shared" si="2"/>
        <v>5.285714286</v>
      </c>
      <c r="R2" s="137">
        <f t="shared" si="2"/>
        <v>0.8571428571</v>
      </c>
      <c r="S2" s="138">
        <f t="shared" si="2"/>
        <v>23.71428571</v>
      </c>
      <c r="T2" s="139">
        <f t="shared" si="2"/>
        <v>0.3919413919</v>
      </c>
      <c r="U2" s="141" t="str">
        <f>Draft!D44</f>
        <v>Taran</v>
      </c>
      <c r="V2" s="124">
        <f t="shared" ref="V2:AD2" si="3">V12</f>
        <v>7</v>
      </c>
      <c r="W2" s="136">
        <f t="shared" si="3"/>
        <v>0.2857142857</v>
      </c>
      <c r="X2" s="137">
        <f t="shared" si="3"/>
        <v>18.85714286</v>
      </c>
      <c r="Y2" s="137">
        <f t="shared" si="3"/>
        <v>6.571428571</v>
      </c>
      <c r="Z2" s="137">
        <f t="shared" si="3"/>
        <v>3</v>
      </c>
      <c r="AA2" s="137">
        <f t="shared" si="3"/>
        <v>6.857142857</v>
      </c>
      <c r="AB2" s="137">
        <f t="shared" si="3"/>
        <v>2.428571429</v>
      </c>
      <c r="AC2" s="138">
        <f t="shared" si="3"/>
        <v>26.71428571</v>
      </c>
      <c r="AD2" s="139">
        <f t="shared" si="3"/>
        <v>0.4137931034</v>
      </c>
      <c r="AE2" s="142" t="str">
        <f>Draft!E44</f>
        <v>Leo</v>
      </c>
      <c r="AF2" s="124">
        <f t="shared" ref="AF2:AN2" si="4">AF12</f>
        <v>7</v>
      </c>
      <c r="AG2" s="136">
        <f t="shared" si="4"/>
        <v>0.7142857143</v>
      </c>
      <c r="AH2" s="137">
        <f t="shared" si="4"/>
        <v>16.28571429</v>
      </c>
      <c r="AI2" s="137">
        <f t="shared" si="4"/>
        <v>5</v>
      </c>
      <c r="AJ2" s="137">
        <f t="shared" si="4"/>
        <v>1.714285714</v>
      </c>
      <c r="AK2" s="137">
        <f t="shared" si="4"/>
        <v>8.714285714</v>
      </c>
      <c r="AL2" s="137">
        <f t="shared" si="4"/>
        <v>0.8571428571</v>
      </c>
      <c r="AM2" s="138">
        <f t="shared" si="4"/>
        <v>28.71428571</v>
      </c>
      <c r="AN2" s="139">
        <f t="shared" si="4"/>
        <v>0.3619047619</v>
      </c>
      <c r="AO2" s="143" t="str">
        <f>Draft!F44</f>
        <v>Maas</v>
      </c>
      <c r="AP2" s="124">
        <f t="shared" ref="AP2:AX2" si="5">AP12</f>
        <v>5</v>
      </c>
      <c r="AQ2" s="136">
        <f t="shared" si="5"/>
        <v>0.2</v>
      </c>
      <c r="AR2" s="137">
        <f t="shared" si="5"/>
        <v>17.4</v>
      </c>
      <c r="AS2" s="137">
        <f t="shared" si="5"/>
        <v>5</v>
      </c>
      <c r="AT2" s="137">
        <f t="shared" si="5"/>
        <v>2</v>
      </c>
      <c r="AU2" s="137">
        <f t="shared" si="5"/>
        <v>7.6</v>
      </c>
      <c r="AV2" s="137">
        <f t="shared" si="5"/>
        <v>2.8</v>
      </c>
      <c r="AW2" s="138">
        <f t="shared" si="5"/>
        <v>28.4</v>
      </c>
      <c r="AX2" s="139">
        <f t="shared" si="5"/>
        <v>0.3799126638</v>
      </c>
      <c r="AY2" s="144" t="str">
        <f>Draft!G44</f>
        <v>BXu</v>
      </c>
      <c r="AZ2" s="124">
        <f t="shared" ref="AZ2:BH2" si="6">AZ12</f>
        <v>6</v>
      </c>
      <c r="BA2" s="136">
        <f t="shared" si="6"/>
        <v>0.6666666667</v>
      </c>
      <c r="BB2" s="137">
        <f t="shared" si="6"/>
        <v>15.5</v>
      </c>
      <c r="BC2" s="137">
        <f t="shared" si="6"/>
        <v>5.166666667</v>
      </c>
      <c r="BD2" s="137">
        <f t="shared" si="6"/>
        <v>1.666666667</v>
      </c>
      <c r="BE2" s="137">
        <f t="shared" si="6"/>
        <v>6.833333333</v>
      </c>
      <c r="BF2" s="137">
        <f t="shared" si="6"/>
        <v>1.833333333</v>
      </c>
      <c r="BG2" s="138">
        <f t="shared" si="6"/>
        <v>27.33333333</v>
      </c>
      <c r="BH2" s="139">
        <f t="shared" si="6"/>
        <v>0.3618677043</v>
      </c>
      <c r="BI2" s="7"/>
      <c r="BJ2" s="7"/>
      <c r="BK2" s="7"/>
      <c r="BL2" s="7"/>
    </row>
    <row r="3">
      <c r="A3" s="145" t="s">
        <v>133</v>
      </c>
      <c r="B3" s="4" t="str">
        <f t="shared" ref="B3:B11" si="7">if(I3&gt;0, "Yes", "")</f>
        <v>Yes</v>
      </c>
      <c r="C3" s="4" t="str">
        <f>if(B3="Yes", vlookup(A$1, 'Week 1'!$A$1:$H$119, 5, False), "")</f>
        <v>Loss</v>
      </c>
      <c r="D3" s="146">
        <f>vlookup(A2, 'Week 1'!$A$2:$H$119, 3, False)</f>
        <v>21</v>
      </c>
      <c r="E3" s="147">
        <f>vlookup(A2, 'Week 1'!$A$2:$H$119, 6, False)</f>
        <v>7</v>
      </c>
      <c r="F3" s="147">
        <f>vlookup(A2, 'Week 1'!$A$2:$H$119, 7, False)</f>
        <v>0</v>
      </c>
      <c r="G3" s="147">
        <f>vlookup(A2, 'Week 1'!$A$2:$H$119, 4, False)</f>
        <v>13</v>
      </c>
      <c r="H3" s="147">
        <f>vlookup(A2, 'Week 1'!$A$2:$H$119, 5, False)</f>
        <v>1</v>
      </c>
      <c r="I3" s="147">
        <f>vlookup(A2, 'Week 1'!$A$2:$H$119, 8, False)</f>
        <v>26</v>
      </c>
      <c r="J3" s="148">
        <f t="shared" ref="J3:J9" si="8">if(D3&gt;0, (D3/(D3+I3)), "")</f>
        <v>0.4468085106</v>
      </c>
      <c r="K3" s="145" t="s">
        <v>133</v>
      </c>
      <c r="L3" s="4" t="str">
        <f t="shared" ref="L3:L11" si="9">if(S3&gt;0, "Yes", "")</f>
        <v>Yes</v>
      </c>
      <c r="M3" s="4" t="str">
        <f>if(L3="Yes", vlookup(K$1, 'Week 1'!$A$1:$H$119, 5, False), "")</f>
        <v>Win</v>
      </c>
      <c r="N3" s="146">
        <f>vlookup(K2, 'Week 1'!$A$2:$H$119, 3, False)</f>
        <v>14</v>
      </c>
      <c r="O3" s="147">
        <f>vlookup(K2, 'Week 1'!$A$2:$H$119, 6, False)</f>
        <v>6</v>
      </c>
      <c r="P3" s="147">
        <f>vlookup(K2, 'Week 1'!$A$2:$H$119, 7, False)</f>
        <v>2</v>
      </c>
      <c r="Q3" s="147">
        <f>vlookup(K2, 'Week 1'!$A$2:$H$119, 4, False)</f>
        <v>6</v>
      </c>
      <c r="R3" s="147">
        <f>vlookup(K2, 'Week 1'!$A$2:$H$119, 5, False)</f>
        <v>0</v>
      </c>
      <c r="S3" s="147">
        <f>vlookup(K2, 'Week 1'!$A$2:$H$119, 8, False)</f>
        <v>27</v>
      </c>
      <c r="T3" s="148">
        <f t="shared" ref="T3:T9" si="10">if(N3&gt;0, (N3/(N3+S3)), "")</f>
        <v>0.3414634146</v>
      </c>
      <c r="U3" s="145" t="s">
        <v>133</v>
      </c>
      <c r="V3" s="4" t="str">
        <f t="shared" ref="V3:V11" si="11">if(AC3&gt;0, "Yes", "")</f>
        <v>Yes</v>
      </c>
      <c r="W3" s="4" t="str">
        <f>if(V3="Yes", vlookup(U$1, 'Week 1'!$A$1:$H$119, 5, False), "")</f>
        <v>Loss</v>
      </c>
      <c r="X3" s="146">
        <f>vlookup(U2, 'Week 1'!$A$2:$H$119, 3, False)</f>
        <v>17</v>
      </c>
      <c r="Y3" s="147">
        <f>vlookup(U2, 'Week 1'!$A$2:$H$119, 6, False)</f>
        <v>5</v>
      </c>
      <c r="Z3" s="147">
        <f>vlookup(U2, 'Week 1'!$A$2:$H$119, 7, False)</f>
        <v>2</v>
      </c>
      <c r="AA3" s="147">
        <f>vlookup(U2, 'Week 1'!$A$2:$H$119, 4, False)</f>
        <v>9</v>
      </c>
      <c r="AB3" s="147">
        <f>vlookup(U2, 'Week 1'!$A$2:$H$119, 5, False)</f>
        <v>1</v>
      </c>
      <c r="AC3" s="147">
        <f>vlookup(U2, 'Week 1'!$A$2:$H$119, 8, False)</f>
        <v>24</v>
      </c>
      <c r="AD3" s="148">
        <f t="shared" ref="AD3:AD9" si="12">if(X3&gt;0, (X3/(X3+AC3)), "")</f>
        <v>0.4146341463</v>
      </c>
      <c r="AE3" s="145" t="s">
        <v>133</v>
      </c>
      <c r="AF3" s="4" t="str">
        <f t="shared" ref="AF3:AF11" si="13">if(AM3&gt;0, "Yes", "")</f>
        <v>Yes</v>
      </c>
      <c r="AG3" s="4" t="str">
        <f>if(AF3="Yes", vlookup(AE$1, 'Week 1'!$A$1:$H$119, 5, False), "")</f>
        <v>Win</v>
      </c>
      <c r="AH3" s="146">
        <f>vlookup(AE2, 'Week 1'!$A$2:$H$119, 3, False)</f>
        <v>15</v>
      </c>
      <c r="AI3" s="147">
        <f>vlookup(AE2, 'Week 1'!$A$2:$H$119, 6, False)</f>
        <v>2</v>
      </c>
      <c r="AJ3" s="147">
        <f>vlookup(AE2, 'Week 1'!$A$2:$H$119, 7, False)</f>
        <v>3</v>
      </c>
      <c r="AK3" s="147">
        <f>vlookup(AE2, 'Week 1'!$A$2:$H$119, 4, False)</f>
        <v>9</v>
      </c>
      <c r="AL3" s="147">
        <f>vlookup(AE2, 'Week 1'!$A$2:$H$119, 5, False)</f>
        <v>1</v>
      </c>
      <c r="AM3" s="147">
        <f>vlookup(AE2, 'Week 1'!$A$2:$H$119, 8, False)</f>
        <v>37</v>
      </c>
      <c r="AN3" s="148">
        <f t="shared" ref="AN3:AN9" si="14">if(AH3&gt;0, (AH3/(AH3+AM3)), "")</f>
        <v>0.2884615385</v>
      </c>
      <c r="AO3" s="145" t="s">
        <v>133</v>
      </c>
      <c r="AP3" s="4" t="str">
        <f t="shared" ref="AP3:AP11" si="15">if(AW3&gt;0, "Yes", "")</f>
        <v>Yes</v>
      </c>
      <c r="AQ3" s="4" t="str">
        <f>if(AP3="Yes", vlookup(AO$1, 'Week 1'!$A$1:$H$119, 5, False), "")</f>
        <v>Loss</v>
      </c>
      <c r="AR3" s="146">
        <f>vlookup(AO2, 'Week 1'!$A$2:$H$119, 3, False)</f>
        <v>14</v>
      </c>
      <c r="AS3" s="147">
        <f>vlookup(AO2, 'Week 1'!$A$2:$H$119, 6, False)</f>
        <v>4</v>
      </c>
      <c r="AT3" s="147">
        <f>vlookup(AO2, 'Week 1'!$A$2:$H$119, 7, False)</f>
        <v>0</v>
      </c>
      <c r="AU3" s="147">
        <f>vlookup(AO2, 'Week 1'!$A$2:$H$119, 4, False)</f>
        <v>6</v>
      </c>
      <c r="AV3" s="147">
        <f>vlookup(AO2, 'Week 1'!$A$2:$H$119, 5, False)</f>
        <v>4</v>
      </c>
      <c r="AW3" s="147">
        <f>vlookup(AO2, 'Week 1'!$A$2:$H$119, 8, False)</f>
        <v>34</v>
      </c>
      <c r="AX3" s="148">
        <f t="shared" ref="AX3:AX9" si="16">if(AR3&gt;0, (AR3/(AR3+AW3)), "")</f>
        <v>0.2916666667</v>
      </c>
      <c r="AY3" s="145" t="s">
        <v>133</v>
      </c>
      <c r="AZ3" s="4" t="str">
        <f t="shared" ref="AZ3:AZ11" si="17">if(BG3&gt;0, "Yes", "")</f>
        <v>Yes</v>
      </c>
      <c r="BA3" s="4" t="str">
        <f>if(AZ3="Yes", vlookup(AY$1, 'Week 1'!$A$1:$H$119, 5, False), "")</f>
        <v>Win</v>
      </c>
      <c r="BB3" s="146">
        <f>vlookup(AY2, 'Week 1'!$A$2:$H$119, 3, False)</f>
        <v>19</v>
      </c>
      <c r="BC3" s="147">
        <f>vlookup(AY2, 'Week 1'!$A$2:$H$119, 6, False)</f>
        <v>3</v>
      </c>
      <c r="BD3" s="147">
        <f>vlookup(AY2, 'Week 1'!$A$2:$H$119, 7, False)</f>
        <v>1</v>
      </c>
      <c r="BE3" s="147">
        <f>vlookup(AY2, 'Week 1'!$A$2:$H$119, 4, False)</f>
        <v>13</v>
      </c>
      <c r="BF3" s="147">
        <f>vlookup(AY2, 'Week 1'!$A$2:$H$119, 5, False)</f>
        <v>2</v>
      </c>
      <c r="BG3" s="147">
        <f>vlookup(AY2, 'Week 1'!$A$2:$H$119, 8, False)</f>
        <v>26</v>
      </c>
      <c r="BH3" s="148">
        <f t="shared" ref="BH3:BH9" si="18">if(BB3&gt;0, (BB3/(BB3+BG3)), "")</f>
        <v>0.4222222222</v>
      </c>
      <c r="BI3" s="7"/>
      <c r="BJ3" s="7"/>
      <c r="BK3" s="7"/>
      <c r="BL3" s="7"/>
    </row>
    <row r="4">
      <c r="A4" s="145" t="s">
        <v>135</v>
      </c>
      <c r="B4" s="4" t="str">
        <f t="shared" si="7"/>
        <v>Yes</v>
      </c>
      <c r="C4" s="4" t="str">
        <f>if(B4="Yes", vlookup(A$1, 'Week 2'!$A$1:$H$119, 5, False), "")</f>
        <v>Loss</v>
      </c>
      <c r="D4" s="146">
        <f>vlookup(A2, 'Week 2'!$A$2:$H$119, 3, False)</f>
        <v>17</v>
      </c>
      <c r="E4" s="146">
        <f>vlookup(A2, 'Week 2'!$A$2:$H$119, 6, False)</f>
        <v>8</v>
      </c>
      <c r="F4" s="146">
        <f>vlookup(A2, 'Week 2'!$A$2:$H$119, 7, False)</f>
        <v>2</v>
      </c>
      <c r="G4" s="146">
        <f>vlookup(A2, 'Week 2'!$A$2:$H$119, 4, False)</f>
        <v>7</v>
      </c>
      <c r="H4" s="146">
        <f>vlookup(A2, 'Week 2'!$A$2:$H$119, 5, False)</f>
        <v>0</v>
      </c>
      <c r="I4" s="146">
        <f>vlookup(A2, 'Week 2'!$A$2:$H$119, 8, False)</f>
        <v>27</v>
      </c>
      <c r="J4" s="148">
        <f t="shared" si="8"/>
        <v>0.3863636364</v>
      </c>
      <c r="K4" s="145" t="s">
        <v>135</v>
      </c>
      <c r="L4" s="4" t="str">
        <f t="shared" si="9"/>
        <v>Yes</v>
      </c>
      <c r="M4" s="4" t="str">
        <f>if(L4="Yes", vlookup(K$1, 'Week 2'!$A$1:$H$119, 5, False), "")</f>
        <v>Loss</v>
      </c>
      <c r="N4" s="146">
        <f>vlookup(K2, 'Week 2'!$A$2:$H$119, 3, False)</f>
        <v>10</v>
      </c>
      <c r="O4" s="146">
        <f>vlookup(K2, 'Week 2'!$A$2:$H$119, 6, False)</f>
        <v>7</v>
      </c>
      <c r="P4" s="146">
        <f>vlookup(K2, 'Week 2'!$A$2:$H$119, 7, False)</f>
        <v>1</v>
      </c>
      <c r="Q4" s="146">
        <f>vlookup(K2, 'Week 2'!$A$2:$H$119, 4, False)</f>
        <v>2</v>
      </c>
      <c r="R4" s="146">
        <f>vlookup(K2, 'Week 2'!$A$2:$H$119, 5, False)</f>
        <v>0</v>
      </c>
      <c r="S4" s="146">
        <f>vlookup(K2, 'Week 2'!$A$2:$H$119, 8, False)</f>
        <v>20</v>
      </c>
      <c r="T4" s="148">
        <f t="shared" si="10"/>
        <v>0.3333333333</v>
      </c>
      <c r="U4" s="145" t="s">
        <v>135</v>
      </c>
      <c r="V4" s="4" t="str">
        <f t="shared" si="11"/>
        <v>Yes</v>
      </c>
      <c r="W4" s="4" t="str">
        <f>if(V4="Yes", vlookup(U$1, 'Week 2'!$A$1:$H$119, 5, False), "")</f>
        <v>Loss</v>
      </c>
      <c r="X4" s="146">
        <f>vlookup(U2, 'Week 2'!$A$2:$H$119, 3, False)</f>
        <v>23</v>
      </c>
      <c r="Y4" s="146">
        <f>vlookup(U2, 'Week 2'!$A$2:$H$119, 6, False)</f>
        <v>12</v>
      </c>
      <c r="Z4" s="146">
        <f>vlookup(U2, 'Week 2'!$A$2:$H$119, 7, False)</f>
        <v>1</v>
      </c>
      <c r="AA4" s="146">
        <f>vlookup(U2, 'Week 2'!$A$2:$H$119, 4, False)</f>
        <v>5</v>
      </c>
      <c r="AB4" s="146">
        <f>vlookup(U2, 'Week 2'!$A$2:$H$119, 5, False)</f>
        <v>5</v>
      </c>
      <c r="AC4" s="146">
        <f>vlookup(U2, 'Week 2'!$A$2:$H$119, 8, False)</f>
        <v>28</v>
      </c>
      <c r="AD4" s="148">
        <f t="shared" si="12"/>
        <v>0.4509803922</v>
      </c>
      <c r="AE4" s="145" t="s">
        <v>135</v>
      </c>
      <c r="AF4" s="4" t="str">
        <f t="shared" si="13"/>
        <v>Yes</v>
      </c>
      <c r="AG4" s="4" t="str">
        <f>if(AF4="Yes", vlookup(AE$1, 'Week 2'!$A$1:$H$119, 5, False), "")</f>
        <v>Win</v>
      </c>
      <c r="AH4" s="146">
        <f>vlookup(AE2, 'Week 2'!$A$2:$H$119, 3, False)</f>
        <v>13</v>
      </c>
      <c r="AI4" s="146">
        <f>vlookup(AE2, 'Week 2'!$A$2:$H$119, 6, False)</f>
        <v>5</v>
      </c>
      <c r="AJ4" s="146">
        <f>vlookup(AE2, 'Week 2'!$A$2:$H$119, 7, False)</f>
        <v>3</v>
      </c>
      <c r="AK4" s="146">
        <f>vlookup(AE2, 'Week 2'!$A$2:$H$119, 4, False)</f>
        <v>5</v>
      </c>
      <c r="AL4" s="146">
        <f>vlookup(AE2, 'Week 2'!$A$2:$H$119, 5, False)</f>
        <v>0</v>
      </c>
      <c r="AM4" s="146">
        <f>vlookup(AE2, 'Week 2'!$A$2:$H$119, 8, False)</f>
        <v>21</v>
      </c>
      <c r="AN4" s="148">
        <f t="shared" si="14"/>
        <v>0.3823529412</v>
      </c>
      <c r="AO4" s="145" t="s">
        <v>135</v>
      </c>
      <c r="AP4" s="4" t="str">
        <f t="shared" si="15"/>
        <v>Yes</v>
      </c>
      <c r="AQ4" s="4" t="str">
        <f>if(AP4="Yes", vlookup(AO$1, 'Week 2'!$A$1:$H$119, 5, False), "")</f>
        <v>Loss</v>
      </c>
      <c r="AR4" s="146">
        <f>vlookup(AO2, 'Week 2'!$A$2:$H$119, 3, False)</f>
        <v>27</v>
      </c>
      <c r="AS4" s="146">
        <f>vlookup(AO2, 'Week 2'!$A$2:$H$119, 6, False)</f>
        <v>7</v>
      </c>
      <c r="AT4" s="146">
        <f>vlookup(AO2, 'Week 2'!$A$2:$H$119, 7, False)</f>
        <v>3</v>
      </c>
      <c r="AU4" s="146">
        <f>vlookup(AO2, 'Week 2'!$A$2:$H$119, 4, False)</f>
        <v>12</v>
      </c>
      <c r="AV4" s="146">
        <f>vlookup(AO2, 'Week 2'!$A$2:$H$119, 5, False)</f>
        <v>5</v>
      </c>
      <c r="AW4" s="146">
        <f>vlookup(AO2, 'Week 2'!$A$2:$H$119, 8, False)</f>
        <v>28</v>
      </c>
      <c r="AX4" s="148">
        <f t="shared" si="16"/>
        <v>0.4909090909</v>
      </c>
      <c r="AY4" s="145" t="s">
        <v>135</v>
      </c>
      <c r="AZ4" s="4" t="str">
        <f t="shared" si="17"/>
        <v>Yes</v>
      </c>
      <c r="BA4" s="4" t="str">
        <f>if(AZ4="Yes", vlookup(AY$1, 'Week 2'!$A$1:$H$119, 5, False), "")</f>
        <v>Win</v>
      </c>
      <c r="BB4" s="146">
        <f>vlookup(AY2, 'Week 2'!$A$2:$H$119, 3, False)</f>
        <v>16</v>
      </c>
      <c r="BC4" s="146">
        <f>vlookup(AY2, 'Week 2'!$A$2:$H$119, 6, False)</f>
        <v>6</v>
      </c>
      <c r="BD4" s="146">
        <f>vlookup(AY2, 'Week 2'!$A$2:$H$119, 7, False)</f>
        <v>2</v>
      </c>
      <c r="BE4" s="146">
        <f>vlookup(AY2, 'Week 2'!$A$2:$H$119, 4, False)</f>
        <v>5</v>
      </c>
      <c r="BF4" s="146">
        <f>vlookup(AY2, 'Week 2'!$A$2:$H$119, 5, False)</f>
        <v>3</v>
      </c>
      <c r="BG4" s="146">
        <f>vlookup(AY2, 'Week 2'!$A$2:$H$119, 8, False)</f>
        <v>31</v>
      </c>
      <c r="BH4" s="148">
        <f t="shared" si="18"/>
        <v>0.3404255319</v>
      </c>
      <c r="BI4" s="7"/>
      <c r="BJ4" s="7"/>
      <c r="BK4" s="7"/>
      <c r="BL4" s="7"/>
    </row>
    <row r="5">
      <c r="A5" s="145" t="s">
        <v>140</v>
      </c>
      <c r="B5" s="4" t="str">
        <f t="shared" si="7"/>
        <v>Yes</v>
      </c>
      <c r="C5" s="4" t="str">
        <f>if(B5="Yes", vlookup(A$1, 'Week 3'!$A$1:$H$119, 5, False), "")</f>
        <v>Win</v>
      </c>
      <c r="D5" s="146">
        <f>vlookup(A2, 'Week 3'!$A$2:$H$119, 3, False)</f>
        <v>11</v>
      </c>
      <c r="E5" s="146">
        <f>vlookup(A2, 'Week 3'!$A$2:$H$119, 6, False)</f>
        <v>4</v>
      </c>
      <c r="F5" s="146">
        <f>vlookup(A2, 'Week 3'!$A$2:$H$119, 7, False)</f>
        <v>1</v>
      </c>
      <c r="G5" s="146">
        <f>vlookup(A2, 'Week 3'!$A$2:$H$119, 4, False)</f>
        <v>5</v>
      </c>
      <c r="H5" s="146">
        <f>vlookup(A2, 'Week 3'!$A$2:$H$119, 5, False)</f>
        <v>1</v>
      </c>
      <c r="I5" s="146">
        <f>vlookup(A2, 'Week 3'!$A$2:$H$119, 8, False)</f>
        <v>25</v>
      </c>
      <c r="J5" s="148">
        <f t="shared" si="8"/>
        <v>0.3055555556</v>
      </c>
      <c r="K5" s="145" t="s">
        <v>140</v>
      </c>
      <c r="L5" s="4" t="str">
        <f t="shared" si="9"/>
        <v>Yes</v>
      </c>
      <c r="M5" s="4" t="str">
        <f>if(L5="Yes", vlookup(K$1, 'Week 3'!$A$1:$H$119, 5, False), "")</f>
        <v>Win</v>
      </c>
      <c r="N5" s="146">
        <f>vlookup(K2, 'Week 3'!$A$2:$H$119, 3, False)</f>
        <v>24</v>
      </c>
      <c r="O5" s="146">
        <f>vlookup(K2, 'Week 3'!$A$2:$H$119, 6, False)</f>
        <v>16</v>
      </c>
      <c r="P5" s="146">
        <f>vlookup(K2, 'Week 3'!$A$2:$H$119, 7, False)</f>
        <v>3</v>
      </c>
      <c r="Q5" s="146">
        <f>vlookup(K2, 'Week 3'!$A$2:$H$119, 4, False)</f>
        <v>4</v>
      </c>
      <c r="R5" s="146">
        <f>vlookup(K2, 'Week 3'!$A$2:$H$119, 5, False)</f>
        <v>1</v>
      </c>
      <c r="S5" s="146">
        <f>vlookup(K2, 'Week 3'!$A$2:$H$119, 8, False)</f>
        <v>18</v>
      </c>
      <c r="T5" s="148">
        <f t="shared" si="10"/>
        <v>0.5714285714</v>
      </c>
      <c r="U5" s="145" t="s">
        <v>140</v>
      </c>
      <c r="V5" s="4" t="str">
        <f t="shared" si="11"/>
        <v>Yes</v>
      </c>
      <c r="W5" s="4" t="str">
        <f>if(V5="Yes", vlookup(U$1, 'Week 3'!$A$1:$H$119, 5, False), "")</f>
        <v>Loss</v>
      </c>
      <c r="X5" s="146">
        <f>vlookup(U2, 'Week 3'!$A$2:$H$119, 3, False)</f>
        <v>18</v>
      </c>
      <c r="Y5" s="146">
        <f>vlookup(U2, 'Week 3'!$A$2:$H$119, 6, False)</f>
        <v>6</v>
      </c>
      <c r="Z5" s="146">
        <f>vlookup(U2, 'Week 3'!$A$2:$H$119, 7, False)</f>
        <v>3</v>
      </c>
      <c r="AA5" s="146">
        <f>vlookup(U2, 'Week 3'!$A$2:$H$119, 4, False)</f>
        <v>8</v>
      </c>
      <c r="AB5" s="146">
        <f>vlookup(U2, 'Week 3'!$A$2:$H$119, 5, False)</f>
        <v>1</v>
      </c>
      <c r="AC5" s="146">
        <f>vlookup(U2, 'Week 3'!$A$2:$H$119, 8, False)</f>
        <v>26</v>
      </c>
      <c r="AD5" s="148">
        <f t="shared" si="12"/>
        <v>0.4090909091</v>
      </c>
      <c r="AE5" s="145" t="s">
        <v>140</v>
      </c>
      <c r="AF5" s="4" t="str">
        <f t="shared" si="13"/>
        <v>Yes</v>
      </c>
      <c r="AG5" s="4" t="str">
        <f>if(AF5="Yes", vlookup(AE$1, 'Week 3'!$A$1:$H$119, 5, False), "")</f>
        <v>Loss</v>
      </c>
      <c r="AH5" s="146">
        <f>vlookup(AE2, 'Week 3'!$A$2:$H$119, 3, False)</f>
        <v>12</v>
      </c>
      <c r="AI5" s="146">
        <f>vlookup(AE2, 'Week 3'!$A$2:$H$119, 6, False)</f>
        <v>5</v>
      </c>
      <c r="AJ5" s="146">
        <f>vlookup(AE2, 'Week 3'!$A$2:$H$119, 7, False)</f>
        <v>0</v>
      </c>
      <c r="AK5" s="146">
        <f>vlookup(AE2, 'Week 3'!$A$2:$H$119, 4, False)</f>
        <v>6</v>
      </c>
      <c r="AL5" s="146">
        <f>vlookup(AE2, 'Week 3'!$A$2:$H$119, 5, False)</f>
        <v>1</v>
      </c>
      <c r="AM5" s="146">
        <f>vlookup(AE2, 'Week 3'!$A$2:$H$119, 8, False)</f>
        <v>25</v>
      </c>
      <c r="AN5" s="148">
        <f t="shared" si="14"/>
        <v>0.3243243243</v>
      </c>
      <c r="AO5" s="145" t="s">
        <v>140</v>
      </c>
      <c r="AP5" s="4" t="str">
        <f t="shared" si="15"/>
        <v>Yes</v>
      </c>
      <c r="AQ5" s="4" t="str">
        <f>if(AP5="Yes", vlookup(AO$1, 'Week 3'!$A$1:$H$119, 5, False), "")</f>
        <v>Loss</v>
      </c>
      <c r="AR5" s="146">
        <f>vlookup(AO2, 'Week 3'!$A$2:$H$119, 3, False)</f>
        <v>12</v>
      </c>
      <c r="AS5" s="146">
        <f>vlookup(AO2, 'Week 3'!$A$2:$H$119, 6, False)</f>
        <v>2</v>
      </c>
      <c r="AT5" s="146">
        <f>vlookup(AO2, 'Week 3'!$A$2:$H$119, 7, False)</f>
        <v>0</v>
      </c>
      <c r="AU5" s="146">
        <f>vlookup(AO2, 'Week 3'!$A$2:$H$119, 4, False)</f>
        <v>9</v>
      </c>
      <c r="AV5" s="146">
        <f>vlookup(AO2, 'Week 3'!$A$2:$H$119, 5, False)</f>
        <v>1</v>
      </c>
      <c r="AW5" s="146">
        <f>vlookup(AO2, 'Week 3'!$A$2:$H$119, 8, False)</f>
        <v>23</v>
      </c>
      <c r="AX5" s="148">
        <f t="shared" si="16"/>
        <v>0.3428571429</v>
      </c>
      <c r="AY5" s="145" t="s">
        <v>140</v>
      </c>
      <c r="AZ5" s="4" t="str">
        <f t="shared" si="17"/>
        <v>Yes</v>
      </c>
      <c r="BA5" s="4" t="str">
        <f>if(AZ5="Yes", vlookup(AY$1, 'Week 3'!$A$1:$H$119, 5, False), "")</f>
        <v>Win</v>
      </c>
      <c r="BB5" s="146">
        <f>vlookup(AY2, 'Week 3'!$A$2:$H$119, 3, False)</f>
        <v>18</v>
      </c>
      <c r="BC5" s="146">
        <f>vlookup(AY2, 'Week 3'!$A$2:$H$119, 6, False)</f>
        <v>8</v>
      </c>
      <c r="BD5" s="146">
        <f>vlookup(AY2, 'Week 3'!$A$2:$H$119, 7, False)</f>
        <v>2</v>
      </c>
      <c r="BE5" s="146">
        <f>vlookup(AY2, 'Week 3'!$A$2:$H$119, 4, False)</f>
        <v>6</v>
      </c>
      <c r="BF5" s="146">
        <f>vlookup(AY2, 'Week 3'!$A$2:$H$119, 5, False)</f>
        <v>2</v>
      </c>
      <c r="BG5" s="146">
        <f>vlookup(AY2, 'Week 3'!$A$2:$H$119, 8, False)</f>
        <v>24</v>
      </c>
      <c r="BH5" s="148">
        <f t="shared" si="18"/>
        <v>0.4285714286</v>
      </c>
      <c r="BI5" s="7"/>
      <c r="BJ5" s="7"/>
      <c r="BK5" s="7"/>
      <c r="BL5" s="7"/>
    </row>
    <row r="6">
      <c r="A6" s="145" t="s">
        <v>144</v>
      </c>
      <c r="B6" s="4" t="str">
        <f t="shared" si="7"/>
        <v>Yes</v>
      </c>
      <c r="C6" s="4" t="str">
        <f>if(B6="Yes", vlookup(A$1, 'Week 4'!$A$1:$H$119, 5, False), "")</f>
        <v>Win</v>
      </c>
      <c r="D6" s="146">
        <f>vlookup(A2, 'Week 4'!$A$2:$H$119, 3, False)</f>
        <v>11</v>
      </c>
      <c r="E6" s="146">
        <f>vlookup(A2, 'Week 4'!$A$2:$H$119, 6, False)</f>
        <v>6</v>
      </c>
      <c r="F6" s="146">
        <f>vlookup(A2, 'Week 4'!$A$2:$H$119, 7, False)</f>
        <v>1</v>
      </c>
      <c r="G6" s="146">
        <f>vlookup(A2, 'Week 4'!$A$2:$H$119, 4, False)</f>
        <v>3</v>
      </c>
      <c r="H6" s="146">
        <f>vlookup(A2, 'Week 4'!$A$2:$H$119, 5, False)</f>
        <v>1</v>
      </c>
      <c r="I6" s="146">
        <f>vlookup(A2, 'Week 4'!$A$2:$H$119, 8, False)</f>
        <v>29</v>
      </c>
      <c r="J6" s="148">
        <f t="shared" si="8"/>
        <v>0.275</v>
      </c>
      <c r="K6" s="145" t="s">
        <v>144</v>
      </c>
      <c r="L6" s="4" t="str">
        <f t="shared" si="9"/>
        <v>Yes</v>
      </c>
      <c r="M6" s="4" t="str">
        <f>if(L6="Yes", vlookup(K$1, 'Week 4'!$A$1:$H$119, 5, False), "")</f>
        <v>Win</v>
      </c>
      <c r="N6" s="146">
        <f>vlookup(K2, 'Week 4'!$A$2:$H$119, 3, False)</f>
        <v>22</v>
      </c>
      <c r="O6" s="146">
        <f>vlookup(K2, 'Week 4'!$A$2:$H$119, 6, False)</f>
        <v>10</v>
      </c>
      <c r="P6" s="146">
        <f>vlookup(K2, 'Week 4'!$A$2:$H$119, 7, False)</f>
        <v>1</v>
      </c>
      <c r="Q6" s="146">
        <f>vlookup(K2, 'Week 4'!$A$2:$H$119, 4, False)</f>
        <v>9</v>
      </c>
      <c r="R6" s="146">
        <f>vlookup(K2, 'Week 4'!$A$2:$H$119, 5, False)</f>
        <v>2</v>
      </c>
      <c r="S6" s="146">
        <f>vlookup(K2, 'Week 4'!$A$2:$H$119, 8, False)</f>
        <v>24</v>
      </c>
      <c r="T6" s="148">
        <f t="shared" si="10"/>
        <v>0.4782608696</v>
      </c>
      <c r="U6" s="145" t="s">
        <v>144</v>
      </c>
      <c r="V6" s="4" t="str">
        <f t="shared" si="11"/>
        <v>Yes</v>
      </c>
      <c r="W6" s="4" t="str">
        <f>if(V6="Yes", vlookup(U$1, 'Week 4'!$A$1:$H$119, 5, False), "")</f>
        <v>Loss</v>
      </c>
      <c r="X6" s="146">
        <f>vlookup(U2, 'Week 4'!$A$2:$H$119, 3, False)</f>
        <v>18</v>
      </c>
      <c r="Y6" s="146">
        <f>vlookup(U2, 'Week 4'!$A$2:$H$119, 6, False)</f>
        <v>7</v>
      </c>
      <c r="Z6" s="146">
        <f>vlookup(U2, 'Week 4'!$A$2:$H$119, 7, False)</f>
        <v>2</v>
      </c>
      <c r="AA6" s="146">
        <f>vlookup(U2, 'Week 4'!$A$2:$H$119, 4, False)</f>
        <v>5</v>
      </c>
      <c r="AB6" s="146">
        <f>vlookup(U2, 'Week 4'!$A$2:$H$119, 5, False)</f>
        <v>4</v>
      </c>
      <c r="AC6" s="146">
        <f>vlookup(U2, 'Week 4'!$A$2:$H$119, 8, False)</f>
        <v>26</v>
      </c>
      <c r="AD6" s="148">
        <f t="shared" si="12"/>
        <v>0.4090909091</v>
      </c>
      <c r="AE6" s="145" t="s">
        <v>144</v>
      </c>
      <c r="AF6" s="4" t="str">
        <f t="shared" si="13"/>
        <v>Yes</v>
      </c>
      <c r="AG6" s="4" t="str">
        <f>if(AF6="Yes", vlookup(AE$1, 'Week 4'!$A$1:$H$119, 5, False), "")</f>
        <v>Win</v>
      </c>
      <c r="AH6" s="146">
        <f>vlookup(AE2, 'Week 4'!$A$2:$H$119, 3, False)</f>
        <v>25</v>
      </c>
      <c r="AI6" s="146">
        <f>vlookup(AE2, 'Week 4'!$A$2:$H$119, 6, False)</f>
        <v>9</v>
      </c>
      <c r="AJ6" s="146">
        <f>vlookup(AE2, 'Week 4'!$A$2:$H$119, 7, False)</f>
        <v>3</v>
      </c>
      <c r="AK6" s="146">
        <f>vlookup(AE2, 'Week 4'!$A$2:$H$119, 4, False)</f>
        <v>12</v>
      </c>
      <c r="AL6" s="146">
        <f>vlookup(AE2, 'Week 4'!$A$2:$H$119, 5, False)</f>
        <v>1</v>
      </c>
      <c r="AM6" s="146">
        <f>vlookup(AE2, 'Week 4'!$A$2:$H$119, 8, False)</f>
        <v>26</v>
      </c>
      <c r="AN6" s="148">
        <f t="shared" si="14"/>
        <v>0.4901960784</v>
      </c>
      <c r="AO6" s="145" t="s">
        <v>144</v>
      </c>
      <c r="AP6" s="4" t="str">
        <f t="shared" si="15"/>
        <v/>
      </c>
      <c r="AQ6" s="4" t="str">
        <f>if(AP6="Yes", vlookup(AO$1, 'Week 4'!$A$1:$H$119, 5, False), "")</f>
        <v/>
      </c>
      <c r="AR6" s="146" t="str">
        <f>vlookup(AO2, 'Week 4'!$A$2:$H$119, 3, False)</f>
        <v/>
      </c>
      <c r="AS6" s="146" t="str">
        <f>vlookup(AO2, 'Week 4'!$A$2:$H$119, 6, False)</f>
        <v/>
      </c>
      <c r="AT6" s="146" t="str">
        <f>vlookup(AO2, 'Week 4'!$A$2:$H$119, 7, False)</f>
        <v/>
      </c>
      <c r="AU6" s="146" t="str">
        <f>vlookup(AO2, 'Week 4'!$A$2:$H$119, 4, False)</f>
        <v/>
      </c>
      <c r="AV6" s="146" t="str">
        <f>vlookup(AO2, 'Week 4'!$A$2:$H$119, 5, False)</f>
        <v/>
      </c>
      <c r="AW6" s="146" t="str">
        <f>vlookup(AO2, 'Week 4'!$A$2:$H$119, 8, False)</f>
        <v/>
      </c>
      <c r="AX6" s="148" t="str">
        <f t="shared" si="16"/>
        <v>#DIV/0!</v>
      </c>
      <c r="AY6" s="145" t="s">
        <v>144</v>
      </c>
      <c r="AZ6" s="4" t="str">
        <f t="shared" si="17"/>
        <v>Yes</v>
      </c>
      <c r="BA6" s="4" t="str">
        <f>if(AZ6="Yes", vlookup(AY$1, 'Week 4'!$A$1:$H$119, 5, False), "")</f>
        <v>Loss</v>
      </c>
      <c r="BB6" s="146">
        <f>vlookup(AY2, 'Week 4'!$A$2:$H$119, 3, False)</f>
        <v>16</v>
      </c>
      <c r="BC6" s="146">
        <f>vlookup(AY2, 'Week 4'!$A$2:$H$119, 6, False)</f>
        <v>7</v>
      </c>
      <c r="BD6" s="146">
        <f>vlookup(AY2, 'Week 4'!$A$2:$H$119, 7, False)</f>
        <v>0</v>
      </c>
      <c r="BE6" s="146">
        <f>vlookup(AY2, 'Week 4'!$A$2:$H$119, 4, False)</f>
        <v>7</v>
      </c>
      <c r="BF6" s="146">
        <f>vlookup(AY2, 'Week 4'!$A$2:$H$119, 5, False)</f>
        <v>2</v>
      </c>
      <c r="BG6" s="146">
        <f>vlookup(AY2, 'Week 4'!$A$2:$H$119, 8, False)</f>
        <v>26</v>
      </c>
      <c r="BH6" s="148">
        <f t="shared" si="18"/>
        <v>0.380952381</v>
      </c>
      <c r="BI6" s="7"/>
      <c r="BJ6" s="7"/>
      <c r="BK6" s="7"/>
      <c r="BL6" s="7"/>
    </row>
    <row r="7">
      <c r="A7" s="145" t="s">
        <v>146</v>
      </c>
      <c r="B7" s="4" t="str">
        <f t="shared" si="7"/>
        <v>Yes</v>
      </c>
      <c r="C7" s="4" t="str">
        <f>if(B7="Yes", vlookup(A$1, 'Week 5'!$A$1:$H$119, 5, False), "")</f>
        <v>Loss</v>
      </c>
      <c r="D7" s="146">
        <f>vlookup(A2, 'Week 5'!$A$2:$H$119, 3, False)</f>
        <v>15</v>
      </c>
      <c r="E7" s="146">
        <f>vlookup(A2, 'Week 5'!$A$2:$H$119, 6, False)</f>
        <v>5</v>
      </c>
      <c r="F7" s="146">
        <f>vlookup(A2, 'Week 5'!$A$2:$H$119, 7, False)</f>
        <v>1</v>
      </c>
      <c r="G7" s="146">
        <f>vlookup(A2, 'Week 5'!$A$2:$H$119, 4, False)</f>
        <v>8</v>
      </c>
      <c r="H7" s="146">
        <f>vlookup(A2, 'Week 5'!$A$2:$H$119, 5, False)</f>
        <v>1</v>
      </c>
      <c r="I7" s="146">
        <f>vlookup(A2, 'Week 5'!$A$2:$H$119, 8, False)</f>
        <v>28</v>
      </c>
      <c r="J7" s="148">
        <f t="shared" si="8"/>
        <v>0.3488372093</v>
      </c>
      <c r="K7" s="145" t="s">
        <v>146</v>
      </c>
      <c r="L7" s="4" t="str">
        <f t="shared" si="9"/>
        <v>Yes</v>
      </c>
      <c r="M7" s="4" t="str">
        <f>if(L7="Yes", vlookup(K$1, 'Week 5'!$A$1:$H$119, 5, False), "")</f>
        <v>Win</v>
      </c>
      <c r="N7" s="4">
        <f>vlookup(K2, 'Week 5'!$A$2:$H$119, 3, False)</f>
        <v>8</v>
      </c>
      <c r="O7" s="4">
        <f>vlookup(K2, 'Week 5'!$A$2:$H$119, 6, False)</f>
        <v>2</v>
      </c>
      <c r="P7" s="4">
        <f>vlookup(K2, 'Week 5'!$A$2:$H$119, 7, False)</f>
        <v>0</v>
      </c>
      <c r="Q7" s="4">
        <f>vlookup(K2, 'Week 5'!$A$2:$H$119, 4, False)</f>
        <v>6</v>
      </c>
      <c r="R7" s="4">
        <f>vlookup(K2, 'Week 5'!$A$2:$H$119, 5, False)</f>
        <v>0</v>
      </c>
      <c r="S7" s="4">
        <f>vlookup(K2, 'Week 5'!$A$2:$H$119, 8, False)</f>
        <v>22</v>
      </c>
      <c r="T7" s="148">
        <f t="shared" si="10"/>
        <v>0.2666666667</v>
      </c>
      <c r="U7" s="145" t="s">
        <v>146</v>
      </c>
      <c r="V7" s="4" t="str">
        <f t="shared" si="11"/>
        <v>Yes</v>
      </c>
      <c r="W7" s="4" t="str">
        <f>if(V7="Yes", vlookup(U$1, 'Week 5'!$A$1:$H$119, 5, False), "")</f>
        <v>Loss</v>
      </c>
      <c r="X7" s="146">
        <f>vlookup(U2, 'Week 5'!$A$2:$H$119, 3, False)</f>
        <v>17</v>
      </c>
      <c r="Y7" s="146">
        <f>vlookup(U2, 'Week 5'!$A$2:$H$119, 6, False)</f>
        <v>5</v>
      </c>
      <c r="Z7" s="146">
        <f>vlookup(U2, 'Week 5'!$A$2:$H$119, 7, False)</f>
        <v>1</v>
      </c>
      <c r="AA7" s="146">
        <f>vlookup(U2, 'Week 5'!$A$2:$H$119, 4, False)</f>
        <v>9</v>
      </c>
      <c r="AB7" s="146">
        <f>vlookup(U2, 'Week 5'!$A$2:$H$119, 5, False)</f>
        <v>2</v>
      </c>
      <c r="AC7" s="146">
        <f>vlookup(U2, 'Week 5'!$A$2:$H$119, 8, False)</f>
        <v>20</v>
      </c>
      <c r="AD7" s="148">
        <f t="shared" si="12"/>
        <v>0.4594594595</v>
      </c>
      <c r="AE7" s="145" t="s">
        <v>146</v>
      </c>
      <c r="AF7" s="4" t="str">
        <f t="shared" si="13"/>
        <v>Yes</v>
      </c>
      <c r="AG7" s="4" t="str">
        <f>if(AF7="Yes", vlookup(AE$1, 'Week 5'!$A$1:$H$119, 5, False), "")</f>
        <v>Win</v>
      </c>
      <c r="AH7" s="146">
        <f>vlookup(AE2, 'Week 5'!$A$2:$H$119, 3, False)</f>
        <v>16</v>
      </c>
      <c r="AI7" s="146">
        <f>vlookup(AE2, 'Week 5'!$A$2:$H$119, 6, False)</f>
        <v>7</v>
      </c>
      <c r="AJ7" s="146">
        <f>vlookup(AE2, 'Week 5'!$A$2:$H$119, 7, False)</f>
        <v>0</v>
      </c>
      <c r="AK7" s="146">
        <f>vlookup(AE2, 'Week 5'!$A$2:$H$119, 4, False)</f>
        <v>9</v>
      </c>
      <c r="AL7" s="146">
        <f>vlookup(AE2, 'Week 5'!$A$2:$H$119, 5, False)</f>
        <v>0</v>
      </c>
      <c r="AM7" s="146">
        <f>vlookup(AE2, 'Week 5'!$A$2:$H$119, 8, False)</f>
        <v>33</v>
      </c>
      <c r="AN7" s="148">
        <f t="shared" si="14"/>
        <v>0.3265306122</v>
      </c>
      <c r="AO7" s="145" t="s">
        <v>146</v>
      </c>
      <c r="AP7" s="4" t="str">
        <f t="shared" si="15"/>
        <v>Yes</v>
      </c>
      <c r="AQ7" s="4" t="str">
        <f>if(AP7="Yes", vlookup(AO$1, 'Week 5'!$A$1:$H$119, 5, False), "")</f>
        <v>Win</v>
      </c>
      <c r="AR7" s="146">
        <f>vlookup(AO2, 'Week 5'!$A$2:$H$119, 3, False)</f>
        <v>19</v>
      </c>
      <c r="AS7" s="146">
        <f>vlookup(AO2, 'Week 5'!$A$2:$H$119, 6, False)</f>
        <v>5</v>
      </c>
      <c r="AT7" s="146">
        <f>vlookup(AO2, 'Week 5'!$A$2:$H$119, 7, False)</f>
        <v>6</v>
      </c>
      <c r="AU7" s="146">
        <f>vlookup(AO2, 'Week 5'!$A$2:$H$119, 4, False)</f>
        <v>6</v>
      </c>
      <c r="AV7" s="146">
        <f>vlookup(AO2, 'Week 5'!$A$2:$H$119, 5, False)</f>
        <v>2</v>
      </c>
      <c r="AW7" s="146">
        <f>vlookup(AO2, 'Week 5'!$A$2:$H$119, 8, False)</f>
        <v>23</v>
      </c>
      <c r="AX7" s="148">
        <f t="shared" si="16"/>
        <v>0.4523809524</v>
      </c>
      <c r="AY7" s="145" t="s">
        <v>146</v>
      </c>
      <c r="AZ7" s="4" t="str">
        <f t="shared" si="17"/>
        <v>Yes</v>
      </c>
      <c r="BA7" s="4" t="str">
        <f>if(AZ7="Yes", vlookup(AY$1, 'Week 5'!$A$1:$H$119, 5, False), "")</f>
        <v>Loss</v>
      </c>
      <c r="BB7" s="146">
        <f>vlookup(AY2, 'Week 5'!$A$2:$H$119, 3, False)</f>
        <v>14</v>
      </c>
      <c r="BC7" s="146">
        <f>vlookup(AY2, 'Week 5'!$A$2:$H$119, 6, False)</f>
        <v>5</v>
      </c>
      <c r="BD7" s="146">
        <f>vlookup(AY2, 'Week 5'!$A$2:$H$119, 7, False)</f>
        <v>3</v>
      </c>
      <c r="BE7" s="146">
        <f>vlookup(AY2, 'Week 5'!$A$2:$H$119, 4, False)</f>
        <v>6</v>
      </c>
      <c r="BF7" s="146">
        <f>vlookup(AY2, 'Week 5'!$A$2:$H$119, 5, False)</f>
        <v>0</v>
      </c>
      <c r="BG7" s="146">
        <f>vlookup(AY2, 'Week 5'!$A$2:$H$119, 8, False)</f>
        <v>31</v>
      </c>
      <c r="BH7" s="148">
        <f t="shared" si="18"/>
        <v>0.3111111111</v>
      </c>
      <c r="BI7" s="7"/>
      <c r="BJ7" s="7"/>
      <c r="BK7" s="7"/>
      <c r="BL7" s="7"/>
    </row>
    <row r="8">
      <c r="A8" s="145" t="s">
        <v>148</v>
      </c>
      <c r="B8" s="4" t="str">
        <f t="shared" si="7"/>
        <v>Yes</v>
      </c>
      <c r="C8" s="4" t="str">
        <f>if(B8="Yes", vlookup(A$1, 'Week 6'!$A$1:$H$119, 5, False), "")</f>
        <v>Loss</v>
      </c>
      <c r="D8" s="146">
        <f>vlookup(A2, 'Week 6'!$A$2:$H$119, 3, False)</f>
        <v>10</v>
      </c>
      <c r="E8" s="146">
        <f>vlookup(A2, 'Week 6'!$A$2:$H$119, 6, False)</f>
        <v>4</v>
      </c>
      <c r="F8" s="146">
        <f>vlookup(A2, 'Week 6'!$A$2:$H$119, 7, False)</f>
        <v>0</v>
      </c>
      <c r="G8" s="146">
        <f>vlookup(A2, 'Week 6'!$A$2:$H$119, 4, False)</f>
        <v>6</v>
      </c>
      <c r="H8" s="146">
        <f>vlookup(A2, 'Week 6'!$A$2:$H$119, 5, False)</f>
        <v>0</v>
      </c>
      <c r="I8" s="146">
        <f>vlookup(A2, 'Week 6'!$A$2:$H$119, 8, False)</f>
        <v>24</v>
      </c>
      <c r="J8" s="148">
        <f t="shared" si="8"/>
        <v>0.2941176471</v>
      </c>
      <c r="K8" s="145" t="s">
        <v>148</v>
      </c>
      <c r="L8" s="4" t="str">
        <f t="shared" si="9"/>
        <v>Yes</v>
      </c>
      <c r="M8" s="4" t="str">
        <f>if(L8="Yes", vlookup(K$1, 'Week 6'!$A$1:$H$119, 5, False), "")</f>
        <v>Loss</v>
      </c>
      <c r="N8" s="146">
        <f>vlookup(K2, 'Week 6'!$A$2:$H$119, 3, False)</f>
        <v>16</v>
      </c>
      <c r="O8" s="146">
        <f>vlookup(K2, 'Week 6'!$A$2:$H$119, 6, False)</f>
        <v>8</v>
      </c>
      <c r="P8" s="146">
        <f>vlookup(K2, 'Week 6'!$A$2:$H$119, 7, False)</f>
        <v>1</v>
      </c>
      <c r="Q8" s="146">
        <f>vlookup(K2, 'Week 6'!$A$2:$H$119, 4, False)</f>
        <v>5</v>
      </c>
      <c r="R8" s="146">
        <f>vlookup(K2, 'Week 6'!$A$2:$H$119, 5, False)</f>
        <v>2</v>
      </c>
      <c r="S8" s="146">
        <f>vlookup(K2, 'Week 6'!$A$2:$H$119, 8, False)</f>
        <v>24</v>
      </c>
      <c r="T8" s="148">
        <f t="shared" si="10"/>
        <v>0.4</v>
      </c>
      <c r="U8" s="145" t="s">
        <v>148</v>
      </c>
      <c r="V8" s="4" t="str">
        <f t="shared" si="11"/>
        <v>Yes</v>
      </c>
      <c r="W8" s="4" t="str">
        <f>if(V8="Yes", vlookup(U$1, 'Week 6'!$A$1:$H$119, 5, False), "")</f>
        <v>Win</v>
      </c>
      <c r="X8" s="146">
        <f>vlookup(U2, 'Week 6'!$A$2:$H$119, 3, False)</f>
        <v>16</v>
      </c>
      <c r="Y8" s="146">
        <f>vlookup(U2, 'Week 6'!$A$2:$H$119, 6, False)</f>
        <v>5</v>
      </c>
      <c r="Z8" s="146">
        <f>vlookup(U2, 'Week 6'!$A$2:$H$119, 7, False)</f>
        <v>4</v>
      </c>
      <c r="AA8" s="146">
        <f>vlookup(U2, 'Week 6'!$A$2:$H$119, 4, False)</f>
        <v>4</v>
      </c>
      <c r="AB8" s="146">
        <f>vlookup(U2, 'Week 6'!$A$2:$H$119, 5, False)</f>
        <v>3</v>
      </c>
      <c r="AC8" s="146">
        <f>vlookup(U2, 'Week 6'!$A$2:$H$119, 8, False)</f>
        <v>33</v>
      </c>
      <c r="AD8" s="148">
        <f t="shared" si="12"/>
        <v>0.3265306122</v>
      </c>
      <c r="AE8" s="145" t="s">
        <v>148</v>
      </c>
      <c r="AF8" s="4" t="str">
        <f t="shared" si="13"/>
        <v>Yes</v>
      </c>
      <c r="AG8" s="4" t="str">
        <f>if(AF8="Yes", vlookup(AE$1, 'Week 6'!$A$1:$H$119, 5, False), "")</f>
        <v>Win</v>
      </c>
      <c r="AH8" s="146">
        <f>vlookup(AE2, 'Week 6'!$A$2:$H$119, 3, False)</f>
        <v>17</v>
      </c>
      <c r="AI8" s="146">
        <f>vlookup(AE2, 'Week 6'!$A$2:$H$119, 6, False)</f>
        <v>2</v>
      </c>
      <c r="AJ8" s="146">
        <f>vlookup(AE2, 'Week 6'!$A$2:$H$119, 7, False)</f>
        <v>1</v>
      </c>
      <c r="AK8" s="146">
        <f>vlookup(AE2, 'Week 6'!$A$2:$H$119, 4, False)</f>
        <v>13</v>
      </c>
      <c r="AL8" s="146">
        <f>vlookup(AE2, 'Week 6'!$A$2:$H$119, 5, False)</f>
        <v>1</v>
      </c>
      <c r="AM8" s="146">
        <f>vlookup(AE2, 'Week 6'!$A$2:$H$119, 8, False)</f>
        <v>25</v>
      </c>
      <c r="AN8" s="148">
        <f t="shared" si="14"/>
        <v>0.4047619048</v>
      </c>
      <c r="AO8" s="145" t="s">
        <v>148</v>
      </c>
      <c r="AP8" s="4" t="str">
        <f t="shared" si="15"/>
        <v>Yes</v>
      </c>
      <c r="AQ8" s="4" t="str">
        <f>if(AP8="Yes", vlookup(AO$1, 'Week 6'!$A$1:$H$119, 5, False), "")</f>
        <v>Loss</v>
      </c>
      <c r="AR8" s="146">
        <f>vlookup(AO2, 'Week 6'!$A$2:$H$119, 3, False)</f>
        <v>15</v>
      </c>
      <c r="AS8" s="146">
        <f>vlookup(AO2, 'Week 6'!$A$2:$H$119, 6, False)</f>
        <v>7</v>
      </c>
      <c r="AT8" s="146">
        <f>vlookup(AO2, 'Week 6'!$A$2:$H$119, 7, False)</f>
        <v>1</v>
      </c>
      <c r="AU8" s="146">
        <f>vlookup(AO2, 'Week 6'!$A$2:$H$119, 4, False)</f>
        <v>5</v>
      </c>
      <c r="AV8" s="146">
        <f>vlookup(AO2, 'Week 6'!$A$2:$H$119, 5, False)</f>
        <v>2</v>
      </c>
      <c r="AW8" s="146">
        <f>vlookup(AO2, 'Week 6'!$A$2:$H$119, 8, False)</f>
        <v>34</v>
      </c>
      <c r="AX8" s="148">
        <f t="shared" si="16"/>
        <v>0.306122449</v>
      </c>
      <c r="AY8" s="145" t="s">
        <v>148</v>
      </c>
      <c r="AZ8" s="4" t="str">
        <f t="shared" si="17"/>
        <v>Yes</v>
      </c>
      <c r="BA8" s="4" t="str">
        <f>if(AZ8="Yes", vlookup(AY$1, 'Week 6'!$A$1:$H$119, 5, False), "")</f>
        <v>Win</v>
      </c>
      <c r="BB8" s="146">
        <f>vlookup(AY2, 'Week 6'!$A$2:$H$119, 3, False)</f>
        <v>10</v>
      </c>
      <c r="BC8" s="146">
        <f>vlookup(AY2, 'Week 6'!$A$2:$H$119, 6, False)</f>
        <v>2</v>
      </c>
      <c r="BD8" s="146">
        <f>vlookup(AY2, 'Week 6'!$A$2:$H$119, 7, False)</f>
        <v>2</v>
      </c>
      <c r="BE8" s="146">
        <f>vlookup(AY2, 'Week 6'!$A$2:$H$119, 4, False)</f>
        <v>4</v>
      </c>
      <c r="BF8" s="146">
        <f>vlookup(AY2, 'Week 6'!$A$2:$H$119, 5, False)</f>
        <v>2</v>
      </c>
      <c r="BG8" s="146">
        <f>vlookup(AY2, 'Week 6'!$A$2:$H$119, 8, False)</f>
        <v>26</v>
      </c>
      <c r="BH8" s="148">
        <f t="shared" si="18"/>
        <v>0.2777777778</v>
      </c>
      <c r="BI8" s="7"/>
      <c r="BJ8" s="7"/>
      <c r="BK8" s="7"/>
      <c r="BL8" s="7"/>
    </row>
    <row r="9">
      <c r="A9" s="145" t="s">
        <v>154</v>
      </c>
      <c r="B9" s="4" t="str">
        <f t="shared" si="7"/>
        <v>Yes</v>
      </c>
      <c r="C9" s="4" t="str">
        <f>if(B9="Yes", vlookup(A$1, 'Week 7'!$A$1:$H$119, 5, False), "")</f>
        <v>Win</v>
      </c>
      <c r="D9" s="146">
        <f>vlookup(A2, 'Week 7'!$A$2:$H$119, 3, False)</f>
        <v>14</v>
      </c>
      <c r="E9" s="146">
        <f>vlookup(A2, 'Week 7'!$A$2:$H$119, 6, False)</f>
        <v>3</v>
      </c>
      <c r="F9" s="146">
        <f>vlookup(A2, 'Week 7'!$A$2:$H$119, 7, False)</f>
        <v>2</v>
      </c>
      <c r="G9" s="146">
        <f>vlookup(A2, 'Week 7'!$A$2:$H$119, 4, False)</f>
        <v>4</v>
      </c>
      <c r="H9" s="146">
        <f>vlookup(A2, 'Week 7'!$A$2:$H$119, 5, False)</f>
        <v>5</v>
      </c>
      <c r="I9" s="146">
        <f>vlookup(A2, 'Week 7'!$A$2:$H$119, 8, False)</f>
        <v>27</v>
      </c>
      <c r="J9" s="148">
        <f t="shared" si="8"/>
        <v>0.3414634146</v>
      </c>
      <c r="K9" s="145" t="s">
        <v>154</v>
      </c>
      <c r="L9" s="4" t="str">
        <f t="shared" si="9"/>
        <v>Yes</v>
      </c>
      <c r="M9" s="4" t="str">
        <f>if(L9="Yes", vlookup(K$1, 'Week 7'!$A$1:$H$119, 5, False), "")</f>
        <v>Loss</v>
      </c>
      <c r="N9" s="4">
        <f>vlookup(K2, 'Week 7'!$A$2:$H$119, 3, False)</f>
        <v>13</v>
      </c>
      <c r="O9" s="4">
        <f>vlookup(K2, 'Week 7'!$A$2:$H$119, 6, False)</f>
        <v>4</v>
      </c>
      <c r="P9" s="4">
        <f>vlookup(K2, 'Week 7'!$A$2:$H$119, 7, False)</f>
        <v>3</v>
      </c>
      <c r="Q9" s="4">
        <f>vlookup(K2, 'Week 7'!$A$2:$H$119, 4, False)</f>
        <v>5</v>
      </c>
      <c r="R9" s="4">
        <f>vlookup(K2, 'Week 7'!$A$2:$H$119, 5, False)</f>
        <v>1</v>
      </c>
      <c r="S9" s="4">
        <f>vlookup(K2, 'Week 7'!$A$2:$H$119, 8, False)</f>
        <v>31</v>
      </c>
      <c r="T9" s="148">
        <f t="shared" si="10"/>
        <v>0.2954545455</v>
      </c>
      <c r="U9" s="145" t="s">
        <v>154</v>
      </c>
      <c r="V9" s="4" t="str">
        <f t="shared" si="11"/>
        <v>Yes</v>
      </c>
      <c r="W9" s="4" t="str">
        <f>if(V9="Yes", vlookup(U$1, 'Week 7'!$A$1:$H$119, 5, False), "")</f>
        <v>Win</v>
      </c>
      <c r="X9" s="146">
        <f>vlookup(U2, 'Week 7'!$A$2:$H$119, 3, False)</f>
        <v>23</v>
      </c>
      <c r="Y9" s="146">
        <f>vlookup(U2, 'Week 7'!$A$2:$H$119, 6, False)</f>
        <v>6</v>
      </c>
      <c r="Z9" s="146">
        <f>vlookup(U2, 'Week 7'!$A$2:$H$119, 7, False)</f>
        <v>8</v>
      </c>
      <c r="AA9" s="146">
        <f>vlookup(U2, 'Week 7'!$A$2:$H$119, 4, False)</f>
        <v>8</v>
      </c>
      <c r="AB9" s="146">
        <f>vlookup(U2, 'Week 7'!$A$2:$H$119, 5, False)</f>
        <v>1</v>
      </c>
      <c r="AC9" s="146">
        <f>vlookup(U2, 'Week 7'!$A$2:$H$119, 8, False)</f>
        <v>30</v>
      </c>
      <c r="AD9" s="148">
        <f t="shared" si="12"/>
        <v>0.4339622642</v>
      </c>
      <c r="AE9" s="145" t="s">
        <v>154</v>
      </c>
      <c r="AF9" s="4" t="str">
        <f t="shared" si="13"/>
        <v>Yes</v>
      </c>
      <c r="AG9" s="4" t="str">
        <f>if(AF9="Yes", vlookup(AE$1, 'Week 7'!$A$1:$H$119, 5, False), "")</f>
        <v>Loss</v>
      </c>
      <c r="AH9" s="146">
        <f>vlookup(AE2, 'Week 7'!$A$2:$H$119, 3, False)</f>
        <v>16</v>
      </c>
      <c r="AI9" s="146">
        <f>vlookup(AE2, 'Week 7'!$A$2:$H$119, 6, False)</f>
        <v>5</v>
      </c>
      <c r="AJ9" s="146">
        <f>vlookup(AE2, 'Week 7'!$A$2:$H$119, 7, False)</f>
        <v>2</v>
      </c>
      <c r="AK9" s="146">
        <f>vlookup(AE2, 'Week 7'!$A$2:$H$119, 4, False)</f>
        <v>7</v>
      </c>
      <c r="AL9" s="146">
        <f>vlookup(AE2, 'Week 7'!$A$2:$H$119, 5, False)</f>
        <v>2</v>
      </c>
      <c r="AM9" s="146">
        <f>vlookup(AE2, 'Week 7'!$A$2:$H$119, 8, False)</f>
        <v>34</v>
      </c>
      <c r="AN9" s="148">
        <f t="shared" si="14"/>
        <v>0.32</v>
      </c>
      <c r="AO9" s="145" t="s">
        <v>154</v>
      </c>
      <c r="AP9" s="4" t="str">
        <f t="shared" si="15"/>
        <v/>
      </c>
      <c r="AQ9" s="4" t="str">
        <f>if(AP9="Yes", vlookup(AO$1, 'Week 7'!$A$1:$H$119, 5, False), "")</f>
        <v/>
      </c>
      <c r="AR9" s="4" t="str">
        <f>vlookup(AO2, 'Week 7'!$A$2:$H$119, 3, False)</f>
        <v/>
      </c>
      <c r="AS9" s="4" t="str">
        <f>vlookup(AO2, 'Week 7'!$A$2:$H$119, 6, False)</f>
        <v/>
      </c>
      <c r="AT9" s="4" t="str">
        <f>vlookup(AO2, 'Week 7'!$A$2:$H$119, 7, False)</f>
        <v/>
      </c>
      <c r="AU9" s="4" t="str">
        <f>vlookup(AO2, 'Week 7'!$A$2:$H$119, 4, False)</f>
        <v/>
      </c>
      <c r="AV9" s="4" t="str">
        <f>vlookup(AO2, 'Week 7'!$A$2:$H$119, 5, False)</f>
        <v/>
      </c>
      <c r="AW9" s="4" t="str">
        <f>vlookup(AO2, 'Week 7'!$A$2:$H$119, 8, False)</f>
        <v/>
      </c>
      <c r="AX9" s="148" t="str">
        <f t="shared" si="16"/>
        <v>#DIV/0!</v>
      </c>
      <c r="AY9" s="145" t="s">
        <v>154</v>
      </c>
      <c r="AZ9" s="4" t="str">
        <f t="shared" si="17"/>
        <v/>
      </c>
      <c r="BA9" s="4" t="str">
        <f>if(AZ9="Yes", vlookup(AY$1, 'Week 7'!$A$1:$H$119, 5, False), "")</f>
        <v/>
      </c>
      <c r="BB9" s="146" t="str">
        <f>vlookup(AY2, 'Week 7'!$A$2:$H$119, 3, False)</f>
        <v/>
      </c>
      <c r="BC9" s="146" t="str">
        <f>vlookup(AY2, 'Week 7'!$A$2:$H$119, 6, False)</f>
        <v/>
      </c>
      <c r="BD9" s="146" t="str">
        <f>vlookup(AY2, 'Week 7'!$A$2:$H$119, 7, False)</f>
        <v/>
      </c>
      <c r="BE9" s="146" t="str">
        <f>vlookup(AY2, 'Week 7'!$A$2:$H$119, 4, False)</f>
        <v/>
      </c>
      <c r="BF9" s="146" t="str">
        <f>vlookup(AY2, 'Week 7'!$A$2:$H$119, 5, False)</f>
        <v/>
      </c>
      <c r="BG9" s="146" t="str">
        <f>vlookup(AY2, 'Week 7'!$A$2:$H$119, 8, False)</f>
        <v/>
      </c>
      <c r="BH9" s="148" t="str">
        <f t="shared" si="18"/>
        <v>#DIV/0!</v>
      </c>
      <c r="BI9" s="7"/>
      <c r="BJ9" s="7"/>
      <c r="BK9" s="7"/>
      <c r="BL9" s="7"/>
    </row>
    <row r="10">
      <c r="A10" s="145" t="s">
        <v>211</v>
      </c>
      <c r="B10" s="4" t="str">
        <f t="shared" si="7"/>
        <v/>
      </c>
      <c r="C10" s="4" t="str">
        <f>if(B10="Yes", vlookup(A$1, 'Week 1'!$A$1:$H$119, 5, False), "")</f>
        <v/>
      </c>
      <c r="D10" s="4"/>
      <c r="E10" s="4"/>
      <c r="F10" s="4"/>
      <c r="G10" s="4"/>
      <c r="H10" s="4"/>
      <c r="I10" s="4"/>
      <c r="J10" s="123"/>
      <c r="K10" s="145" t="s">
        <v>211</v>
      </c>
      <c r="L10" s="4" t="str">
        <f t="shared" si="9"/>
        <v/>
      </c>
      <c r="M10" s="4" t="str">
        <f>if(L10="Yes", vlookup(K$1, 'Week 1'!$A$1:$H$119, 5, False), "")</f>
        <v/>
      </c>
      <c r="N10" s="4"/>
      <c r="O10" s="4"/>
      <c r="P10" s="4"/>
      <c r="Q10" s="4"/>
      <c r="R10" s="4"/>
      <c r="S10" s="4"/>
      <c r="T10" s="123"/>
      <c r="U10" s="145" t="s">
        <v>211</v>
      </c>
      <c r="V10" s="4" t="str">
        <f t="shared" si="11"/>
        <v/>
      </c>
      <c r="W10" s="4" t="str">
        <f>if(V10="Yes", vlookup(U$1, 'Week 1'!$A$1:$H$119, 5, False), "")</f>
        <v/>
      </c>
      <c r="X10" s="4"/>
      <c r="Y10" s="4"/>
      <c r="Z10" s="4"/>
      <c r="AA10" s="4"/>
      <c r="AB10" s="4"/>
      <c r="AC10" s="4"/>
      <c r="AD10" s="123"/>
      <c r="AE10" s="145" t="s">
        <v>211</v>
      </c>
      <c r="AF10" s="4" t="str">
        <f t="shared" si="13"/>
        <v/>
      </c>
      <c r="AG10" s="4" t="str">
        <f>if(AF10="Yes", vlookup(AE$1, 'Week 1'!$A$1:$H$119, 5, False), "")</f>
        <v/>
      </c>
      <c r="AH10" s="4"/>
      <c r="AI10" s="4"/>
      <c r="AJ10" s="4"/>
      <c r="AK10" s="4"/>
      <c r="AL10" s="4"/>
      <c r="AM10" s="4"/>
      <c r="AN10" s="123"/>
      <c r="AO10" s="145" t="s">
        <v>211</v>
      </c>
      <c r="AP10" s="4" t="str">
        <f t="shared" si="15"/>
        <v/>
      </c>
      <c r="AQ10" s="4" t="str">
        <f>if(AP10="Yes", vlookup(AO$1, 'Week 1'!$A$1:$H$119, 5, False), "")</f>
        <v/>
      </c>
      <c r="AR10" s="4"/>
      <c r="AS10" s="4"/>
      <c r="AT10" s="4"/>
      <c r="AU10" s="4"/>
      <c r="AV10" s="4"/>
      <c r="AW10" s="4"/>
      <c r="AX10" s="123"/>
      <c r="AY10" s="145" t="s">
        <v>211</v>
      </c>
      <c r="AZ10" s="4" t="str">
        <f t="shared" si="17"/>
        <v/>
      </c>
      <c r="BA10" s="4" t="str">
        <f>if(AZ10="Yes", vlookup(AY$1, 'Week 1'!$A$1:$H$119, 5, False), "")</f>
        <v/>
      </c>
      <c r="BB10" s="4"/>
      <c r="BC10" s="4"/>
      <c r="BD10" s="4"/>
      <c r="BE10" s="4"/>
      <c r="BF10" s="4"/>
      <c r="BG10" s="4"/>
      <c r="BH10" s="123"/>
      <c r="BI10" s="7"/>
      <c r="BJ10" s="7"/>
      <c r="BK10" s="7"/>
      <c r="BL10" s="7"/>
    </row>
    <row r="11">
      <c r="A11" s="145" t="s">
        <v>212</v>
      </c>
      <c r="B11" s="4" t="str">
        <f t="shared" si="7"/>
        <v/>
      </c>
      <c r="C11" s="4" t="str">
        <f>if(B11="Yes", vlookup(A$1, 'Week 1'!$A$1:$H$119, 5, False), "")</f>
        <v/>
      </c>
      <c r="D11" s="4"/>
      <c r="E11" s="4"/>
      <c r="F11" s="4"/>
      <c r="G11" s="4"/>
      <c r="H11" s="4"/>
      <c r="I11" s="4"/>
      <c r="J11" s="123"/>
      <c r="K11" s="145" t="s">
        <v>212</v>
      </c>
      <c r="L11" s="4" t="str">
        <f t="shared" si="9"/>
        <v/>
      </c>
      <c r="M11" s="4" t="str">
        <f>if(L11="Yes", vlookup(K$1, 'Week 1'!$A$1:$H$119, 5, False), "")</f>
        <v/>
      </c>
      <c r="N11" s="4"/>
      <c r="O11" s="4"/>
      <c r="P11" s="4"/>
      <c r="Q11" s="4"/>
      <c r="R11" s="4"/>
      <c r="S11" s="4"/>
      <c r="T11" s="123"/>
      <c r="U11" s="145" t="s">
        <v>212</v>
      </c>
      <c r="V11" s="4" t="str">
        <f t="shared" si="11"/>
        <v/>
      </c>
      <c r="W11" s="4" t="str">
        <f>if(V11="Yes", vlookup(U$1, 'Week 1'!$A$1:$H$119, 5, False), "")</f>
        <v/>
      </c>
      <c r="X11" s="4"/>
      <c r="Y11" s="4"/>
      <c r="Z11" s="4"/>
      <c r="AA11" s="4"/>
      <c r="AB11" s="4"/>
      <c r="AC11" s="4"/>
      <c r="AD11" s="123"/>
      <c r="AE11" s="145" t="s">
        <v>212</v>
      </c>
      <c r="AF11" s="4" t="str">
        <f t="shared" si="13"/>
        <v/>
      </c>
      <c r="AG11" s="4" t="str">
        <f>if(AF11="Yes", vlookup(AE$1, 'Week 1'!$A$1:$H$119, 5, False), "")</f>
        <v/>
      </c>
      <c r="AH11" s="4"/>
      <c r="AI11" s="4"/>
      <c r="AJ11" s="4"/>
      <c r="AK11" s="4"/>
      <c r="AL11" s="4"/>
      <c r="AM11" s="4"/>
      <c r="AN11" s="123"/>
      <c r="AO11" s="145" t="s">
        <v>212</v>
      </c>
      <c r="AP11" s="4" t="str">
        <f t="shared" si="15"/>
        <v/>
      </c>
      <c r="AQ11" s="4" t="str">
        <f>if(AP11="Yes", vlookup(AO$1, 'Week 1'!$A$1:$H$119, 5, False), "")</f>
        <v/>
      </c>
      <c r="AR11" s="4"/>
      <c r="AS11" s="4"/>
      <c r="AT11" s="4"/>
      <c r="AU11" s="4"/>
      <c r="AV11" s="4"/>
      <c r="AW11" s="4"/>
      <c r="AX11" s="123"/>
      <c r="AY11" s="145" t="s">
        <v>212</v>
      </c>
      <c r="AZ11" s="4" t="str">
        <f t="shared" si="17"/>
        <v/>
      </c>
      <c r="BA11" s="4" t="str">
        <f>if(AZ11="Yes", vlookup(AY$1, 'Week 1'!$A$1:$H$119, 5, False), "")</f>
        <v/>
      </c>
      <c r="BB11" s="4"/>
      <c r="BC11" s="4"/>
      <c r="BD11" s="4"/>
      <c r="BE11" s="4"/>
      <c r="BF11" s="4"/>
      <c r="BG11" s="4"/>
      <c r="BH11" s="123"/>
      <c r="BI11" s="7"/>
      <c r="BJ11" s="7"/>
      <c r="BK11" s="7"/>
      <c r="BL11" s="7"/>
    </row>
    <row r="12">
      <c r="A12" s="2" t="s">
        <v>213</v>
      </c>
      <c r="B12" s="149">
        <f>countif(B3:B11, "Yes")</f>
        <v>7</v>
      </c>
      <c r="C12" s="150">
        <f>countif(C3:C11, "Win")/(countif(C3:C11, "Win")+countif(C3:C11, "Loss"))</f>
        <v>0.4285714286</v>
      </c>
      <c r="D12" s="151">
        <f t="shared" ref="D12:I12" si="19">average(D3:D11)</f>
        <v>14.14285714</v>
      </c>
      <c r="E12" s="151">
        <f t="shared" si="19"/>
        <v>5.285714286</v>
      </c>
      <c r="F12" s="151">
        <f t="shared" si="19"/>
        <v>1</v>
      </c>
      <c r="G12" s="151">
        <f t="shared" si="19"/>
        <v>6.571428571</v>
      </c>
      <c r="H12" s="151">
        <f t="shared" si="19"/>
        <v>1.285714286</v>
      </c>
      <c r="I12" s="152">
        <f t="shared" si="19"/>
        <v>26.57142857</v>
      </c>
      <c r="J12" s="153">
        <f>D12/(I12+D12)</f>
        <v>0.3473684211</v>
      </c>
      <c r="K12" s="2" t="s">
        <v>213</v>
      </c>
      <c r="L12" s="149">
        <f>countif(L3:L11, "Yes")</f>
        <v>7</v>
      </c>
      <c r="M12" s="150">
        <f>countif(M3:M11, "Win")/(countif(M3:M11, "Win")+countif(M3:M11, "Loss"))</f>
        <v>0.5714285714</v>
      </c>
      <c r="N12" s="151">
        <f t="shared" ref="N12:S12" si="20">average(N3:N11)</f>
        <v>15.28571429</v>
      </c>
      <c r="O12" s="151">
        <f t="shared" si="20"/>
        <v>7.571428571</v>
      </c>
      <c r="P12" s="151">
        <f t="shared" si="20"/>
        <v>1.571428571</v>
      </c>
      <c r="Q12" s="151">
        <f t="shared" si="20"/>
        <v>5.285714286</v>
      </c>
      <c r="R12" s="151">
        <f t="shared" si="20"/>
        <v>0.8571428571</v>
      </c>
      <c r="S12" s="152">
        <f t="shared" si="20"/>
        <v>23.71428571</v>
      </c>
      <c r="T12" s="153">
        <f>N12/(S12+N12)</f>
        <v>0.3919413919</v>
      </c>
      <c r="U12" s="2" t="s">
        <v>213</v>
      </c>
      <c r="V12" s="149">
        <f>countif(V3:V11, "Yes")</f>
        <v>7</v>
      </c>
      <c r="W12" s="150">
        <f>countif(W3:W11, "Win")/(countif(W3:W11, "Win")+countif(W3:W11, "Loss"))</f>
        <v>0.2857142857</v>
      </c>
      <c r="X12" s="151">
        <f t="shared" ref="X12:AC12" si="21">average(X3:X11)</f>
        <v>18.85714286</v>
      </c>
      <c r="Y12" s="151">
        <f t="shared" si="21"/>
        <v>6.571428571</v>
      </c>
      <c r="Z12" s="151">
        <f t="shared" si="21"/>
        <v>3</v>
      </c>
      <c r="AA12" s="151">
        <f t="shared" si="21"/>
        <v>6.857142857</v>
      </c>
      <c r="AB12" s="151">
        <f t="shared" si="21"/>
        <v>2.428571429</v>
      </c>
      <c r="AC12" s="152">
        <f t="shared" si="21"/>
        <v>26.71428571</v>
      </c>
      <c r="AD12" s="153">
        <f>X12/(AC12+X12)</f>
        <v>0.4137931034</v>
      </c>
      <c r="AE12" s="2" t="s">
        <v>213</v>
      </c>
      <c r="AF12" s="149">
        <f>countif(AF3:AF11, "Yes")</f>
        <v>7</v>
      </c>
      <c r="AG12" s="150">
        <f>countif(AG3:AG11, "Win")/(countif(AG3:AG11, "Win")+countif(AG3:AG11, "Loss"))</f>
        <v>0.7142857143</v>
      </c>
      <c r="AH12" s="151">
        <f t="shared" ref="AH12:AM12" si="22">average(AH3:AH11)</f>
        <v>16.28571429</v>
      </c>
      <c r="AI12" s="151">
        <f t="shared" si="22"/>
        <v>5</v>
      </c>
      <c r="AJ12" s="151">
        <f t="shared" si="22"/>
        <v>1.714285714</v>
      </c>
      <c r="AK12" s="151">
        <f t="shared" si="22"/>
        <v>8.714285714</v>
      </c>
      <c r="AL12" s="151">
        <f t="shared" si="22"/>
        <v>0.8571428571</v>
      </c>
      <c r="AM12" s="152">
        <f t="shared" si="22"/>
        <v>28.71428571</v>
      </c>
      <c r="AN12" s="153">
        <f>AH12/(AM12+AH12)</f>
        <v>0.3619047619</v>
      </c>
      <c r="AO12" s="2" t="s">
        <v>213</v>
      </c>
      <c r="AP12" s="149">
        <f>countif(AP3:AP11, "Yes")</f>
        <v>5</v>
      </c>
      <c r="AQ12" s="150">
        <f>countif(AQ3:AQ11, "Win")/(countif(AQ3:AQ11, "Win")+countif(AQ3:AQ11, "Loss"))</f>
        <v>0.2</v>
      </c>
      <c r="AR12" s="151">
        <f t="shared" ref="AR12:AW12" si="23">average(AR3:AR11)</f>
        <v>17.4</v>
      </c>
      <c r="AS12" s="151">
        <f t="shared" si="23"/>
        <v>5</v>
      </c>
      <c r="AT12" s="151">
        <f t="shared" si="23"/>
        <v>2</v>
      </c>
      <c r="AU12" s="151">
        <f t="shared" si="23"/>
        <v>7.6</v>
      </c>
      <c r="AV12" s="151">
        <f t="shared" si="23"/>
        <v>2.8</v>
      </c>
      <c r="AW12" s="152">
        <f t="shared" si="23"/>
        <v>28.4</v>
      </c>
      <c r="AX12" s="153">
        <f>AR12/(AW12+AR12)</f>
        <v>0.3799126638</v>
      </c>
      <c r="AY12" s="2" t="s">
        <v>213</v>
      </c>
      <c r="AZ12" s="149">
        <f>countif(AZ3:AZ11, "Yes")</f>
        <v>6</v>
      </c>
      <c r="BA12" s="150">
        <f>countif(BA3:BA11, "Win")/(countif(BA3:BA11, "Win")+countif(BA3:BA11, "Loss"))</f>
        <v>0.6666666667</v>
      </c>
      <c r="BB12" s="151">
        <f t="shared" ref="BB12:BG12" si="24">average(BB3:BB11)</f>
        <v>15.5</v>
      </c>
      <c r="BC12" s="151">
        <f t="shared" si="24"/>
        <v>5.166666667</v>
      </c>
      <c r="BD12" s="151">
        <f t="shared" si="24"/>
        <v>1.666666667</v>
      </c>
      <c r="BE12" s="151">
        <f t="shared" si="24"/>
        <v>6.833333333</v>
      </c>
      <c r="BF12" s="151">
        <f t="shared" si="24"/>
        <v>1.833333333</v>
      </c>
      <c r="BG12" s="152">
        <f t="shared" si="24"/>
        <v>27.33333333</v>
      </c>
      <c r="BH12" s="153">
        <f>BB12/(BG12+BB12)</f>
        <v>0.3618677043</v>
      </c>
      <c r="BI12" s="7"/>
      <c r="BJ12" s="7"/>
      <c r="BK12" s="7"/>
      <c r="BL12" s="7"/>
    </row>
    <row r="13">
      <c r="A13" s="154" t="str">
        <f>Draft!B46</f>
        <v>John</v>
      </c>
      <c r="B13" s="124">
        <f t="shared" ref="B13:J13" si="25">B23</f>
        <v>0</v>
      </c>
      <c r="C13" s="136" t="str">
        <f t="shared" si="25"/>
        <v>#DIV/0!</v>
      </c>
      <c r="D13" s="137" t="str">
        <f t="shared" si="25"/>
        <v>#N/A</v>
      </c>
      <c r="E13" s="137" t="str">
        <f t="shared" si="25"/>
        <v>#N/A</v>
      </c>
      <c r="F13" s="137" t="str">
        <f t="shared" si="25"/>
        <v>#N/A</v>
      </c>
      <c r="G13" s="137" t="str">
        <f t="shared" si="25"/>
        <v>#N/A</v>
      </c>
      <c r="H13" s="137" t="str">
        <f t="shared" si="25"/>
        <v>#N/A</v>
      </c>
      <c r="I13" s="138" t="str">
        <f t="shared" si="25"/>
        <v>#N/A</v>
      </c>
      <c r="J13" s="139" t="str">
        <f t="shared" si="25"/>
        <v>#N/A</v>
      </c>
      <c r="K13" s="155" t="str">
        <f>Draft!C46</f>
        <v>Gid</v>
      </c>
      <c r="L13" s="124">
        <f t="shared" ref="L13:T13" si="26">L23</f>
        <v>7</v>
      </c>
      <c r="M13" s="136">
        <f t="shared" si="26"/>
        <v>0.5714285714</v>
      </c>
      <c r="N13" s="137">
        <f t="shared" si="26"/>
        <v>19.28571429</v>
      </c>
      <c r="O13" s="137">
        <f t="shared" si="26"/>
        <v>9.428571429</v>
      </c>
      <c r="P13" s="137">
        <f t="shared" si="26"/>
        <v>2.142857143</v>
      </c>
      <c r="Q13" s="137">
        <f t="shared" si="26"/>
        <v>6.571428571</v>
      </c>
      <c r="R13" s="137">
        <f t="shared" si="26"/>
        <v>1.142857143</v>
      </c>
      <c r="S13" s="138">
        <f t="shared" si="26"/>
        <v>22.85714286</v>
      </c>
      <c r="T13" s="139">
        <f t="shared" si="26"/>
        <v>0.4576271186</v>
      </c>
      <c r="U13" s="156" t="str">
        <f>Draft!D46</f>
        <v>Guel</v>
      </c>
      <c r="V13" s="124">
        <f t="shared" ref="V13:AD13" si="27">V23</f>
        <v>0</v>
      </c>
      <c r="W13" s="136" t="str">
        <f t="shared" si="27"/>
        <v>#DIV/0!</v>
      </c>
      <c r="X13" s="137" t="str">
        <f t="shared" si="27"/>
        <v>#N/A</v>
      </c>
      <c r="Y13" s="137" t="str">
        <f t="shared" si="27"/>
        <v>#N/A</v>
      </c>
      <c r="Z13" s="137" t="str">
        <f t="shared" si="27"/>
        <v>#N/A</v>
      </c>
      <c r="AA13" s="137" t="str">
        <f t="shared" si="27"/>
        <v>#N/A</v>
      </c>
      <c r="AB13" s="137" t="str">
        <f t="shared" si="27"/>
        <v>#N/A</v>
      </c>
      <c r="AC13" s="138" t="str">
        <f t="shared" si="27"/>
        <v>#N/A</v>
      </c>
      <c r="AD13" s="139" t="str">
        <f t="shared" si="27"/>
        <v>#N/A</v>
      </c>
      <c r="AE13" s="157" t="str">
        <f>Draft!E46</f>
        <v>Seb</v>
      </c>
      <c r="AF13" s="124">
        <f t="shared" ref="AF13:AN13" si="28">AF23</f>
        <v>6</v>
      </c>
      <c r="AG13" s="136">
        <f t="shared" si="28"/>
        <v>0.6666666667</v>
      </c>
      <c r="AH13" s="137">
        <f t="shared" si="28"/>
        <v>20.33333333</v>
      </c>
      <c r="AI13" s="137">
        <f t="shared" si="28"/>
        <v>7.166666667</v>
      </c>
      <c r="AJ13" s="137">
        <f t="shared" si="28"/>
        <v>2.833333333</v>
      </c>
      <c r="AK13" s="137">
        <f t="shared" si="28"/>
        <v>7.5</v>
      </c>
      <c r="AL13" s="137">
        <f t="shared" si="28"/>
        <v>2.833333333</v>
      </c>
      <c r="AM13" s="138">
        <f t="shared" si="28"/>
        <v>25.66666667</v>
      </c>
      <c r="AN13" s="139">
        <f t="shared" si="28"/>
        <v>0.4420289855</v>
      </c>
      <c r="AO13" s="158" t="str">
        <f>Draft!F46</f>
        <v>Hawkins</v>
      </c>
      <c r="AP13" s="124">
        <f t="shared" ref="AP13:AX13" si="29">AP23</f>
        <v>7</v>
      </c>
      <c r="AQ13" s="136">
        <f t="shared" si="29"/>
        <v>0.1428571429</v>
      </c>
      <c r="AR13" s="137">
        <f t="shared" si="29"/>
        <v>20.71428571</v>
      </c>
      <c r="AS13" s="137">
        <f t="shared" si="29"/>
        <v>12.85714286</v>
      </c>
      <c r="AT13" s="137">
        <f t="shared" si="29"/>
        <v>1.571428571</v>
      </c>
      <c r="AU13" s="137">
        <f t="shared" si="29"/>
        <v>5.142857143</v>
      </c>
      <c r="AV13" s="137">
        <f t="shared" si="29"/>
        <v>1.142857143</v>
      </c>
      <c r="AW13" s="138">
        <f t="shared" si="29"/>
        <v>27.14285714</v>
      </c>
      <c r="AX13" s="139">
        <f t="shared" si="29"/>
        <v>0.4328358209</v>
      </c>
      <c r="AY13" s="19" t="str">
        <f>Draft!G46</f>
        <v>JChan</v>
      </c>
      <c r="AZ13" s="124">
        <f t="shared" ref="AZ13:BH13" si="30">AZ23</f>
        <v>7</v>
      </c>
      <c r="BA13" s="136">
        <f t="shared" si="30"/>
        <v>0.7142857143</v>
      </c>
      <c r="BB13" s="137">
        <f t="shared" si="30"/>
        <v>13.71428571</v>
      </c>
      <c r="BC13" s="137">
        <f t="shared" si="30"/>
        <v>4</v>
      </c>
      <c r="BD13" s="137">
        <f t="shared" si="30"/>
        <v>1.428571429</v>
      </c>
      <c r="BE13" s="137">
        <f t="shared" si="30"/>
        <v>5</v>
      </c>
      <c r="BF13" s="137">
        <f t="shared" si="30"/>
        <v>3.285714286</v>
      </c>
      <c r="BG13" s="138">
        <f t="shared" si="30"/>
        <v>26.85714286</v>
      </c>
      <c r="BH13" s="139">
        <f t="shared" si="30"/>
        <v>0.338028169</v>
      </c>
      <c r="BI13" s="7"/>
      <c r="BJ13" s="7"/>
      <c r="BK13" s="7"/>
      <c r="BL13" s="7"/>
    </row>
    <row r="14">
      <c r="A14" s="145" t="s">
        <v>133</v>
      </c>
      <c r="B14" s="4" t="str">
        <f t="shared" ref="B14:B22" si="31">if(I14&gt;0, "Yes", "")</f>
        <v>#N/A</v>
      </c>
      <c r="C14" s="4" t="str">
        <f>if(B14="Yes", vlookup(A$1, 'Week 1'!$A$1:$H$119, 5, False), "")</f>
        <v>#N/A</v>
      </c>
      <c r="D14" s="146" t="str">
        <f>vlookup(A13, 'Week 1'!$A$2:$H$119, 3, False)</f>
        <v>#N/A</v>
      </c>
      <c r="E14" s="147" t="str">
        <f>vlookup(A13, 'Week 1'!$A$2:$H$119, 6, False)</f>
        <v>#N/A</v>
      </c>
      <c r="F14" s="147" t="str">
        <f>vlookup(A13, 'Week 1'!$A$2:$H$119, 7, False)</f>
        <v>#N/A</v>
      </c>
      <c r="G14" s="147" t="str">
        <f>vlookup(A13, 'Week 1'!$A$2:$H$119, 4, False)</f>
        <v>#N/A</v>
      </c>
      <c r="H14" s="147" t="str">
        <f>vlookup(A13, 'Week 1'!$A$2:$H$119, 5, False)</f>
        <v>#N/A</v>
      </c>
      <c r="I14" s="147" t="str">
        <f>vlookup(A13, 'Week 1'!$A$2:$H$119, 8, False)</f>
        <v>#N/A</v>
      </c>
      <c r="J14" s="148" t="str">
        <f t="shared" ref="J14:J20" si="32">if(D14&gt;0, (D14/(D14+I14)), "")</f>
        <v>#N/A</v>
      </c>
      <c r="K14" s="145" t="s">
        <v>133</v>
      </c>
      <c r="L14" s="4" t="str">
        <f t="shared" ref="L14:L22" si="33">if(S14&gt;0, "Yes", "")</f>
        <v>Yes</v>
      </c>
      <c r="M14" s="4" t="str">
        <f>if(L14="Yes", vlookup(K$1, 'Week 1'!$A$1:$H$119, 5, False), "")</f>
        <v>Win</v>
      </c>
      <c r="N14" s="146">
        <f>vlookup(K13, 'Week 1'!$A$2:$H$119, 3, False)</f>
        <v>20</v>
      </c>
      <c r="O14" s="147">
        <f>vlookup(K13, 'Week 1'!$A$2:$H$119, 6, False)</f>
        <v>9</v>
      </c>
      <c r="P14" s="147">
        <f>vlookup(K13, 'Week 1'!$A$2:$H$119, 7, False)</f>
        <v>0</v>
      </c>
      <c r="Q14" s="147">
        <f>vlookup(K13, 'Week 1'!$A$2:$H$119, 4, False)</f>
        <v>10</v>
      </c>
      <c r="R14" s="147">
        <f>vlookup(K13, 'Week 1'!$A$2:$H$119, 5, False)</f>
        <v>1</v>
      </c>
      <c r="S14" s="147">
        <f>vlookup(K13, 'Week 1'!$A$2:$H$119, 8, False)</f>
        <v>25</v>
      </c>
      <c r="T14" s="148">
        <f t="shared" ref="T14:T20" si="34">if(N14&gt;0, (N14/(N14+S14)), "")</f>
        <v>0.4444444444</v>
      </c>
      <c r="U14" s="145" t="s">
        <v>133</v>
      </c>
      <c r="V14" s="4" t="str">
        <f t="shared" ref="V14:V22" si="35">if(AC14&gt;0, "Yes", "")</f>
        <v>#N/A</v>
      </c>
      <c r="W14" s="4" t="str">
        <f>if(V14="Yes", vlookup(U$1, 'Week 1'!$A$1:$H$119, 5, False), "")</f>
        <v>#N/A</v>
      </c>
      <c r="X14" s="146" t="str">
        <f>vlookup(U13, 'Week 1'!$A$2:$H$119, 3, False)</f>
        <v>#N/A</v>
      </c>
      <c r="Y14" s="147" t="str">
        <f>vlookup(U13, 'Week 1'!$A$2:$H$119, 6, False)</f>
        <v>#N/A</v>
      </c>
      <c r="Z14" s="147" t="str">
        <f>vlookup(U13, 'Week 1'!$A$2:$H$119, 7, False)</f>
        <v>#N/A</v>
      </c>
      <c r="AA14" s="147" t="str">
        <f>vlookup(U13, 'Week 1'!$A$2:$H$119, 4, False)</f>
        <v>#N/A</v>
      </c>
      <c r="AB14" s="147" t="str">
        <f>vlookup(U13, 'Week 1'!$A$2:$H$119, 5, False)</f>
        <v>#N/A</v>
      </c>
      <c r="AC14" s="147" t="str">
        <f>vlookup(U13, 'Week 1'!$A$2:$H$119, 8, False)</f>
        <v>#N/A</v>
      </c>
      <c r="AD14" s="148" t="str">
        <f t="shared" ref="AD14:AD20" si="36">if(X14&gt;0, (X14/(X14+AC14)), "")</f>
        <v>#N/A</v>
      </c>
      <c r="AE14" s="145" t="s">
        <v>133</v>
      </c>
      <c r="AF14" s="4" t="str">
        <f t="shared" ref="AF14:AF22" si="37">if(AM14&gt;0, "Yes", "")</f>
        <v>Yes</v>
      </c>
      <c r="AG14" s="4" t="str">
        <f>if(AF14="Yes", vlookup(AE$1, 'Week 1'!$A$1:$H$119, 5, False), "")</f>
        <v>Win</v>
      </c>
      <c r="AH14" s="146">
        <f>vlookup(AE13, 'Week 1'!$A$2:$H$119, 3, False)</f>
        <v>20</v>
      </c>
      <c r="AI14" s="147">
        <f>vlookup(AE13, 'Week 1'!$A$2:$H$119, 6, False)</f>
        <v>7</v>
      </c>
      <c r="AJ14" s="147">
        <f>vlookup(AE13, 'Week 1'!$A$2:$H$119, 7, False)</f>
        <v>4</v>
      </c>
      <c r="AK14" s="147">
        <f>vlookup(AE13, 'Week 1'!$A$2:$H$119, 4, False)</f>
        <v>7</v>
      </c>
      <c r="AL14" s="147">
        <f>vlookup(AE13, 'Week 1'!$A$2:$H$119, 5, False)</f>
        <v>2</v>
      </c>
      <c r="AM14" s="147">
        <f>vlookup(AE13, 'Week 1'!$A$2:$H$119, 8, False)</f>
        <v>33</v>
      </c>
      <c r="AN14" s="148">
        <f t="shared" ref="AN14:AN20" si="38">if(AH14&gt;0, (AH14/(AH14+AM14)), "")</f>
        <v>0.3773584906</v>
      </c>
      <c r="AO14" s="145" t="s">
        <v>133</v>
      </c>
      <c r="AP14" s="4" t="str">
        <f t="shared" ref="AP14:AP22" si="39">if(AW14&gt;0, "Yes", "")</f>
        <v>Yes</v>
      </c>
      <c r="AQ14" s="4" t="str">
        <f>if(AP14="Yes", vlookup(AO$1, 'Week 1'!$A$1:$H$119, 5, False), "")</f>
        <v>Loss</v>
      </c>
      <c r="AR14" s="146">
        <f>vlookup(AO13, 'Week 1'!$A$2:$H$119, 3, False)</f>
        <v>25</v>
      </c>
      <c r="AS14" s="147">
        <f>vlookup(AO13, 'Week 1'!$A$2:$H$119, 6, False)</f>
        <v>15</v>
      </c>
      <c r="AT14" s="147">
        <f>vlookup(AO13, 'Week 1'!$A$2:$H$119, 7, False)</f>
        <v>2</v>
      </c>
      <c r="AU14" s="147">
        <f>vlookup(AO13, 'Week 1'!$A$2:$H$119, 4, False)</f>
        <v>7</v>
      </c>
      <c r="AV14" s="147">
        <f>vlookup(AO13, 'Week 1'!$A$2:$H$119, 5, False)</f>
        <v>1</v>
      </c>
      <c r="AW14" s="147">
        <f>vlookup(AO13, 'Week 1'!$A$2:$H$119, 8, False)</f>
        <v>32</v>
      </c>
      <c r="AX14" s="148">
        <f t="shared" ref="AX14:AX20" si="40">if(AR14&gt;0, (AR14/(AR14+AW14)), "")</f>
        <v>0.4385964912</v>
      </c>
      <c r="AY14" s="145" t="s">
        <v>133</v>
      </c>
      <c r="AZ14" s="4" t="str">
        <f t="shared" ref="AZ14:AZ22" si="41">if(BG14&gt;0, "Yes", "")</f>
        <v>Yes</v>
      </c>
      <c r="BA14" s="4" t="str">
        <f>if(AZ14="Yes", vlookup(AY$1, 'Week 1'!$A$1:$H$119, 5, False), "")</f>
        <v>Win</v>
      </c>
      <c r="BB14" s="146">
        <f>vlookup(AY13, 'Week 1'!$A$2:$H$119, 3, False)</f>
        <v>13</v>
      </c>
      <c r="BC14" s="147">
        <f>vlookup(AY13, 'Week 1'!$A$2:$H$119, 6, False)</f>
        <v>2</v>
      </c>
      <c r="BD14" s="147">
        <f>vlookup(AY13, 'Week 1'!$A$2:$H$119, 7, False)</f>
        <v>0</v>
      </c>
      <c r="BE14" s="147">
        <f>vlookup(AY13, 'Week 1'!$A$2:$H$119, 4, False)</f>
        <v>8</v>
      </c>
      <c r="BF14" s="147">
        <f>vlookup(AY13, 'Week 1'!$A$2:$H$119, 5, False)</f>
        <v>3</v>
      </c>
      <c r="BG14" s="147">
        <f>vlookup(AY13, 'Week 1'!$A$2:$H$119, 8, False)</f>
        <v>26</v>
      </c>
      <c r="BH14" s="148">
        <f t="shared" ref="BH14:BH20" si="42">if(BB14&gt;0, (BB14/(BB14+BG14)), "")</f>
        <v>0.3333333333</v>
      </c>
      <c r="BI14" s="7"/>
      <c r="BJ14" s="7"/>
      <c r="BK14" s="7"/>
      <c r="BL14" s="7"/>
    </row>
    <row r="15">
      <c r="A15" s="145" t="s">
        <v>135</v>
      </c>
      <c r="B15" s="4" t="str">
        <f t="shared" si="31"/>
        <v>#N/A</v>
      </c>
      <c r="C15" s="4" t="str">
        <f>if(B15="Yes", vlookup(A$1, 'Week 2'!$A$1:$H$119, 5, False), "")</f>
        <v>#N/A</v>
      </c>
      <c r="D15" s="146" t="str">
        <f>vlookup(A13, 'Week 2'!$A$2:$H$119, 3, False)</f>
        <v>#N/A</v>
      </c>
      <c r="E15" s="146" t="str">
        <f>vlookup(A13, 'Week 2'!$A$2:$H$119, 6, False)</f>
        <v>#N/A</v>
      </c>
      <c r="F15" s="146" t="str">
        <f>vlookup(A13, 'Week 2'!$A$2:$H$119, 7, False)</f>
        <v>#N/A</v>
      </c>
      <c r="G15" s="146" t="str">
        <f>vlookup(A13, 'Week 2'!$A$2:$H$119, 4, False)</f>
        <v>#N/A</v>
      </c>
      <c r="H15" s="146" t="str">
        <f>vlookup(A13, 'Week 2'!$A$2:$H$119, 5, False)</f>
        <v>#N/A</v>
      </c>
      <c r="I15" s="146" t="str">
        <f>vlookup(A13, 'Week 2'!$A$2:$H$119, 8, False)</f>
        <v>#N/A</v>
      </c>
      <c r="J15" s="148" t="str">
        <f t="shared" si="32"/>
        <v>#N/A</v>
      </c>
      <c r="K15" s="145" t="s">
        <v>135</v>
      </c>
      <c r="L15" s="4" t="str">
        <f t="shared" si="33"/>
        <v>Yes</v>
      </c>
      <c r="M15" s="4" t="str">
        <f>if(L15="Yes", vlookup(K$1, 'Week 2'!$A$1:$H$119, 5, False), "")</f>
        <v>Loss</v>
      </c>
      <c r="N15" s="146">
        <f>vlookup(K13, 'Week 2'!$A$2:$H$119, 3, False)</f>
        <v>14</v>
      </c>
      <c r="O15" s="146">
        <f>vlookup(K13, 'Week 2'!$A$2:$H$119, 6, False)</f>
        <v>4</v>
      </c>
      <c r="P15" s="146">
        <f>vlookup(K13, 'Week 2'!$A$2:$H$119, 7, False)</f>
        <v>1</v>
      </c>
      <c r="Q15" s="146">
        <f>vlookup(K13, 'Week 2'!$A$2:$H$119, 4, False)</f>
        <v>6</v>
      </c>
      <c r="R15" s="146">
        <f>vlookup(K13, 'Week 2'!$A$2:$H$119, 5, False)</f>
        <v>3</v>
      </c>
      <c r="S15" s="146">
        <f>vlookup(K13, 'Week 2'!$A$2:$H$119, 8, False)</f>
        <v>21</v>
      </c>
      <c r="T15" s="148">
        <f t="shared" si="34"/>
        <v>0.4</v>
      </c>
      <c r="U15" s="145" t="s">
        <v>135</v>
      </c>
      <c r="V15" s="4" t="str">
        <f t="shared" si="35"/>
        <v>#N/A</v>
      </c>
      <c r="W15" s="4" t="str">
        <f>if(V15="Yes", vlookup(U$1, 'Week 2'!$A$1:$H$119, 5, False), "")</f>
        <v>#N/A</v>
      </c>
      <c r="X15" s="146" t="str">
        <f>vlookup(U13, 'Week 2'!$A$2:$H$119, 3, False)</f>
        <v>#N/A</v>
      </c>
      <c r="Y15" s="146" t="str">
        <f>vlookup(U13, 'Week 2'!$A$2:$H$119, 6, False)</f>
        <v>#N/A</v>
      </c>
      <c r="Z15" s="146" t="str">
        <f>vlookup(U13, 'Week 2'!$A$2:$H$119, 7, False)</f>
        <v>#N/A</v>
      </c>
      <c r="AA15" s="146" t="str">
        <f>vlookup(U13, 'Week 2'!$A$2:$H$119, 4, False)</f>
        <v>#N/A</v>
      </c>
      <c r="AB15" s="146" t="str">
        <f>vlookup(U13, 'Week 2'!$A$2:$H$119, 5, False)</f>
        <v>#N/A</v>
      </c>
      <c r="AC15" s="146" t="str">
        <f>vlookup(U13, 'Week 2'!$A$2:$H$119, 8, False)</f>
        <v>#N/A</v>
      </c>
      <c r="AD15" s="148" t="str">
        <f t="shared" si="36"/>
        <v>#N/A</v>
      </c>
      <c r="AE15" s="145" t="s">
        <v>135</v>
      </c>
      <c r="AF15" s="4" t="str">
        <f t="shared" si="37"/>
        <v>Yes</v>
      </c>
      <c r="AG15" s="4" t="str">
        <f>if(AF15="Yes", vlookup(AE$1, 'Week 2'!$A$1:$H$119, 5, False), "")</f>
        <v>Win</v>
      </c>
      <c r="AH15" s="146">
        <f>vlookup(AE13, 'Week 2'!$A$2:$H$119, 3, False)</f>
        <v>24</v>
      </c>
      <c r="AI15" s="146">
        <f>vlookup(AE13, 'Week 2'!$A$2:$H$119, 6, False)</f>
        <v>7</v>
      </c>
      <c r="AJ15" s="146">
        <f>vlookup(AE13, 'Week 2'!$A$2:$H$119, 7, False)</f>
        <v>4</v>
      </c>
      <c r="AK15" s="146">
        <f>vlookup(AE13, 'Week 2'!$A$2:$H$119, 4, False)</f>
        <v>9</v>
      </c>
      <c r="AL15" s="146">
        <f>vlookup(AE13, 'Week 2'!$A$2:$H$119, 5, False)</f>
        <v>4</v>
      </c>
      <c r="AM15" s="146">
        <f>vlookup(AE13, 'Week 2'!$A$2:$H$119, 8, False)</f>
        <v>18</v>
      </c>
      <c r="AN15" s="148">
        <f t="shared" si="38"/>
        <v>0.5714285714</v>
      </c>
      <c r="AO15" s="145" t="s">
        <v>135</v>
      </c>
      <c r="AP15" s="4" t="str">
        <f t="shared" si="39"/>
        <v>Yes</v>
      </c>
      <c r="AQ15" s="4" t="str">
        <f>if(AP15="Yes", vlookup(AO$1, 'Week 2'!$A$1:$H$119, 5, False), "")</f>
        <v>Loss</v>
      </c>
      <c r="AR15" s="146">
        <f>vlookup(AO13, 'Week 2'!$A$2:$H$119, 3, False)</f>
        <v>26</v>
      </c>
      <c r="AS15" s="146">
        <f>vlookup(AO13, 'Week 2'!$A$2:$H$119, 6, False)</f>
        <v>18</v>
      </c>
      <c r="AT15" s="146">
        <f>vlookup(AO13, 'Week 2'!$A$2:$H$119, 7, False)</f>
        <v>2</v>
      </c>
      <c r="AU15" s="146">
        <f>vlookup(AO13, 'Week 2'!$A$2:$H$119, 4, False)</f>
        <v>4</v>
      </c>
      <c r="AV15" s="146">
        <f>vlookup(AO13, 'Week 2'!$A$2:$H$119, 5, False)</f>
        <v>2</v>
      </c>
      <c r="AW15" s="146">
        <f>vlookup(AO13, 'Week 2'!$A$2:$H$119, 8, False)</f>
        <v>25</v>
      </c>
      <c r="AX15" s="148">
        <f t="shared" si="40"/>
        <v>0.5098039216</v>
      </c>
      <c r="AY15" s="145" t="s">
        <v>135</v>
      </c>
      <c r="AZ15" s="4" t="str">
        <f t="shared" si="41"/>
        <v>Yes</v>
      </c>
      <c r="BA15" s="4" t="str">
        <f>if(AZ15="Yes", vlookup(AY$1, 'Week 2'!$A$1:$H$119, 5, False), "")</f>
        <v>Win</v>
      </c>
      <c r="BB15" s="146">
        <f>vlookup(AY13, 'Week 2'!$A$2:$H$119, 3, False)</f>
        <v>18</v>
      </c>
      <c r="BC15" s="146">
        <f>vlookup(AY13, 'Week 2'!$A$2:$H$119, 6, False)</f>
        <v>6</v>
      </c>
      <c r="BD15" s="146">
        <f>vlookup(AY13, 'Week 2'!$A$2:$H$119, 7, False)</f>
        <v>4</v>
      </c>
      <c r="BE15" s="146">
        <f>vlookup(AY13, 'Week 2'!$A$2:$H$119, 4, False)</f>
        <v>3</v>
      </c>
      <c r="BF15" s="146">
        <f>vlookup(AY13, 'Week 2'!$A$2:$H$119, 5, False)</f>
        <v>5</v>
      </c>
      <c r="BG15" s="146">
        <f>vlookup(AY13, 'Week 2'!$A$2:$H$119, 8, False)</f>
        <v>29</v>
      </c>
      <c r="BH15" s="148">
        <f t="shared" si="42"/>
        <v>0.3829787234</v>
      </c>
      <c r="BI15" s="7"/>
      <c r="BJ15" s="7"/>
      <c r="BK15" s="7"/>
      <c r="BL15" s="7"/>
    </row>
    <row r="16">
      <c r="A16" s="145" t="s">
        <v>140</v>
      </c>
      <c r="B16" s="4" t="str">
        <f t="shared" si="31"/>
        <v>#N/A</v>
      </c>
      <c r="C16" s="4" t="str">
        <f>if(B16="Yes", vlookup(A$1, 'Week 3'!$A$1:$H$119, 5, False), "")</f>
        <v>#N/A</v>
      </c>
      <c r="D16" s="146" t="str">
        <f>vlookup(A13, 'Week 3'!$A$2:$H$119, 3, False)</f>
        <v>#N/A</v>
      </c>
      <c r="E16" s="146" t="str">
        <f>vlookup(A13, 'Week 3'!$A$2:$H$119, 6, False)</f>
        <v>#N/A</v>
      </c>
      <c r="F16" s="146" t="str">
        <f>vlookup(A13, 'Week 3'!$A$2:$H$119, 7, False)</f>
        <v>#N/A</v>
      </c>
      <c r="G16" s="146" t="str">
        <f>vlookup(A13, 'Week 3'!$A$2:$H$119, 4, False)</f>
        <v>#N/A</v>
      </c>
      <c r="H16" s="146" t="str">
        <f>vlookup(A13, 'Week 3'!$A$2:$H$119, 5, False)</f>
        <v>#N/A</v>
      </c>
      <c r="I16" s="146" t="str">
        <f>vlookup(A13, 'Week 3'!$A$2:$H$119, 8, False)</f>
        <v>#N/A</v>
      </c>
      <c r="J16" s="148" t="str">
        <f t="shared" si="32"/>
        <v>#N/A</v>
      </c>
      <c r="K16" s="145" t="s">
        <v>140</v>
      </c>
      <c r="L16" s="4" t="str">
        <f t="shared" si="33"/>
        <v>Yes</v>
      </c>
      <c r="M16" s="4" t="str">
        <f>if(L16="Yes", vlookup(K$1, 'Week 3'!$A$1:$H$119, 5, False), "")</f>
        <v>Win</v>
      </c>
      <c r="N16" s="146">
        <f>vlookup(K13, 'Week 3'!$A$2:$H$119, 3, False)</f>
        <v>20</v>
      </c>
      <c r="O16" s="146">
        <f>vlookup(K13, 'Week 3'!$A$2:$H$119, 6, False)</f>
        <v>10</v>
      </c>
      <c r="P16" s="146">
        <f>vlookup(K13, 'Week 3'!$A$2:$H$119, 7, False)</f>
        <v>2</v>
      </c>
      <c r="Q16" s="146">
        <f>vlookup(K13, 'Week 3'!$A$2:$H$119, 4, False)</f>
        <v>7</v>
      </c>
      <c r="R16" s="146">
        <f>vlookup(K13, 'Week 3'!$A$2:$H$119, 5, False)</f>
        <v>1</v>
      </c>
      <c r="S16" s="146">
        <f>vlookup(K13, 'Week 3'!$A$2:$H$119, 8, False)</f>
        <v>22</v>
      </c>
      <c r="T16" s="148">
        <f t="shared" si="34"/>
        <v>0.4761904762</v>
      </c>
      <c r="U16" s="145" t="s">
        <v>140</v>
      </c>
      <c r="V16" s="4" t="str">
        <f t="shared" si="35"/>
        <v>#N/A</v>
      </c>
      <c r="W16" s="4" t="str">
        <f>if(V16="Yes", vlookup(U$1, 'Week 3'!$A$1:$H$119, 5, False), "")</f>
        <v>#N/A</v>
      </c>
      <c r="X16" s="146" t="str">
        <f>vlookup(U13, 'Week 3'!$A$2:$H$119, 3, False)</f>
        <v>#N/A</v>
      </c>
      <c r="Y16" s="146" t="str">
        <f>vlookup(U13, 'Week 3'!$A$2:$H$119, 6, False)</f>
        <v>#N/A</v>
      </c>
      <c r="Z16" s="146" t="str">
        <f>vlookup(U13, 'Week 3'!$A$2:$H$119, 7, False)</f>
        <v>#N/A</v>
      </c>
      <c r="AA16" s="146" t="str">
        <f>vlookup(U13, 'Week 3'!$A$2:$H$119, 4, False)</f>
        <v>#N/A</v>
      </c>
      <c r="AB16" s="146" t="str">
        <f>vlookup(U13, 'Week 3'!$A$2:$H$119, 5, False)</f>
        <v>#N/A</v>
      </c>
      <c r="AC16" s="146" t="str">
        <f>vlookup(U13, 'Week 3'!$A$2:$H$119, 8, False)</f>
        <v>#N/A</v>
      </c>
      <c r="AD16" s="148" t="str">
        <f t="shared" si="36"/>
        <v>#N/A</v>
      </c>
      <c r="AE16" s="145" t="s">
        <v>140</v>
      </c>
      <c r="AF16" s="4" t="str">
        <f t="shared" si="37"/>
        <v>Yes</v>
      </c>
      <c r="AG16" s="4" t="str">
        <f>if(AF16="Yes", vlookup(AE$1, 'Week 3'!$A$1:$H$119, 5, False), "")</f>
        <v>Loss</v>
      </c>
      <c r="AH16" s="146">
        <f>vlookup(AE13, 'Week 3'!$A$2:$H$119, 3, False)</f>
        <v>25</v>
      </c>
      <c r="AI16" s="146">
        <f>vlookup(AE13, 'Week 3'!$A$2:$H$119, 6, False)</f>
        <v>9</v>
      </c>
      <c r="AJ16" s="146">
        <f>vlookup(AE13, 'Week 3'!$A$2:$H$119, 7, False)</f>
        <v>0</v>
      </c>
      <c r="AK16" s="146">
        <f>vlookup(AE13, 'Week 3'!$A$2:$H$119, 4, False)</f>
        <v>11</v>
      </c>
      <c r="AL16" s="146">
        <f>vlookup(AE13, 'Week 3'!$A$2:$H$119, 5, False)</f>
        <v>5</v>
      </c>
      <c r="AM16" s="146">
        <f>vlookup(AE13, 'Week 3'!$A$2:$H$119, 8, False)</f>
        <v>23</v>
      </c>
      <c r="AN16" s="148">
        <f t="shared" si="38"/>
        <v>0.5208333333</v>
      </c>
      <c r="AO16" s="145" t="s">
        <v>140</v>
      </c>
      <c r="AP16" s="4" t="str">
        <f t="shared" si="39"/>
        <v>Yes</v>
      </c>
      <c r="AQ16" s="4" t="str">
        <f>if(AP16="Yes", vlookup(AO$1, 'Week 3'!$A$1:$H$119, 5, False), "")</f>
        <v>Loss</v>
      </c>
      <c r="AR16" s="146">
        <f>vlookup(AO13, 'Week 3'!$A$2:$H$119, 3, False)</f>
        <v>18</v>
      </c>
      <c r="AS16" s="146">
        <f>vlookup(AO13, 'Week 3'!$A$2:$H$119, 6, False)</f>
        <v>7</v>
      </c>
      <c r="AT16" s="146">
        <f>vlookup(AO13, 'Week 3'!$A$2:$H$119, 7, False)</f>
        <v>2</v>
      </c>
      <c r="AU16" s="146">
        <f>vlookup(AO13, 'Week 3'!$A$2:$H$119, 4, False)</f>
        <v>7</v>
      </c>
      <c r="AV16" s="146">
        <f>vlookup(AO13, 'Week 3'!$A$2:$H$119, 5, False)</f>
        <v>2</v>
      </c>
      <c r="AW16" s="146">
        <f>vlookup(AO13, 'Week 3'!$A$2:$H$119, 8, False)</f>
        <v>25</v>
      </c>
      <c r="AX16" s="148">
        <f t="shared" si="40"/>
        <v>0.4186046512</v>
      </c>
      <c r="AY16" s="145" t="s">
        <v>140</v>
      </c>
      <c r="AZ16" s="4" t="str">
        <f t="shared" si="41"/>
        <v>Yes</v>
      </c>
      <c r="BA16" s="4" t="str">
        <f>if(AZ16="Yes", vlookup(AY$1, 'Week 3'!$A$1:$H$119, 5, False), "")</f>
        <v>Win</v>
      </c>
      <c r="BB16" s="146">
        <f>vlookup(AY13, 'Week 3'!$A$2:$H$119, 3, False)</f>
        <v>13</v>
      </c>
      <c r="BC16" s="146">
        <f>vlookup(AY13, 'Week 3'!$A$2:$H$119, 6, False)</f>
        <v>3</v>
      </c>
      <c r="BD16" s="146">
        <f>vlookup(AY13, 'Week 3'!$A$2:$H$119, 7, False)</f>
        <v>2</v>
      </c>
      <c r="BE16" s="146">
        <f>vlookup(AY13, 'Week 3'!$A$2:$H$119, 4, False)</f>
        <v>1</v>
      </c>
      <c r="BF16" s="146">
        <f>vlookup(AY13, 'Week 3'!$A$2:$H$119, 5, False)</f>
        <v>7</v>
      </c>
      <c r="BG16" s="146">
        <f>vlookup(AY13, 'Week 3'!$A$2:$H$119, 8, False)</f>
        <v>24</v>
      </c>
      <c r="BH16" s="148">
        <f t="shared" si="42"/>
        <v>0.3513513514</v>
      </c>
      <c r="BI16" s="7"/>
      <c r="BJ16" s="7"/>
      <c r="BK16" s="7"/>
      <c r="BL16" s="7"/>
    </row>
    <row r="17">
      <c r="A17" s="145" t="s">
        <v>144</v>
      </c>
      <c r="B17" s="4" t="str">
        <f t="shared" si="31"/>
        <v>#N/A</v>
      </c>
      <c r="C17" s="4" t="str">
        <f>if(B17="Yes", vlookup(A$1, 'Week 4'!$A$1:$H$119, 5, False), "")</f>
        <v>#N/A</v>
      </c>
      <c r="D17" s="146" t="str">
        <f>vlookup(A13, 'Week 4'!$A$2:$H$119, 3, False)</f>
        <v>#N/A</v>
      </c>
      <c r="E17" s="146" t="str">
        <f>vlookup(A13, 'Week 4'!$A$2:$H$119, 6, False)</f>
        <v>#N/A</v>
      </c>
      <c r="F17" s="146" t="str">
        <f>vlookup(A13, 'Week 4'!$A$2:$H$119, 7, False)</f>
        <v>#N/A</v>
      </c>
      <c r="G17" s="146" t="str">
        <f>vlookup(A13, 'Week 4'!$A$2:$H$119, 4, False)</f>
        <v>#N/A</v>
      </c>
      <c r="H17" s="146" t="str">
        <f>vlookup(A13, 'Week 4'!$A$2:$H$119, 5, False)</f>
        <v>#N/A</v>
      </c>
      <c r="I17" s="146" t="str">
        <f>vlookup(A13, 'Week 4'!$A$2:$H$119, 8, False)</f>
        <v>#N/A</v>
      </c>
      <c r="J17" s="148" t="str">
        <f t="shared" si="32"/>
        <v>#N/A</v>
      </c>
      <c r="K17" s="145" t="s">
        <v>144</v>
      </c>
      <c r="L17" s="4" t="str">
        <f t="shared" si="33"/>
        <v>Yes</v>
      </c>
      <c r="M17" s="4" t="str">
        <f>if(L17="Yes", vlookup(K$1, 'Week 4'!$A$1:$H$119, 5, False), "")</f>
        <v>Win</v>
      </c>
      <c r="N17" s="146">
        <f>vlookup(K13, 'Week 4'!$A$2:$H$119, 3, False)</f>
        <v>15</v>
      </c>
      <c r="O17" s="146">
        <f>vlookup(K13, 'Week 4'!$A$2:$H$119, 6, False)</f>
        <v>10</v>
      </c>
      <c r="P17" s="146">
        <f>vlookup(K13, 'Week 4'!$A$2:$H$119, 7, False)</f>
        <v>3</v>
      </c>
      <c r="Q17" s="146">
        <f>vlookup(K13, 'Week 4'!$A$2:$H$119, 4, False)</f>
        <v>2</v>
      </c>
      <c r="R17" s="146">
        <f>vlookup(K13, 'Week 4'!$A$2:$H$119, 5, False)</f>
        <v>0</v>
      </c>
      <c r="S17" s="146">
        <f>vlookup(K13, 'Week 4'!$A$2:$H$119, 8, False)</f>
        <v>26</v>
      </c>
      <c r="T17" s="148">
        <f t="shared" si="34"/>
        <v>0.3658536585</v>
      </c>
      <c r="U17" s="145" t="s">
        <v>144</v>
      </c>
      <c r="V17" s="4" t="str">
        <f t="shared" si="35"/>
        <v>#N/A</v>
      </c>
      <c r="W17" s="4" t="str">
        <f>if(V17="Yes", vlookup(U$1, 'Week 4'!$A$1:$H$119, 5, False), "")</f>
        <v>#N/A</v>
      </c>
      <c r="X17" s="146" t="str">
        <f>vlookup(U13, 'Week 4'!$A$2:$H$119, 3, False)</f>
        <v>#N/A</v>
      </c>
      <c r="Y17" s="146" t="str">
        <f>vlookup(U13, 'Week 4'!$A$2:$H$119, 6, False)</f>
        <v>#N/A</v>
      </c>
      <c r="Z17" s="146" t="str">
        <f>vlookup(U13, 'Week 4'!$A$2:$H$119, 7, False)</f>
        <v>#N/A</v>
      </c>
      <c r="AA17" s="146" t="str">
        <f>vlookup(U13, 'Week 4'!$A$2:$H$119, 4, False)</f>
        <v>#N/A</v>
      </c>
      <c r="AB17" s="146" t="str">
        <f>vlookup(U13, 'Week 4'!$A$2:$H$119, 5, False)</f>
        <v>#N/A</v>
      </c>
      <c r="AC17" s="146" t="str">
        <f>vlookup(U13, 'Week 4'!$A$2:$H$119, 8, False)</f>
        <v>#N/A</v>
      </c>
      <c r="AD17" s="148" t="str">
        <f t="shared" si="36"/>
        <v>#N/A</v>
      </c>
      <c r="AE17" s="145" t="s">
        <v>144</v>
      </c>
      <c r="AF17" s="4" t="str">
        <f t="shared" si="37"/>
        <v/>
      </c>
      <c r="AG17" s="4" t="str">
        <f>if(AF17="Yes", vlookup(AE$1, 'Week 4'!$A$1:$H$119, 5, False), "")</f>
        <v/>
      </c>
      <c r="AH17" s="146" t="str">
        <f>vlookup(AE13, 'Week 4'!$A$2:$H$119, 3, False)</f>
        <v/>
      </c>
      <c r="AI17" s="146" t="str">
        <f>vlookup(AE13, 'Week 4'!$A$2:$H$119, 6, False)</f>
        <v/>
      </c>
      <c r="AJ17" s="146" t="str">
        <f>vlookup(AE13, 'Week 4'!$A$2:$H$119, 7, False)</f>
        <v/>
      </c>
      <c r="AK17" s="146" t="str">
        <f>vlookup(AE13, 'Week 4'!$A$2:$H$119, 4, False)</f>
        <v/>
      </c>
      <c r="AL17" s="146" t="str">
        <f>vlookup(AE13, 'Week 4'!$A$2:$H$119, 5, False)</f>
        <v/>
      </c>
      <c r="AM17" s="146" t="str">
        <f>vlookup(AE13, 'Week 4'!$A$2:$H$119, 8, False)</f>
        <v/>
      </c>
      <c r="AN17" s="148" t="str">
        <f t="shared" si="38"/>
        <v>#DIV/0!</v>
      </c>
      <c r="AO17" s="145" t="s">
        <v>144</v>
      </c>
      <c r="AP17" s="4" t="str">
        <f t="shared" si="39"/>
        <v>Yes</v>
      </c>
      <c r="AQ17" s="4" t="str">
        <f>if(AP17="Yes", vlookup(AO$1, 'Week 4'!$A$1:$H$119, 5, False), "")</f>
        <v>Loss</v>
      </c>
      <c r="AR17" s="146">
        <f>vlookup(AO13, 'Week 4'!$A$2:$H$119, 3, False)</f>
        <v>16</v>
      </c>
      <c r="AS17" s="146">
        <f>vlookup(AO13, 'Week 4'!$A$2:$H$119, 6, False)</f>
        <v>13</v>
      </c>
      <c r="AT17" s="146">
        <f>vlookup(AO13, 'Week 4'!$A$2:$H$119, 7, False)</f>
        <v>1</v>
      </c>
      <c r="AU17" s="146">
        <f>vlookup(AO13, 'Week 4'!$A$2:$H$119, 4, False)</f>
        <v>2</v>
      </c>
      <c r="AV17" s="146">
        <f>vlookup(AO13, 'Week 4'!$A$2:$H$119, 5, False)</f>
        <v>0</v>
      </c>
      <c r="AW17" s="146">
        <f>vlookup(AO13, 'Week 4'!$A$2:$H$119, 8, False)</f>
        <v>28</v>
      </c>
      <c r="AX17" s="148">
        <f t="shared" si="40"/>
        <v>0.3636363636</v>
      </c>
      <c r="AY17" s="145" t="s">
        <v>144</v>
      </c>
      <c r="AZ17" s="4" t="str">
        <f t="shared" si="41"/>
        <v>Yes</v>
      </c>
      <c r="BA17" s="4" t="str">
        <f>if(AZ17="Yes", vlookup(AY$1, 'Week 4'!$A$1:$H$119, 5, False), "")</f>
        <v>Loss</v>
      </c>
      <c r="BB17" s="146">
        <f>vlookup(AY13, 'Week 4'!$A$2:$H$119, 3, False)</f>
        <v>13</v>
      </c>
      <c r="BC17" s="146">
        <f>vlookup(AY13, 'Week 4'!$A$2:$H$119, 6, False)</f>
        <v>6</v>
      </c>
      <c r="BD17" s="146">
        <f>vlookup(AY13, 'Week 4'!$A$2:$H$119, 7, False)</f>
        <v>0</v>
      </c>
      <c r="BE17" s="146">
        <f>vlookup(AY13, 'Week 4'!$A$2:$H$119, 4, False)</f>
        <v>5</v>
      </c>
      <c r="BF17" s="146">
        <f>vlookup(AY13, 'Week 4'!$A$2:$H$119, 5, False)</f>
        <v>2</v>
      </c>
      <c r="BG17" s="146">
        <f>vlookup(AY13, 'Week 4'!$A$2:$H$119, 8, False)</f>
        <v>27</v>
      </c>
      <c r="BH17" s="148">
        <f t="shared" si="42"/>
        <v>0.325</v>
      </c>
      <c r="BI17" s="7"/>
      <c r="BJ17" s="7"/>
      <c r="BK17" s="7"/>
      <c r="BL17" s="7"/>
    </row>
    <row r="18">
      <c r="A18" s="145" t="s">
        <v>146</v>
      </c>
      <c r="B18" s="4" t="str">
        <f t="shared" si="31"/>
        <v>#N/A</v>
      </c>
      <c r="C18" s="4" t="str">
        <f>if(B18="Yes", vlookup(A$1, 'Week 5'!$A$1:$H$119, 5, False), "")</f>
        <v>#N/A</v>
      </c>
      <c r="D18" s="146" t="str">
        <f>vlookup(A13, 'Week 5'!$A$2:$H$119, 3, False)</f>
        <v>#N/A</v>
      </c>
      <c r="E18" s="146" t="str">
        <f>vlookup(A13, 'Week 5'!$A$2:$H$119, 6, False)</f>
        <v>#N/A</v>
      </c>
      <c r="F18" s="146" t="str">
        <f>vlookup(A13, 'Week 5'!$A$2:$H$119, 7, False)</f>
        <v>#N/A</v>
      </c>
      <c r="G18" s="146" t="str">
        <f>vlookup(A13, 'Week 5'!$A$2:$H$119, 4, False)</f>
        <v>#N/A</v>
      </c>
      <c r="H18" s="146" t="str">
        <f>vlookup(A13, 'Week 5'!$A$2:$H$119, 5, False)</f>
        <v>#N/A</v>
      </c>
      <c r="I18" s="146" t="str">
        <f>vlookup(A13, 'Week 5'!$A$2:$H$119, 8, False)</f>
        <v>#N/A</v>
      </c>
      <c r="J18" s="148" t="str">
        <f t="shared" si="32"/>
        <v>#N/A</v>
      </c>
      <c r="K18" s="145" t="s">
        <v>146</v>
      </c>
      <c r="L18" s="4" t="str">
        <f t="shared" si="33"/>
        <v>Yes</v>
      </c>
      <c r="M18" s="4" t="str">
        <f>if(L18="Yes", vlookup(K$1, 'Week 5'!$A$1:$H$119, 5, False), "")</f>
        <v>Win</v>
      </c>
      <c r="N18" s="146">
        <f>vlookup(K13, 'Week 5'!$A$2:$H$119, 3, False)</f>
        <v>27</v>
      </c>
      <c r="O18" s="146">
        <f>vlookup(K13, 'Week 5'!$A$2:$H$119, 6, False)</f>
        <v>15</v>
      </c>
      <c r="P18" s="146">
        <f>vlookup(K13, 'Week 5'!$A$2:$H$119, 7, False)</f>
        <v>4</v>
      </c>
      <c r="Q18" s="146">
        <f>vlookup(K13, 'Week 5'!$A$2:$H$119, 4, False)</f>
        <v>6</v>
      </c>
      <c r="R18" s="146">
        <f>vlookup(K13, 'Week 5'!$A$2:$H$119, 5, False)</f>
        <v>2</v>
      </c>
      <c r="S18" s="146">
        <f>vlookup(K13, 'Week 5'!$A$2:$H$119, 8, False)</f>
        <v>17</v>
      </c>
      <c r="T18" s="148">
        <f t="shared" si="34"/>
        <v>0.6136363636</v>
      </c>
      <c r="U18" s="145" t="s">
        <v>146</v>
      </c>
      <c r="V18" s="4" t="str">
        <f t="shared" si="35"/>
        <v>#N/A</v>
      </c>
      <c r="W18" s="4" t="str">
        <f>if(V18="Yes", vlookup(U$1, 'Week 5'!$A$1:$H$119, 5, False), "")</f>
        <v>#N/A</v>
      </c>
      <c r="X18" s="4" t="str">
        <f>vlookup(U13, 'Week 5'!$A$2:$H$119, 3, False)</f>
        <v>#N/A</v>
      </c>
      <c r="Y18" s="4" t="str">
        <f>vlookup(U13, 'Week 5'!$A$2:$H$119, 6, False)</f>
        <v>#N/A</v>
      </c>
      <c r="Z18" s="4" t="str">
        <f>vlookup(U13, 'Week 5'!$A$2:$H$119, 7, False)</f>
        <v>#N/A</v>
      </c>
      <c r="AA18" s="4" t="str">
        <f>vlookup(U13, 'Week 5'!$A$2:$H$119, 4, False)</f>
        <v>#N/A</v>
      </c>
      <c r="AB18" s="4" t="str">
        <f>vlookup(U13, 'Week 5'!$A$2:$H$119, 5, False)</f>
        <v>#N/A</v>
      </c>
      <c r="AC18" s="4" t="str">
        <f>vlookup(U13, 'Week 5'!$A$2:$H$119, 8, False)</f>
        <v>#N/A</v>
      </c>
      <c r="AD18" s="148" t="str">
        <f t="shared" si="36"/>
        <v>#N/A</v>
      </c>
      <c r="AE18" s="145" t="s">
        <v>146</v>
      </c>
      <c r="AF18" s="4" t="str">
        <f t="shared" si="37"/>
        <v>Yes</v>
      </c>
      <c r="AG18" s="4" t="str">
        <f>if(AF18="Yes", vlookup(AE$1, 'Week 5'!$A$1:$H$119, 5, False), "")</f>
        <v>Win</v>
      </c>
      <c r="AH18" s="146">
        <f>vlookup(AE13, 'Week 5'!$A$2:$H$119, 3, False)</f>
        <v>17</v>
      </c>
      <c r="AI18" s="146">
        <f>vlookup(AE13, 'Week 5'!$A$2:$H$119, 6, False)</f>
        <v>8</v>
      </c>
      <c r="AJ18" s="146">
        <f>vlookup(AE13, 'Week 5'!$A$2:$H$119, 7, False)</f>
        <v>2</v>
      </c>
      <c r="AK18" s="146">
        <f>vlookup(AE13, 'Week 5'!$A$2:$H$119, 4, False)</f>
        <v>3</v>
      </c>
      <c r="AL18" s="146">
        <f>vlookup(AE13, 'Week 5'!$A$2:$H$119, 5, False)</f>
        <v>4</v>
      </c>
      <c r="AM18" s="146">
        <f>vlookup(AE13, 'Week 5'!$A$2:$H$119, 8, False)</f>
        <v>29</v>
      </c>
      <c r="AN18" s="148">
        <f t="shared" si="38"/>
        <v>0.3695652174</v>
      </c>
      <c r="AO18" s="145" t="s">
        <v>146</v>
      </c>
      <c r="AP18" s="4" t="str">
        <f t="shared" si="39"/>
        <v>Yes</v>
      </c>
      <c r="AQ18" s="4" t="str">
        <f>if(AP18="Yes", vlookup(AO$1, 'Week 5'!$A$1:$H$119, 5, False), "")</f>
        <v>Win</v>
      </c>
      <c r="AR18" s="146">
        <f>vlookup(AO13, 'Week 5'!$A$2:$H$119, 3, False)</f>
        <v>11</v>
      </c>
      <c r="AS18" s="146">
        <f>vlookup(AO13, 'Week 5'!$A$2:$H$119, 6, False)</f>
        <v>9</v>
      </c>
      <c r="AT18" s="146">
        <f>vlookup(AO13, 'Week 5'!$A$2:$H$119, 7, False)</f>
        <v>0</v>
      </c>
      <c r="AU18" s="146">
        <f>vlookup(AO13, 'Week 5'!$A$2:$H$119, 4, False)</f>
        <v>2</v>
      </c>
      <c r="AV18" s="146">
        <f>vlookup(AO13, 'Week 5'!$A$2:$H$119, 5, False)</f>
        <v>0</v>
      </c>
      <c r="AW18" s="146">
        <f>vlookup(AO13, 'Week 5'!$A$2:$H$119, 8, False)</f>
        <v>27</v>
      </c>
      <c r="AX18" s="148">
        <f t="shared" si="40"/>
        <v>0.2894736842</v>
      </c>
      <c r="AY18" s="145" t="s">
        <v>146</v>
      </c>
      <c r="AZ18" s="4" t="str">
        <f t="shared" si="41"/>
        <v>Yes</v>
      </c>
      <c r="BA18" s="4" t="str">
        <f>if(AZ18="Yes", vlookup(AY$1, 'Week 5'!$A$1:$H$119, 5, False), "")</f>
        <v>Loss</v>
      </c>
      <c r="BB18" s="146">
        <f>vlookup(AY13, 'Week 5'!$A$2:$H$119, 3, False)</f>
        <v>14</v>
      </c>
      <c r="BC18" s="146">
        <f>vlookup(AY13, 'Week 5'!$A$2:$H$119, 6, False)</f>
        <v>3</v>
      </c>
      <c r="BD18" s="146">
        <f>vlookup(AY13, 'Week 5'!$A$2:$H$119, 7, False)</f>
        <v>1</v>
      </c>
      <c r="BE18" s="146">
        <f>vlookup(AY13, 'Week 5'!$A$2:$H$119, 4, False)</f>
        <v>7</v>
      </c>
      <c r="BF18" s="146">
        <f>vlookup(AY13, 'Week 5'!$A$2:$H$119, 5, False)</f>
        <v>3</v>
      </c>
      <c r="BG18" s="146">
        <f>vlookup(AY13, 'Week 5'!$A$2:$H$119, 8, False)</f>
        <v>33</v>
      </c>
      <c r="BH18" s="148">
        <f t="shared" si="42"/>
        <v>0.2978723404</v>
      </c>
      <c r="BI18" s="7"/>
      <c r="BJ18" s="7"/>
      <c r="BK18" s="7"/>
      <c r="BL18" s="7"/>
    </row>
    <row r="19">
      <c r="A19" s="145" t="s">
        <v>148</v>
      </c>
      <c r="B19" s="4" t="str">
        <f t="shared" si="31"/>
        <v>#N/A</v>
      </c>
      <c r="C19" s="4" t="str">
        <f>if(B19="Yes", vlookup(A$1, 'Week 6'!$A$1:$H$119, 5, False), "")</f>
        <v>#N/A</v>
      </c>
      <c r="D19" s="146" t="str">
        <f>vlookup(A13, 'Week 6'!$A$2:$H$119, 3, False)</f>
        <v>#N/A</v>
      </c>
      <c r="E19" s="146" t="str">
        <f>vlookup(A13, 'Week 6'!$A$2:$H$119, 6, False)</f>
        <v>#N/A</v>
      </c>
      <c r="F19" s="146" t="str">
        <f>vlookup(A13, 'Week 6'!$A$2:$H$119, 7, False)</f>
        <v>#N/A</v>
      </c>
      <c r="G19" s="146" t="str">
        <f>vlookup(A13, 'Week 6'!$A$2:$H$119, 4, False)</f>
        <v>#N/A</v>
      </c>
      <c r="H19" s="146" t="str">
        <f>vlookup(A13, 'Week 6'!$A$2:$H$119, 5, False)</f>
        <v>#N/A</v>
      </c>
      <c r="I19" s="146" t="str">
        <f>vlookup(A13, 'Week 6'!$A$2:$H$119, 8, False)</f>
        <v>#N/A</v>
      </c>
      <c r="J19" s="148" t="str">
        <f t="shared" si="32"/>
        <v>#N/A</v>
      </c>
      <c r="K19" s="145" t="s">
        <v>148</v>
      </c>
      <c r="L19" s="4" t="str">
        <f t="shared" si="33"/>
        <v>Yes</v>
      </c>
      <c r="M19" s="4" t="str">
        <f>if(L19="Yes", vlookup(K$1, 'Week 6'!$A$1:$H$119, 5, False), "")</f>
        <v>Loss</v>
      </c>
      <c r="N19" s="146">
        <f>vlookup(K13, 'Week 6'!$A$2:$H$119, 3, False)</f>
        <v>20</v>
      </c>
      <c r="O19" s="146">
        <f>vlookup(K13, 'Week 6'!$A$2:$H$119, 6, False)</f>
        <v>11</v>
      </c>
      <c r="P19" s="146">
        <f>vlookup(K13, 'Week 6'!$A$2:$H$119, 7, False)</f>
        <v>3</v>
      </c>
      <c r="Q19" s="146">
        <f>vlookup(K13, 'Week 6'!$A$2:$H$119, 4, False)</f>
        <v>5</v>
      </c>
      <c r="R19" s="146">
        <f>vlookup(K13, 'Week 6'!$A$2:$H$119, 5, False)</f>
        <v>1</v>
      </c>
      <c r="S19" s="146">
        <f>vlookup(K13, 'Week 6'!$A$2:$H$119, 8, False)</f>
        <v>22</v>
      </c>
      <c r="T19" s="148">
        <f t="shared" si="34"/>
        <v>0.4761904762</v>
      </c>
      <c r="U19" s="145" t="s">
        <v>148</v>
      </c>
      <c r="V19" s="4" t="str">
        <f t="shared" si="35"/>
        <v>#N/A</v>
      </c>
      <c r="W19" s="4" t="str">
        <f>if(V19="Yes", vlookup(U$1, 'Week 6'!$A$1:$H$119, 5, False), "")</f>
        <v>#N/A</v>
      </c>
      <c r="X19" s="146" t="str">
        <f>vlookup(U13, 'Week 6'!$A$2:$H$119, 3, False)</f>
        <v>#N/A</v>
      </c>
      <c r="Y19" s="146" t="str">
        <f>vlookup(U13, 'Week 6'!$A$2:$H$119, 6, False)</f>
        <v>#N/A</v>
      </c>
      <c r="Z19" s="146" t="str">
        <f>vlookup(U13, 'Week 6'!$A$2:$H$119, 7, False)</f>
        <v>#N/A</v>
      </c>
      <c r="AA19" s="146" t="str">
        <f>vlookup(U13, 'Week 6'!$A$2:$H$119, 4, False)</f>
        <v>#N/A</v>
      </c>
      <c r="AB19" s="146" t="str">
        <f>vlookup(U13, 'Week 6'!$A$2:$H$119, 5, False)</f>
        <v>#N/A</v>
      </c>
      <c r="AC19" s="146" t="str">
        <f>vlookup(U13, 'Week 6'!$A$2:$H$119, 8, False)</f>
        <v>#N/A</v>
      </c>
      <c r="AD19" s="148" t="str">
        <f t="shared" si="36"/>
        <v>#N/A</v>
      </c>
      <c r="AE19" s="145" t="s">
        <v>148</v>
      </c>
      <c r="AF19" s="4" t="str">
        <f t="shared" si="37"/>
        <v>Yes</v>
      </c>
      <c r="AG19" s="4" t="str">
        <f>if(AF19="Yes", vlookup(AE$1, 'Week 6'!$A$1:$H$119, 5, False), "")</f>
        <v>Win</v>
      </c>
      <c r="AH19" s="146">
        <f>vlookup(AE13, 'Week 6'!$A$2:$H$119, 3, False)</f>
        <v>20</v>
      </c>
      <c r="AI19" s="146">
        <f>vlookup(AE13, 'Week 6'!$A$2:$H$119, 6, False)</f>
        <v>6</v>
      </c>
      <c r="AJ19" s="146">
        <f>vlookup(AE13, 'Week 6'!$A$2:$H$119, 7, False)</f>
        <v>3</v>
      </c>
      <c r="AK19" s="146">
        <f>vlookup(AE13, 'Week 6'!$A$2:$H$119, 4, False)</f>
        <v>10</v>
      </c>
      <c r="AL19" s="146">
        <f>vlookup(AE13, 'Week 6'!$A$2:$H$119, 5, False)</f>
        <v>1</v>
      </c>
      <c r="AM19" s="146">
        <f>vlookup(AE13, 'Week 6'!$A$2:$H$119, 8, False)</f>
        <v>21</v>
      </c>
      <c r="AN19" s="148">
        <f t="shared" si="38"/>
        <v>0.487804878</v>
      </c>
      <c r="AO19" s="145" t="s">
        <v>148</v>
      </c>
      <c r="AP19" s="4" t="str">
        <f t="shared" si="39"/>
        <v>Yes</v>
      </c>
      <c r="AQ19" s="4" t="str">
        <f>if(AP19="Yes", vlookup(AO$1, 'Week 6'!$A$1:$H$119, 5, False), "")</f>
        <v>Loss</v>
      </c>
      <c r="AR19" s="146">
        <f>vlookup(AO13, 'Week 6'!$A$2:$H$119, 3, False)</f>
        <v>27</v>
      </c>
      <c r="AS19" s="146">
        <f>vlookup(AO13, 'Week 6'!$A$2:$H$119, 6, False)</f>
        <v>15</v>
      </c>
      <c r="AT19" s="146">
        <f>vlookup(AO13, 'Week 6'!$A$2:$H$119, 7, False)</f>
        <v>4</v>
      </c>
      <c r="AU19" s="146">
        <f>vlookup(AO13, 'Week 6'!$A$2:$H$119, 4, False)</f>
        <v>7</v>
      </c>
      <c r="AV19" s="146">
        <f>vlookup(AO13, 'Week 6'!$A$2:$H$119, 5, False)</f>
        <v>1</v>
      </c>
      <c r="AW19" s="146">
        <f>vlookup(AO13, 'Week 6'!$A$2:$H$119, 8, False)</f>
        <v>32</v>
      </c>
      <c r="AX19" s="148">
        <f t="shared" si="40"/>
        <v>0.4576271186</v>
      </c>
      <c r="AY19" s="145" t="s">
        <v>148</v>
      </c>
      <c r="AZ19" s="4" t="str">
        <f t="shared" si="41"/>
        <v>Yes</v>
      </c>
      <c r="BA19" s="4" t="str">
        <f>if(AZ19="Yes", vlookup(AY$1, 'Week 6'!$A$1:$H$119, 5, False), "")</f>
        <v>Win</v>
      </c>
      <c r="BB19" s="146">
        <f>vlookup(AY13, 'Week 6'!$A$2:$H$119, 3, False)</f>
        <v>12</v>
      </c>
      <c r="BC19" s="146">
        <f>vlookup(AY13, 'Week 6'!$A$2:$H$119, 6, False)</f>
        <v>2</v>
      </c>
      <c r="BD19" s="146">
        <f>vlookup(AY13, 'Week 6'!$A$2:$H$119, 7, False)</f>
        <v>1</v>
      </c>
      <c r="BE19" s="146">
        <f>vlookup(AY13, 'Week 6'!$A$2:$H$119, 4, False)</f>
        <v>7</v>
      </c>
      <c r="BF19" s="146">
        <f>vlookup(AY13, 'Week 6'!$A$2:$H$119, 5, False)</f>
        <v>2</v>
      </c>
      <c r="BG19" s="146">
        <f>vlookup(AY13, 'Week 6'!$A$2:$H$119, 8, False)</f>
        <v>24</v>
      </c>
      <c r="BH19" s="148">
        <f t="shared" si="42"/>
        <v>0.3333333333</v>
      </c>
      <c r="BI19" s="7"/>
      <c r="BJ19" s="7"/>
      <c r="BK19" s="7"/>
      <c r="BL19" s="7"/>
    </row>
    <row r="20">
      <c r="A20" s="145" t="s">
        <v>154</v>
      </c>
      <c r="B20" s="4" t="str">
        <f t="shared" si="31"/>
        <v>#N/A</v>
      </c>
      <c r="C20" s="4" t="str">
        <f>if(B20="Yes", vlookup(A$1, 'Week 7'!$A$1:$H$119, 5, False), "")</f>
        <v>#N/A</v>
      </c>
      <c r="D20" s="146" t="str">
        <f>vlookup(A13, 'Week 7'!$A$2:$H$119, 3, False)</f>
        <v>#N/A</v>
      </c>
      <c r="E20" s="146" t="str">
        <f>vlookup(A13, 'Week 7'!$A$2:$H$119, 6, False)</f>
        <v>#N/A</v>
      </c>
      <c r="F20" s="146" t="str">
        <f>vlookup(A13, 'Week 7'!$A$2:$H$119, 7, False)</f>
        <v>#N/A</v>
      </c>
      <c r="G20" s="146" t="str">
        <f>vlookup(A13, 'Week 7'!$A$2:$H$119, 4, False)</f>
        <v>#N/A</v>
      </c>
      <c r="H20" s="146" t="str">
        <f>vlookup(A13, 'Week 7'!$A$2:$H$119, 5, False)</f>
        <v>#N/A</v>
      </c>
      <c r="I20" s="146" t="str">
        <f>vlookup(A13, 'Week 7'!$A$2:$H$119, 8, False)</f>
        <v>#N/A</v>
      </c>
      <c r="J20" s="148" t="str">
        <f t="shared" si="32"/>
        <v>#N/A</v>
      </c>
      <c r="K20" s="145" t="s">
        <v>154</v>
      </c>
      <c r="L20" s="4" t="str">
        <f t="shared" si="33"/>
        <v>Yes</v>
      </c>
      <c r="M20" s="4" t="str">
        <f>if(L20="Yes", vlookup(K$1, 'Week 7'!$A$1:$H$119, 5, False), "")</f>
        <v>Loss</v>
      </c>
      <c r="N20" s="146">
        <f>vlookup(K13, 'Week 7'!$A$2:$H$119, 3, False)</f>
        <v>19</v>
      </c>
      <c r="O20" s="146">
        <f>vlookup(K13, 'Week 7'!$A$2:$H$119, 6, False)</f>
        <v>7</v>
      </c>
      <c r="P20" s="146">
        <f>vlookup(K13, 'Week 7'!$A$2:$H$119, 7, False)</f>
        <v>2</v>
      </c>
      <c r="Q20" s="146">
        <f>vlookup(K13, 'Week 7'!$A$2:$H$119, 4, False)</f>
        <v>10</v>
      </c>
      <c r="R20" s="146">
        <f>vlookup(K13, 'Week 7'!$A$2:$H$119, 5, False)</f>
        <v>0</v>
      </c>
      <c r="S20" s="146">
        <f>vlookup(K13, 'Week 7'!$A$2:$H$119, 8, False)</f>
        <v>27</v>
      </c>
      <c r="T20" s="148">
        <f t="shared" si="34"/>
        <v>0.4130434783</v>
      </c>
      <c r="U20" s="145" t="s">
        <v>154</v>
      </c>
      <c r="V20" s="4" t="str">
        <f t="shared" si="35"/>
        <v>#N/A</v>
      </c>
      <c r="W20" s="4" t="str">
        <f>if(V20="Yes", vlookup(U$1, 'Week 7'!$A$1:$H$119, 5, False), "")</f>
        <v>#N/A</v>
      </c>
      <c r="X20" s="146" t="str">
        <f>vlookup(U13, 'Week 7'!$A$2:$H$119, 3, False)</f>
        <v>#N/A</v>
      </c>
      <c r="Y20" s="146" t="str">
        <f>vlookup(U13, 'Week 7'!$A$2:$H$119, 6, False)</f>
        <v>#N/A</v>
      </c>
      <c r="Z20" s="146" t="str">
        <f>vlookup(U13, 'Week 7'!$A$2:$H$119, 7, False)</f>
        <v>#N/A</v>
      </c>
      <c r="AA20" s="146" t="str">
        <f>vlookup(U13, 'Week 7'!$A$2:$H$119, 4, False)</f>
        <v>#N/A</v>
      </c>
      <c r="AB20" s="146" t="str">
        <f>vlookup(U13, 'Week 7'!$A$2:$H$119, 5, False)</f>
        <v>#N/A</v>
      </c>
      <c r="AC20" s="146" t="str">
        <f>vlookup(U13, 'Week 7'!$A$2:$H$119, 8, False)</f>
        <v>#N/A</v>
      </c>
      <c r="AD20" s="148" t="str">
        <f t="shared" si="36"/>
        <v>#N/A</v>
      </c>
      <c r="AE20" s="145" t="s">
        <v>154</v>
      </c>
      <c r="AF20" s="4" t="str">
        <f t="shared" si="37"/>
        <v>Yes</v>
      </c>
      <c r="AG20" s="4" t="str">
        <f>if(AF20="Yes", vlookup(AE$1, 'Week 7'!$A$1:$H$119, 5, False), "")</f>
        <v>Loss</v>
      </c>
      <c r="AH20" s="146">
        <f>vlookup(AE13, 'Week 7'!$A$2:$H$119, 3, False)</f>
        <v>16</v>
      </c>
      <c r="AI20" s="146">
        <f>vlookup(AE13, 'Week 7'!$A$2:$H$119, 6, False)</f>
        <v>6</v>
      </c>
      <c r="AJ20" s="146">
        <f>vlookup(AE13, 'Week 7'!$A$2:$H$119, 7, False)</f>
        <v>4</v>
      </c>
      <c r="AK20" s="146">
        <f>vlookup(AE13, 'Week 7'!$A$2:$H$119, 4, False)</f>
        <v>5</v>
      </c>
      <c r="AL20" s="146">
        <f>vlookup(AE13, 'Week 7'!$A$2:$H$119, 5, False)</f>
        <v>1</v>
      </c>
      <c r="AM20" s="146">
        <f>vlookup(AE13, 'Week 7'!$A$2:$H$119, 8, False)</f>
        <v>30</v>
      </c>
      <c r="AN20" s="148">
        <f t="shared" si="38"/>
        <v>0.347826087</v>
      </c>
      <c r="AO20" s="145" t="s">
        <v>154</v>
      </c>
      <c r="AP20" s="4" t="str">
        <f t="shared" si="39"/>
        <v>Yes</v>
      </c>
      <c r="AQ20" s="4" t="str">
        <f>if(AP20="Yes", vlookup(AO$1, 'Week 7'!$A$1:$H$119, 5, False), "")</f>
        <v>Loss</v>
      </c>
      <c r="AR20" s="4">
        <f>vlookup(AO13, 'Week 7'!$A$2:$H$119, 3, False)</f>
        <v>22</v>
      </c>
      <c r="AS20" s="4">
        <f>vlookup(AO13, 'Week 7'!$A$2:$H$119, 6, False)</f>
        <v>13</v>
      </c>
      <c r="AT20" s="4">
        <f>vlookup(AO13, 'Week 7'!$A$2:$H$119, 7, False)</f>
        <v>0</v>
      </c>
      <c r="AU20" s="4">
        <f>vlookup(AO13, 'Week 7'!$A$2:$H$119, 4, False)</f>
        <v>7</v>
      </c>
      <c r="AV20" s="4">
        <f>vlookup(AO13, 'Week 7'!$A$2:$H$119, 5, False)</f>
        <v>2</v>
      </c>
      <c r="AW20" s="4">
        <f>vlookup(AO13, 'Week 7'!$A$2:$H$119, 8, False)</f>
        <v>21</v>
      </c>
      <c r="AX20" s="148">
        <f t="shared" si="40"/>
        <v>0.511627907</v>
      </c>
      <c r="AY20" s="145" t="s">
        <v>154</v>
      </c>
      <c r="AZ20" s="4" t="str">
        <f t="shared" si="41"/>
        <v>Yes</v>
      </c>
      <c r="BA20" s="4" t="str">
        <f>if(AZ20="Yes", vlookup(AY$1, 'Week 7'!$A$1:$H$119, 5, False), "")</f>
        <v>Win</v>
      </c>
      <c r="BB20" s="146">
        <f>vlookup(AY13, 'Week 7'!$A$2:$H$119, 3, False)</f>
        <v>13</v>
      </c>
      <c r="BC20" s="146">
        <f>vlookup(AY13, 'Week 7'!$A$2:$H$119, 6, False)</f>
        <v>6</v>
      </c>
      <c r="BD20" s="146">
        <f>vlookup(AY13, 'Week 7'!$A$2:$H$119, 7, False)</f>
        <v>2</v>
      </c>
      <c r="BE20" s="146">
        <f>vlookup(AY13, 'Week 7'!$A$2:$H$119, 4, False)</f>
        <v>4</v>
      </c>
      <c r="BF20" s="146">
        <f>vlookup(AY13, 'Week 7'!$A$2:$H$119, 5, False)</f>
        <v>1</v>
      </c>
      <c r="BG20" s="146">
        <f>vlookup(AY13, 'Week 7'!$A$2:$H$119, 8, False)</f>
        <v>25</v>
      </c>
      <c r="BH20" s="148">
        <f t="shared" si="42"/>
        <v>0.3421052632</v>
      </c>
      <c r="BI20" s="7"/>
      <c r="BJ20" s="7"/>
      <c r="BK20" s="7"/>
      <c r="BL20" s="7"/>
    </row>
    <row r="21">
      <c r="A21" s="145" t="s">
        <v>211</v>
      </c>
      <c r="B21" s="4" t="str">
        <f t="shared" si="31"/>
        <v/>
      </c>
      <c r="C21" s="4" t="str">
        <f>if(B21="Yes", vlookup(A$1, 'Week 1'!$A$1:$H$119, 5, False), "")</f>
        <v/>
      </c>
      <c r="D21" s="4"/>
      <c r="E21" s="4"/>
      <c r="F21" s="4"/>
      <c r="G21" s="4"/>
      <c r="H21" s="4"/>
      <c r="I21" s="4"/>
      <c r="J21" s="123"/>
      <c r="K21" s="145" t="s">
        <v>211</v>
      </c>
      <c r="L21" s="4" t="str">
        <f t="shared" si="33"/>
        <v/>
      </c>
      <c r="M21" s="4" t="str">
        <f>if(L21="Yes", vlookup(K$1, 'Week 1'!$A$1:$H$119, 5, False), "")</f>
        <v/>
      </c>
      <c r="N21" s="4"/>
      <c r="O21" s="4"/>
      <c r="P21" s="4"/>
      <c r="Q21" s="4"/>
      <c r="R21" s="4"/>
      <c r="S21" s="4"/>
      <c r="T21" s="123"/>
      <c r="U21" s="145" t="s">
        <v>211</v>
      </c>
      <c r="V21" s="4" t="str">
        <f t="shared" si="35"/>
        <v/>
      </c>
      <c r="W21" s="4" t="str">
        <f>if(V21="Yes", vlookup(U$1, 'Week 1'!$A$1:$H$119, 5, False), "")</f>
        <v/>
      </c>
      <c r="X21" s="4"/>
      <c r="Y21" s="4"/>
      <c r="Z21" s="4"/>
      <c r="AA21" s="4"/>
      <c r="AB21" s="4"/>
      <c r="AC21" s="4"/>
      <c r="AD21" s="123"/>
      <c r="AE21" s="145" t="s">
        <v>211</v>
      </c>
      <c r="AF21" s="4" t="str">
        <f t="shared" si="37"/>
        <v/>
      </c>
      <c r="AG21" s="4" t="str">
        <f>if(AF21="Yes", vlookup(AE$1, 'Week 1'!$A$1:$H$119, 5, False), "")</f>
        <v/>
      </c>
      <c r="AH21" s="4"/>
      <c r="AI21" s="4"/>
      <c r="AJ21" s="4"/>
      <c r="AK21" s="4"/>
      <c r="AL21" s="4"/>
      <c r="AM21" s="4"/>
      <c r="AN21" s="123"/>
      <c r="AO21" s="145" t="s">
        <v>211</v>
      </c>
      <c r="AP21" s="4" t="str">
        <f t="shared" si="39"/>
        <v/>
      </c>
      <c r="AQ21" s="4" t="str">
        <f>if(AP21="Yes", vlookup(AO$1, 'Week 1'!$A$1:$H$119, 5, False), "")</f>
        <v/>
      </c>
      <c r="AR21" s="4"/>
      <c r="AS21" s="4"/>
      <c r="AT21" s="4"/>
      <c r="AU21" s="4"/>
      <c r="AV21" s="4"/>
      <c r="AW21" s="4"/>
      <c r="AX21" s="123"/>
      <c r="AY21" s="145" t="s">
        <v>211</v>
      </c>
      <c r="AZ21" s="4" t="str">
        <f t="shared" si="41"/>
        <v/>
      </c>
      <c r="BA21" s="4" t="str">
        <f>if(AZ21="Yes", vlookup(AY$1, 'Week 1'!$A$1:$H$119, 5, False), "")</f>
        <v/>
      </c>
      <c r="BB21" s="4"/>
      <c r="BC21" s="4"/>
      <c r="BD21" s="4"/>
      <c r="BE21" s="4"/>
      <c r="BF21" s="4"/>
      <c r="BG21" s="4"/>
      <c r="BH21" s="123"/>
      <c r="BI21" s="7"/>
      <c r="BJ21" s="7"/>
      <c r="BK21" s="7"/>
      <c r="BL21" s="7"/>
    </row>
    <row r="22">
      <c r="A22" s="145" t="s">
        <v>212</v>
      </c>
      <c r="B22" s="4" t="str">
        <f t="shared" si="31"/>
        <v/>
      </c>
      <c r="C22" s="4" t="str">
        <f>if(B22="Yes", vlookup(A$1, 'Week 1'!$A$1:$H$119, 5, False), "")</f>
        <v/>
      </c>
      <c r="D22" s="4"/>
      <c r="E22" s="4"/>
      <c r="F22" s="4"/>
      <c r="G22" s="4"/>
      <c r="H22" s="4"/>
      <c r="I22" s="4"/>
      <c r="J22" s="123"/>
      <c r="K22" s="145" t="s">
        <v>212</v>
      </c>
      <c r="L22" s="4" t="str">
        <f t="shared" si="33"/>
        <v/>
      </c>
      <c r="M22" s="4" t="str">
        <f>if(L22="Yes", vlookup(K$1, 'Week 1'!$A$1:$H$119, 5, False), "")</f>
        <v/>
      </c>
      <c r="N22" s="4"/>
      <c r="O22" s="4"/>
      <c r="P22" s="4"/>
      <c r="Q22" s="4"/>
      <c r="R22" s="4"/>
      <c r="S22" s="4"/>
      <c r="T22" s="123"/>
      <c r="U22" s="145" t="s">
        <v>212</v>
      </c>
      <c r="V22" s="4" t="str">
        <f t="shared" si="35"/>
        <v/>
      </c>
      <c r="W22" s="4" t="str">
        <f>if(V22="Yes", vlookup(U$1, 'Week 1'!$A$1:$H$119, 5, False), "")</f>
        <v/>
      </c>
      <c r="X22" s="4"/>
      <c r="Y22" s="4"/>
      <c r="Z22" s="4"/>
      <c r="AA22" s="4"/>
      <c r="AB22" s="4"/>
      <c r="AC22" s="4"/>
      <c r="AD22" s="123"/>
      <c r="AE22" s="145" t="s">
        <v>212</v>
      </c>
      <c r="AF22" s="4" t="str">
        <f t="shared" si="37"/>
        <v/>
      </c>
      <c r="AG22" s="4" t="str">
        <f>if(AF22="Yes", vlookup(AE$1, 'Week 1'!$A$1:$H$119, 5, False), "")</f>
        <v/>
      </c>
      <c r="AH22" s="4"/>
      <c r="AI22" s="4"/>
      <c r="AJ22" s="4"/>
      <c r="AK22" s="4"/>
      <c r="AL22" s="4"/>
      <c r="AM22" s="4"/>
      <c r="AN22" s="123"/>
      <c r="AO22" s="145" t="s">
        <v>212</v>
      </c>
      <c r="AP22" s="4" t="str">
        <f t="shared" si="39"/>
        <v/>
      </c>
      <c r="AQ22" s="4" t="str">
        <f>if(AP22="Yes", vlookup(AO$1, 'Week 1'!$A$1:$H$119, 5, False), "")</f>
        <v/>
      </c>
      <c r="AR22" s="4"/>
      <c r="AS22" s="4"/>
      <c r="AT22" s="4"/>
      <c r="AU22" s="4"/>
      <c r="AV22" s="4"/>
      <c r="AW22" s="4"/>
      <c r="AX22" s="123"/>
      <c r="AY22" s="145" t="s">
        <v>212</v>
      </c>
      <c r="AZ22" s="4" t="str">
        <f t="shared" si="41"/>
        <v/>
      </c>
      <c r="BA22" s="4" t="str">
        <f>if(AZ22="Yes", vlookup(AY$1, 'Week 1'!$A$1:$H$119, 5, False), "")</f>
        <v/>
      </c>
      <c r="BB22" s="4"/>
      <c r="BC22" s="4"/>
      <c r="BD22" s="4"/>
      <c r="BE22" s="4"/>
      <c r="BF22" s="4"/>
      <c r="BG22" s="4"/>
      <c r="BH22" s="123"/>
      <c r="BI22" s="7"/>
      <c r="BJ22" s="7"/>
      <c r="BK22" s="7"/>
      <c r="BL22" s="7"/>
    </row>
    <row r="23">
      <c r="A23" s="2" t="s">
        <v>213</v>
      </c>
      <c r="B23" s="149">
        <f>countif(B14:B22, "Yes")</f>
        <v>0</v>
      </c>
      <c r="C23" s="150" t="str">
        <f>countif(C14:C22, "Win")/(countif(C14:C22, "Win")+countif(C14:C22, "Loss"))</f>
        <v>#DIV/0!</v>
      </c>
      <c r="D23" s="151" t="str">
        <f t="shared" ref="D23:I23" si="43">average(D14:D22)</f>
        <v>#N/A</v>
      </c>
      <c r="E23" s="151" t="str">
        <f t="shared" si="43"/>
        <v>#N/A</v>
      </c>
      <c r="F23" s="151" t="str">
        <f t="shared" si="43"/>
        <v>#N/A</v>
      </c>
      <c r="G23" s="151" t="str">
        <f t="shared" si="43"/>
        <v>#N/A</v>
      </c>
      <c r="H23" s="151" t="str">
        <f t="shared" si="43"/>
        <v>#N/A</v>
      </c>
      <c r="I23" s="152" t="str">
        <f t="shared" si="43"/>
        <v>#N/A</v>
      </c>
      <c r="J23" s="153" t="str">
        <f>D23/(I23+D23)</f>
        <v>#N/A</v>
      </c>
      <c r="K23" s="2" t="s">
        <v>213</v>
      </c>
      <c r="L23" s="149">
        <f>countif(L14:L22, "Yes")</f>
        <v>7</v>
      </c>
      <c r="M23" s="150">
        <f>countif(M14:M22, "Win")/(countif(M14:M22, "Win")+countif(M14:M22, "Loss"))</f>
        <v>0.5714285714</v>
      </c>
      <c r="N23" s="151">
        <f t="shared" ref="N23:S23" si="44">average(N14:N22)</f>
        <v>19.28571429</v>
      </c>
      <c r="O23" s="151">
        <f t="shared" si="44"/>
        <v>9.428571429</v>
      </c>
      <c r="P23" s="151">
        <f t="shared" si="44"/>
        <v>2.142857143</v>
      </c>
      <c r="Q23" s="151">
        <f t="shared" si="44"/>
        <v>6.571428571</v>
      </c>
      <c r="R23" s="151">
        <f t="shared" si="44"/>
        <v>1.142857143</v>
      </c>
      <c r="S23" s="152">
        <f t="shared" si="44"/>
        <v>22.85714286</v>
      </c>
      <c r="T23" s="153">
        <f>N23/(S23+N23)</f>
        <v>0.4576271186</v>
      </c>
      <c r="U23" s="2" t="s">
        <v>213</v>
      </c>
      <c r="V23" s="149">
        <f>countif(V14:V22, "Yes")</f>
        <v>0</v>
      </c>
      <c r="W23" s="150" t="str">
        <f>countif(W14:W22, "Win")/(countif(W14:W22, "Win")+countif(W14:W22, "Loss"))</f>
        <v>#DIV/0!</v>
      </c>
      <c r="X23" s="151" t="str">
        <f t="shared" ref="X23:AC23" si="45">average(X14:X22)</f>
        <v>#N/A</v>
      </c>
      <c r="Y23" s="151" t="str">
        <f t="shared" si="45"/>
        <v>#N/A</v>
      </c>
      <c r="Z23" s="151" t="str">
        <f t="shared" si="45"/>
        <v>#N/A</v>
      </c>
      <c r="AA23" s="151" t="str">
        <f t="shared" si="45"/>
        <v>#N/A</v>
      </c>
      <c r="AB23" s="151" t="str">
        <f t="shared" si="45"/>
        <v>#N/A</v>
      </c>
      <c r="AC23" s="152" t="str">
        <f t="shared" si="45"/>
        <v>#N/A</v>
      </c>
      <c r="AD23" s="153" t="str">
        <f>X23/(AC23+X23)</f>
        <v>#N/A</v>
      </c>
      <c r="AE23" s="2" t="s">
        <v>213</v>
      </c>
      <c r="AF23" s="149">
        <f>countif(AF14:AF22, "Yes")</f>
        <v>6</v>
      </c>
      <c r="AG23" s="150">
        <f>countif(AG14:AG22, "Win")/(countif(AG14:AG22, "Win")+countif(AG14:AG22, "Loss"))</f>
        <v>0.6666666667</v>
      </c>
      <c r="AH23" s="151">
        <f t="shared" ref="AH23:AM23" si="46">average(AH14:AH22)</f>
        <v>20.33333333</v>
      </c>
      <c r="AI23" s="151">
        <f t="shared" si="46"/>
        <v>7.166666667</v>
      </c>
      <c r="AJ23" s="151">
        <f t="shared" si="46"/>
        <v>2.833333333</v>
      </c>
      <c r="AK23" s="151">
        <f t="shared" si="46"/>
        <v>7.5</v>
      </c>
      <c r="AL23" s="151">
        <f t="shared" si="46"/>
        <v>2.833333333</v>
      </c>
      <c r="AM23" s="152">
        <f t="shared" si="46"/>
        <v>25.66666667</v>
      </c>
      <c r="AN23" s="153">
        <f>AH23/(AM23+AH23)</f>
        <v>0.4420289855</v>
      </c>
      <c r="AO23" s="2" t="s">
        <v>213</v>
      </c>
      <c r="AP23" s="149">
        <f>countif(AP14:AP22, "Yes")</f>
        <v>7</v>
      </c>
      <c r="AQ23" s="150">
        <f>countif(AQ14:AQ22, "Win")/(countif(AQ14:AQ22, "Win")+countif(AQ14:AQ22, "Loss"))</f>
        <v>0.1428571429</v>
      </c>
      <c r="AR23" s="151">
        <f t="shared" ref="AR23:AW23" si="47">average(AR14:AR22)</f>
        <v>20.71428571</v>
      </c>
      <c r="AS23" s="151">
        <f t="shared" si="47"/>
        <v>12.85714286</v>
      </c>
      <c r="AT23" s="151">
        <f t="shared" si="47"/>
        <v>1.571428571</v>
      </c>
      <c r="AU23" s="151">
        <f t="shared" si="47"/>
        <v>5.142857143</v>
      </c>
      <c r="AV23" s="151">
        <f t="shared" si="47"/>
        <v>1.142857143</v>
      </c>
      <c r="AW23" s="152">
        <f t="shared" si="47"/>
        <v>27.14285714</v>
      </c>
      <c r="AX23" s="153">
        <f>AR23/(AW23+AR23)</f>
        <v>0.4328358209</v>
      </c>
      <c r="AY23" s="2" t="s">
        <v>213</v>
      </c>
      <c r="AZ23" s="149">
        <f>countif(AZ14:AZ22, "Yes")</f>
        <v>7</v>
      </c>
      <c r="BA23" s="150">
        <f>countif(BA14:BA22, "Win")/(countif(BA14:BA22, "Win")+countif(BA14:BA22, "Loss"))</f>
        <v>0.7142857143</v>
      </c>
      <c r="BB23" s="151">
        <f t="shared" ref="BB23:BG23" si="48">average(BB14:BB22)</f>
        <v>13.71428571</v>
      </c>
      <c r="BC23" s="151">
        <f t="shared" si="48"/>
        <v>4</v>
      </c>
      <c r="BD23" s="151">
        <f t="shared" si="48"/>
        <v>1.428571429</v>
      </c>
      <c r="BE23" s="151">
        <f t="shared" si="48"/>
        <v>5</v>
      </c>
      <c r="BF23" s="151">
        <f t="shared" si="48"/>
        <v>3.285714286</v>
      </c>
      <c r="BG23" s="152">
        <f t="shared" si="48"/>
        <v>26.85714286</v>
      </c>
      <c r="BH23" s="153">
        <f>BB23/(BG23+BB23)</f>
        <v>0.338028169</v>
      </c>
      <c r="BI23" s="7"/>
      <c r="BJ23" s="7"/>
      <c r="BK23" s="7"/>
      <c r="BL23" s="7"/>
    </row>
    <row r="24">
      <c r="A24" s="154" t="str">
        <f>Draft!B47</f>
        <v>Porco</v>
      </c>
      <c r="B24" s="124">
        <f t="shared" ref="B24:J24" si="49">B34</f>
        <v>5</v>
      </c>
      <c r="C24" s="136">
        <f t="shared" si="49"/>
        <v>0.4</v>
      </c>
      <c r="D24" s="137">
        <f t="shared" si="49"/>
        <v>18</v>
      </c>
      <c r="E24" s="137">
        <f t="shared" si="49"/>
        <v>6.4</v>
      </c>
      <c r="F24" s="137">
        <f t="shared" si="49"/>
        <v>0.8</v>
      </c>
      <c r="G24" s="137">
        <f t="shared" si="49"/>
        <v>9.2</v>
      </c>
      <c r="H24" s="137">
        <f t="shared" si="49"/>
        <v>1.6</v>
      </c>
      <c r="I24" s="138">
        <f t="shared" si="49"/>
        <v>25.6</v>
      </c>
      <c r="J24" s="139">
        <f t="shared" si="49"/>
        <v>0.4128440367</v>
      </c>
      <c r="K24" s="155" t="str">
        <f>Draft!C47</f>
        <v>Skeet</v>
      </c>
      <c r="L24" s="124">
        <f t="shared" ref="L24:T24" si="50">L34</f>
        <v>0</v>
      </c>
      <c r="M24" s="136" t="str">
        <f t="shared" si="50"/>
        <v>#DIV/0!</v>
      </c>
      <c r="N24" s="137" t="str">
        <f t="shared" si="50"/>
        <v>#N/A</v>
      </c>
      <c r="O24" s="137" t="str">
        <f t="shared" si="50"/>
        <v>#N/A</v>
      </c>
      <c r="P24" s="137" t="str">
        <f t="shared" si="50"/>
        <v>#N/A</v>
      </c>
      <c r="Q24" s="137" t="str">
        <f t="shared" si="50"/>
        <v>#N/A</v>
      </c>
      <c r="R24" s="137" t="str">
        <f t="shared" si="50"/>
        <v>#N/A</v>
      </c>
      <c r="S24" s="138" t="str">
        <f t="shared" si="50"/>
        <v>#N/A</v>
      </c>
      <c r="T24" s="139" t="str">
        <f t="shared" si="50"/>
        <v>#N/A</v>
      </c>
      <c r="U24" s="156" t="str">
        <f>Draft!D47</f>
        <v>Mike Harrison</v>
      </c>
      <c r="V24" s="124">
        <f t="shared" ref="V24:AD24" si="51">V34</f>
        <v>0</v>
      </c>
      <c r="W24" s="136" t="str">
        <f t="shared" si="51"/>
        <v>#DIV/0!</v>
      </c>
      <c r="X24" s="137" t="str">
        <f t="shared" si="51"/>
        <v>#N/A</v>
      </c>
      <c r="Y24" s="137" t="str">
        <f t="shared" si="51"/>
        <v>#N/A</v>
      </c>
      <c r="Z24" s="137" t="str">
        <f t="shared" si="51"/>
        <v>#N/A</v>
      </c>
      <c r="AA24" s="137" t="str">
        <f t="shared" si="51"/>
        <v>#N/A</v>
      </c>
      <c r="AB24" s="137" t="str">
        <f t="shared" si="51"/>
        <v>#N/A</v>
      </c>
      <c r="AC24" s="138" t="str">
        <f t="shared" si="51"/>
        <v>#N/A</v>
      </c>
      <c r="AD24" s="139" t="str">
        <f t="shared" si="51"/>
        <v>#N/A</v>
      </c>
      <c r="AE24" s="157" t="str">
        <f>Draft!E47</f>
        <v>Fritz</v>
      </c>
      <c r="AF24" s="124">
        <f t="shared" ref="AF24:AN24" si="52">AF34</f>
        <v>6</v>
      </c>
      <c r="AG24" s="136">
        <f t="shared" si="52"/>
        <v>0.8333333333</v>
      </c>
      <c r="AH24" s="137">
        <f t="shared" si="52"/>
        <v>17</v>
      </c>
      <c r="AI24" s="137">
        <f t="shared" si="52"/>
        <v>6.5</v>
      </c>
      <c r="AJ24" s="137">
        <f t="shared" si="52"/>
        <v>1.5</v>
      </c>
      <c r="AK24" s="137">
        <f t="shared" si="52"/>
        <v>7.5</v>
      </c>
      <c r="AL24" s="137">
        <f t="shared" si="52"/>
        <v>1.5</v>
      </c>
      <c r="AM24" s="138">
        <f t="shared" si="52"/>
        <v>27.16666667</v>
      </c>
      <c r="AN24" s="139">
        <f t="shared" si="52"/>
        <v>0.3849056604</v>
      </c>
      <c r="AO24" s="158" t="str">
        <f>Draft!F47</f>
        <v>Grish</v>
      </c>
      <c r="AP24" s="124">
        <f t="shared" ref="AP24:AX24" si="53">AP34</f>
        <v>7</v>
      </c>
      <c r="AQ24" s="136">
        <f t="shared" si="53"/>
        <v>0.1428571429</v>
      </c>
      <c r="AR24" s="137">
        <f t="shared" si="53"/>
        <v>14.14285714</v>
      </c>
      <c r="AS24" s="137">
        <f t="shared" si="53"/>
        <v>5.142857143</v>
      </c>
      <c r="AT24" s="137">
        <f t="shared" si="53"/>
        <v>0.1428571429</v>
      </c>
      <c r="AU24" s="137">
        <f t="shared" si="53"/>
        <v>8.285714286</v>
      </c>
      <c r="AV24" s="137">
        <f t="shared" si="53"/>
        <v>0.5714285714</v>
      </c>
      <c r="AW24" s="138">
        <f t="shared" si="53"/>
        <v>28.57142857</v>
      </c>
      <c r="AX24" s="139">
        <f t="shared" si="53"/>
        <v>0.3311036789</v>
      </c>
      <c r="AY24" s="19" t="str">
        <f>Draft!G47</f>
        <v>DC</v>
      </c>
      <c r="AZ24" s="124">
        <f t="shared" ref="AZ24:BH24" si="54">AZ34</f>
        <v>6</v>
      </c>
      <c r="BA24" s="136">
        <f t="shared" si="54"/>
        <v>0.8333333333</v>
      </c>
      <c r="BB24" s="137">
        <f t="shared" si="54"/>
        <v>15.5</v>
      </c>
      <c r="BC24" s="137">
        <f t="shared" si="54"/>
        <v>5.666666667</v>
      </c>
      <c r="BD24" s="137">
        <f t="shared" si="54"/>
        <v>0.3333333333</v>
      </c>
      <c r="BE24" s="137">
        <f t="shared" si="54"/>
        <v>8.833333333</v>
      </c>
      <c r="BF24" s="137">
        <f t="shared" si="54"/>
        <v>0.6666666667</v>
      </c>
      <c r="BG24" s="138">
        <f t="shared" si="54"/>
        <v>26</v>
      </c>
      <c r="BH24" s="139">
        <f t="shared" si="54"/>
        <v>0.3734939759</v>
      </c>
      <c r="BI24" s="7"/>
      <c r="BJ24" s="7"/>
      <c r="BK24" s="7"/>
      <c r="BL24" s="7"/>
    </row>
    <row r="25">
      <c r="A25" s="145" t="s">
        <v>133</v>
      </c>
      <c r="B25" s="4" t="str">
        <f t="shared" ref="B25:B33" si="55">if(I25&gt;0, "Yes", "")</f>
        <v>Yes</v>
      </c>
      <c r="C25" s="4" t="str">
        <f>if(B25="Yes", vlookup(A$1, 'Week 1'!$A$1:$H$119, 5, False), "")</f>
        <v>Loss</v>
      </c>
      <c r="D25" s="4">
        <f>vlookup(A24, 'Week 1'!$A$2:$H$119, 3, False)</f>
        <v>20</v>
      </c>
      <c r="E25" s="7">
        <f>vlookup(A24, 'Week 1'!$A$2:$H$119, 6, False)</f>
        <v>10</v>
      </c>
      <c r="F25" s="7">
        <f>vlookup(A24, 'Week 1'!$A$2:$H$119, 7, False)</f>
        <v>2</v>
      </c>
      <c r="G25" s="7">
        <f>vlookup(A24, 'Week 1'!$A$2:$H$119, 4, False)</f>
        <v>8</v>
      </c>
      <c r="H25" s="7">
        <f>vlookup(A24, 'Week 1'!$A$2:$H$119, 5, False)</f>
        <v>0</v>
      </c>
      <c r="I25" s="7">
        <f>vlookup(A24, 'Week 1'!$A$2:$H$119, 8, False)</f>
        <v>23</v>
      </c>
      <c r="J25" s="148">
        <f t="shared" ref="J25:J31" si="56">if(D25&gt;0, (D25/(D25+I25)), "")</f>
        <v>0.4651162791</v>
      </c>
      <c r="K25" s="145" t="s">
        <v>133</v>
      </c>
      <c r="L25" s="4" t="str">
        <f t="shared" ref="L25:L33" si="57">if(S25&gt;0, "Yes", "")</f>
        <v>#N/A</v>
      </c>
      <c r="M25" s="4" t="str">
        <f>if(L25="Yes", vlookup(K$1, 'Week 1'!$A$1:$H$119, 5, False), "")</f>
        <v>#N/A</v>
      </c>
      <c r="N25" s="146" t="str">
        <f>vlookup(K24, 'Week 1'!$A$2:$H$119, 3, False)</f>
        <v>#N/A</v>
      </c>
      <c r="O25" s="147" t="str">
        <f>vlookup(K24, 'Week 1'!$A$2:$H$119, 6, False)</f>
        <v>#N/A</v>
      </c>
      <c r="P25" s="147" t="str">
        <f>vlookup(K24, 'Week 1'!$A$2:$H$119, 7, False)</f>
        <v>#N/A</v>
      </c>
      <c r="Q25" s="147" t="str">
        <f>vlookup(K24, 'Week 1'!$A$2:$H$119, 4, False)</f>
        <v>#N/A</v>
      </c>
      <c r="R25" s="147" t="str">
        <f>vlookup(K24, 'Week 1'!$A$2:$H$119, 5, False)</f>
        <v>#N/A</v>
      </c>
      <c r="S25" s="147" t="str">
        <f>vlookup(K24, 'Week 1'!$A$2:$H$119, 8, False)</f>
        <v>#N/A</v>
      </c>
      <c r="T25" s="148" t="str">
        <f t="shared" ref="T25:T31" si="58">if(N25&gt;0, (N25/(N25+S25)), "")</f>
        <v>#N/A</v>
      </c>
      <c r="U25" s="145" t="s">
        <v>133</v>
      </c>
      <c r="V25" s="4" t="str">
        <f t="shared" ref="V25:V33" si="59">if(AC25&gt;0, "Yes", "")</f>
        <v>#N/A</v>
      </c>
      <c r="W25" s="4" t="str">
        <f>if(V25="Yes", vlookup(U$1, 'Week 1'!$A$1:$H$119, 5, False), "")</f>
        <v>#N/A</v>
      </c>
      <c r="X25" s="146" t="str">
        <f>vlookup(U24, 'Week 1'!$A$2:$H$119, 3, False)</f>
        <v>#N/A</v>
      </c>
      <c r="Y25" s="147" t="str">
        <f>vlookup(U24, 'Week 1'!$A$2:$H$119, 6, False)</f>
        <v>#N/A</v>
      </c>
      <c r="Z25" s="147" t="str">
        <f>vlookup(U24, 'Week 1'!$A$2:$H$119, 7, False)</f>
        <v>#N/A</v>
      </c>
      <c r="AA25" s="147" t="str">
        <f>vlookup(U24, 'Week 1'!$A$2:$H$119, 4, False)</f>
        <v>#N/A</v>
      </c>
      <c r="AB25" s="147" t="str">
        <f>vlookup(U24, 'Week 1'!$A$2:$H$119, 5, False)</f>
        <v>#N/A</v>
      </c>
      <c r="AC25" s="147" t="str">
        <f>vlookup(U24, 'Week 1'!$A$2:$H$119, 8, False)</f>
        <v>#N/A</v>
      </c>
      <c r="AD25" s="148" t="str">
        <f t="shared" ref="AD25:AD31" si="60">if(X25&gt;0, (X25/(X25+AC25)), "")</f>
        <v>#N/A</v>
      </c>
      <c r="AE25" s="145" t="s">
        <v>133</v>
      </c>
      <c r="AF25" s="4" t="str">
        <f t="shared" ref="AF25:AF33" si="61">if(AM25&gt;0, "Yes", "")</f>
        <v>Yes</v>
      </c>
      <c r="AG25" s="4" t="str">
        <f>if(AF25="Yes", vlookup(AE$1, 'Week 1'!$A$1:$H$119, 5, False), "")</f>
        <v>Win</v>
      </c>
      <c r="AH25" s="146">
        <f>vlookup(AE24, 'Week 1'!$A$2:$H$119, 3, False)</f>
        <v>14</v>
      </c>
      <c r="AI25" s="147">
        <f>vlookup(AE24, 'Week 1'!$A$2:$H$119, 6, False)</f>
        <v>4</v>
      </c>
      <c r="AJ25" s="147">
        <f>vlookup(AE24, 'Week 1'!$A$2:$H$119, 7, False)</f>
        <v>2</v>
      </c>
      <c r="AK25" s="147">
        <f>vlookup(AE24, 'Week 1'!$A$2:$H$119, 4, False)</f>
        <v>6</v>
      </c>
      <c r="AL25" s="147">
        <f>vlookup(AE24, 'Week 1'!$A$2:$H$119, 5, False)</f>
        <v>2</v>
      </c>
      <c r="AM25" s="147">
        <f>vlookup(AE24, 'Week 1'!$A$2:$H$119, 8, False)</f>
        <v>35</v>
      </c>
      <c r="AN25" s="148">
        <f t="shared" ref="AN25:AN31" si="62">if(AH25&gt;0, (AH25/(AH25+AM25)), "")</f>
        <v>0.2857142857</v>
      </c>
      <c r="AO25" s="145" t="s">
        <v>133</v>
      </c>
      <c r="AP25" s="4" t="str">
        <f t="shared" ref="AP25:AP33" si="63">if(AW25&gt;0, "Yes", "")</f>
        <v>Yes</v>
      </c>
      <c r="AQ25" s="4" t="str">
        <f>if(AP25="Yes", vlookup(AO$1, 'Week 1'!$A$1:$H$119, 5, False), "")</f>
        <v>Loss</v>
      </c>
      <c r="AR25" s="146">
        <f>vlookup(AO24, 'Week 1'!$A$2:$H$119, 3, False)</f>
        <v>14</v>
      </c>
      <c r="AS25" s="147">
        <f>vlookup(AO24, 'Week 1'!$A$2:$H$119, 6, False)</f>
        <v>7</v>
      </c>
      <c r="AT25" s="147">
        <f>vlookup(AO24, 'Week 1'!$A$2:$H$119, 7, False)</f>
        <v>0</v>
      </c>
      <c r="AU25" s="147">
        <f>vlookup(AO24, 'Week 1'!$A$2:$H$119, 4, False)</f>
        <v>7</v>
      </c>
      <c r="AV25" s="147">
        <f>vlookup(AO24, 'Week 1'!$A$2:$H$119, 5, False)</f>
        <v>0</v>
      </c>
      <c r="AW25" s="147">
        <f>vlookup(AO24, 'Week 1'!$A$2:$H$119, 8, False)</f>
        <v>34</v>
      </c>
      <c r="AX25" s="148">
        <f t="shared" ref="AX25:AX31" si="64">if(AR25&gt;0, (AR25/(AR25+AW25)), "")</f>
        <v>0.2916666667</v>
      </c>
      <c r="AY25" s="145" t="s">
        <v>133</v>
      </c>
      <c r="AZ25" s="4" t="str">
        <f t="shared" ref="AZ25:AZ33" si="65">if(BG25&gt;0, "Yes", "")</f>
        <v>Yes</v>
      </c>
      <c r="BA25" s="4" t="str">
        <f>if(AZ25="Yes", vlookup(AY$1, 'Week 1'!$A$1:$H$119, 5, False), "")</f>
        <v>Win</v>
      </c>
      <c r="BB25" s="4">
        <f>vlookup(AY24, 'Week 1'!$A$2:$H$119, 3, False)</f>
        <v>15</v>
      </c>
      <c r="BC25" s="7">
        <f>vlookup(AY24, 'Week 1'!$A$2:$H$119, 6, False)</f>
        <v>13</v>
      </c>
      <c r="BD25" s="7">
        <f>vlookup(AY24, 'Week 1'!$A$2:$H$119, 7, False)</f>
        <v>0</v>
      </c>
      <c r="BE25" s="7">
        <f>vlookup(AY24, 'Week 1'!$A$2:$H$119, 4, False)</f>
        <v>2</v>
      </c>
      <c r="BF25" s="7">
        <f>vlookup(AY24, 'Week 1'!$A$2:$H$119, 5, False)</f>
        <v>0</v>
      </c>
      <c r="BG25" s="7">
        <f>vlookup(AY24, 'Week 1'!$A$2:$H$119, 8, False)</f>
        <v>24</v>
      </c>
      <c r="BH25" s="148">
        <f t="shared" ref="BH25:BH31" si="66">if(BB25&gt;0, (BB25/(BB25+BG25)), "")</f>
        <v>0.3846153846</v>
      </c>
      <c r="BI25" s="7"/>
      <c r="BJ25" s="7"/>
      <c r="BK25" s="7"/>
      <c r="BL25" s="7"/>
    </row>
    <row r="26">
      <c r="A26" s="145" t="s">
        <v>135</v>
      </c>
      <c r="B26" s="4" t="str">
        <f t="shared" si="55"/>
        <v>Yes</v>
      </c>
      <c r="C26" s="4" t="str">
        <f>if(B26="Yes", vlookup(A$1, 'Week 2'!$A$1:$H$119, 5, False), "")</f>
        <v>Loss</v>
      </c>
      <c r="D26" s="146">
        <f>vlookup(A24, 'Week 2'!$A$2:$H$119, 3, False)</f>
        <v>16</v>
      </c>
      <c r="E26" s="146">
        <f>vlookup(A24, 'Week 2'!$A$2:$H$119, 6, False)</f>
        <v>8</v>
      </c>
      <c r="F26" s="146">
        <f>vlookup(A24, 'Week 2'!$A$2:$H$119, 7, False)</f>
        <v>0</v>
      </c>
      <c r="G26" s="146">
        <f>vlookup(A24, 'Week 2'!$A$2:$H$119, 4, False)</f>
        <v>6</v>
      </c>
      <c r="H26" s="146">
        <f>vlookup(A24, 'Week 2'!$A$2:$H$119, 5, False)</f>
        <v>2</v>
      </c>
      <c r="I26" s="146">
        <f>vlookup(A24, 'Week 2'!$A$2:$H$119, 8, False)</f>
        <v>29</v>
      </c>
      <c r="J26" s="148">
        <f t="shared" si="56"/>
        <v>0.3555555556</v>
      </c>
      <c r="K26" s="145" t="s">
        <v>135</v>
      </c>
      <c r="L26" s="4" t="str">
        <f t="shared" si="57"/>
        <v>#N/A</v>
      </c>
      <c r="M26" s="4" t="str">
        <f>if(L26="Yes", vlookup(K$1, 'Week 2'!$A$1:$H$119, 5, False), "")</f>
        <v>#N/A</v>
      </c>
      <c r="N26" s="146" t="str">
        <f>vlookup(K24, 'Week 2'!$A$2:$H$119, 3, False)</f>
        <v>#N/A</v>
      </c>
      <c r="O26" s="146" t="str">
        <f>vlookup(K24, 'Week 2'!$A$2:$H$119, 6, False)</f>
        <v>#N/A</v>
      </c>
      <c r="P26" s="146" t="str">
        <f>vlookup(K24, 'Week 2'!$A$2:$H$119, 7, False)</f>
        <v>#N/A</v>
      </c>
      <c r="Q26" s="146" t="str">
        <f>vlookup(K24, 'Week 2'!$A$2:$H$119, 4, False)</f>
        <v>#N/A</v>
      </c>
      <c r="R26" s="146" t="str">
        <f>vlookup(K24, 'Week 2'!$A$2:$H$119, 5, False)</f>
        <v>#N/A</v>
      </c>
      <c r="S26" s="146" t="str">
        <f>vlookup(K24, 'Week 2'!$A$2:$H$119, 8, False)</f>
        <v>#N/A</v>
      </c>
      <c r="T26" s="148" t="str">
        <f t="shared" si="58"/>
        <v>#N/A</v>
      </c>
      <c r="U26" s="145" t="s">
        <v>135</v>
      </c>
      <c r="V26" s="4" t="str">
        <f t="shared" si="59"/>
        <v>#N/A</v>
      </c>
      <c r="W26" s="4" t="str">
        <f>if(V26="Yes", vlookup(U$1, 'Week 2'!$A$1:$H$119, 5, False), "")</f>
        <v>#N/A</v>
      </c>
      <c r="X26" s="146" t="str">
        <f>vlookup(U24, 'Week 2'!$A$2:$H$119, 3, False)</f>
        <v>#N/A</v>
      </c>
      <c r="Y26" s="146" t="str">
        <f>vlookup(U24, 'Week 2'!$A$2:$H$119, 6, False)</f>
        <v>#N/A</v>
      </c>
      <c r="Z26" s="146" t="str">
        <f>vlookup(U24, 'Week 2'!$A$2:$H$119, 7, False)</f>
        <v>#N/A</v>
      </c>
      <c r="AA26" s="146" t="str">
        <f>vlookup(U24, 'Week 2'!$A$2:$H$119, 4, False)</f>
        <v>#N/A</v>
      </c>
      <c r="AB26" s="146" t="str">
        <f>vlookup(U24, 'Week 2'!$A$2:$H$119, 5, False)</f>
        <v>#N/A</v>
      </c>
      <c r="AC26" s="146" t="str">
        <f>vlookup(U24, 'Week 2'!$A$2:$H$119, 8, False)</f>
        <v>#N/A</v>
      </c>
      <c r="AD26" s="148" t="str">
        <f t="shared" si="60"/>
        <v>#N/A</v>
      </c>
      <c r="AE26" s="145" t="s">
        <v>135</v>
      </c>
      <c r="AF26" s="4" t="str">
        <f t="shared" si="61"/>
        <v>Yes</v>
      </c>
      <c r="AG26" s="4" t="str">
        <f>if(AF26="Yes", vlookup(AE$1, 'Week 2'!$A$1:$H$119, 5, False), "")</f>
        <v>Win</v>
      </c>
      <c r="AH26" s="146">
        <f>vlookup(AE24, 'Week 2'!$A$2:$H$119, 3, False)</f>
        <v>23</v>
      </c>
      <c r="AI26" s="146">
        <f>vlookup(AE24, 'Week 2'!$A$2:$H$119, 6, False)</f>
        <v>3</v>
      </c>
      <c r="AJ26" s="146">
        <f>vlookup(AE24, 'Week 2'!$A$2:$H$119, 7, False)</f>
        <v>1</v>
      </c>
      <c r="AK26" s="146">
        <f>vlookup(AE24, 'Week 2'!$A$2:$H$119, 4, False)</f>
        <v>16</v>
      </c>
      <c r="AL26" s="146">
        <f>vlookup(AE24, 'Week 2'!$A$2:$H$119, 5, False)</f>
        <v>3</v>
      </c>
      <c r="AM26" s="146">
        <f>vlookup(AE24, 'Week 2'!$A$2:$H$119, 8, False)</f>
        <v>19</v>
      </c>
      <c r="AN26" s="148">
        <f t="shared" si="62"/>
        <v>0.5476190476</v>
      </c>
      <c r="AO26" s="145" t="s">
        <v>135</v>
      </c>
      <c r="AP26" s="4" t="str">
        <f t="shared" si="63"/>
        <v>Yes</v>
      </c>
      <c r="AQ26" s="4" t="str">
        <f>if(AP26="Yes", vlookup(AO$1, 'Week 2'!$A$1:$H$119, 5, False), "")</f>
        <v>Loss</v>
      </c>
      <c r="AR26" s="146">
        <f>vlookup(AO24, 'Week 2'!$A$2:$H$119, 3, False)</f>
        <v>8</v>
      </c>
      <c r="AS26" s="146">
        <f>vlookup(AO24, 'Week 2'!$A$2:$H$119, 6, False)</f>
        <v>2</v>
      </c>
      <c r="AT26" s="146">
        <f>vlookup(AO24, 'Week 2'!$A$2:$H$119, 7, False)</f>
        <v>0</v>
      </c>
      <c r="AU26" s="146">
        <f>vlookup(AO24, 'Week 2'!$A$2:$H$119, 4, False)</f>
        <v>6</v>
      </c>
      <c r="AV26" s="146">
        <f>vlookup(AO24, 'Week 2'!$A$2:$H$119, 5, False)</f>
        <v>0</v>
      </c>
      <c r="AW26" s="146">
        <f>vlookup(AO24, 'Week 2'!$A$2:$H$119, 8, False)</f>
        <v>29</v>
      </c>
      <c r="AX26" s="148">
        <f t="shared" si="64"/>
        <v>0.2162162162</v>
      </c>
      <c r="AY26" s="145" t="s">
        <v>135</v>
      </c>
      <c r="AZ26" s="4" t="str">
        <f t="shared" si="65"/>
        <v>Yes</v>
      </c>
      <c r="BA26" s="4" t="str">
        <f>if(AZ26="Yes", vlookup(AY$1, 'Week 2'!$A$1:$H$119, 5, False), "")</f>
        <v>Win</v>
      </c>
      <c r="BB26" s="146">
        <f>vlookup(AY24, 'Week 2'!$A$2:$H$119, 3, False)</f>
        <v>12</v>
      </c>
      <c r="BC26" s="146">
        <f>vlookup(AY24, 'Week 2'!$A$2:$H$119, 6, False)</f>
        <v>5</v>
      </c>
      <c r="BD26" s="146">
        <f>vlookup(AY24, 'Week 2'!$A$2:$H$119, 7, False)</f>
        <v>0</v>
      </c>
      <c r="BE26" s="146">
        <f>vlookup(AY24, 'Week 2'!$A$2:$H$119, 4, False)</f>
        <v>7</v>
      </c>
      <c r="BF26" s="146">
        <f>vlookup(AY24, 'Week 2'!$A$2:$H$119, 5, False)</f>
        <v>0</v>
      </c>
      <c r="BG26" s="146">
        <f>vlookup(AY24, 'Week 2'!$A$2:$H$119, 8, False)</f>
        <v>31</v>
      </c>
      <c r="BH26" s="148">
        <f t="shared" si="66"/>
        <v>0.2790697674</v>
      </c>
      <c r="BI26" s="7"/>
      <c r="BJ26" s="7"/>
      <c r="BK26" s="7"/>
      <c r="BL26" s="7"/>
    </row>
    <row r="27">
      <c r="A27" s="145" t="s">
        <v>140</v>
      </c>
      <c r="B27" s="4" t="str">
        <f t="shared" si="55"/>
        <v>Yes</v>
      </c>
      <c r="C27" s="4" t="str">
        <f>if(B27="Yes", vlookup(A$1, 'Week 3'!$A$1:$H$119, 5, False), "")</f>
        <v>Win</v>
      </c>
      <c r="D27" s="146">
        <f>vlookup(A24, 'Week 3'!$A$2:$H$119, 3, False)</f>
        <v>16</v>
      </c>
      <c r="E27" s="146">
        <f>vlookup(A24, 'Week 3'!$A$2:$H$119, 6, False)</f>
        <v>3</v>
      </c>
      <c r="F27" s="146">
        <f>vlookup(A24, 'Week 3'!$A$2:$H$119, 7, False)</f>
        <v>0</v>
      </c>
      <c r="G27" s="146">
        <f>vlookup(A24, 'Week 3'!$A$2:$H$119, 4, False)</f>
        <v>10</v>
      </c>
      <c r="H27" s="146">
        <f>vlookup(A24, 'Week 3'!$A$2:$H$119, 5, False)</f>
        <v>3</v>
      </c>
      <c r="I27" s="146">
        <f>vlookup(A24, 'Week 3'!$A$2:$H$119, 8, False)</f>
        <v>26</v>
      </c>
      <c r="J27" s="148">
        <f t="shared" si="56"/>
        <v>0.380952381</v>
      </c>
      <c r="K27" s="145" t="s">
        <v>140</v>
      </c>
      <c r="L27" s="4" t="str">
        <f t="shared" si="57"/>
        <v>#N/A</v>
      </c>
      <c r="M27" s="4" t="str">
        <f>if(L27="Yes", vlookup(K$1, 'Week 3'!$A$1:$H$119, 5, False), "")</f>
        <v>#N/A</v>
      </c>
      <c r="N27" s="146" t="str">
        <f>vlookup(K24, 'Week 3'!$A$2:$H$119, 3, False)</f>
        <v>#N/A</v>
      </c>
      <c r="O27" s="146" t="str">
        <f>vlookup(K24, 'Week 3'!$A$2:$H$119, 6, False)</f>
        <v>#N/A</v>
      </c>
      <c r="P27" s="146" t="str">
        <f>vlookup(K24, 'Week 3'!$A$2:$H$119, 7, False)</f>
        <v>#N/A</v>
      </c>
      <c r="Q27" s="146" t="str">
        <f>vlookup(K24, 'Week 3'!$A$2:$H$119, 4, False)</f>
        <v>#N/A</v>
      </c>
      <c r="R27" s="146" t="str">
        <f>vlookup(K24, 'Week 3'!$A$2:$H$119, 5, False)</f>
        <v>#N/A</v>
      </c>
      <c r="S27" s="146" t="str">
        <f>vlookup(K24, 'Week 3'!$A$2:$H$119, 8, False)</f>
        <v>#N/A</v>
      </c>
      <c r="T27" s="148" t="str">
        <f t="shared" si="58"/>
        <v>#N/A</v>
      </c>
      <c r="U27" s="145" t="s">
        <v>140</v>
      </c>
      <c r="V27" s="4" t="str">
        <f t="shared" si="59"/>
        <v>#N/A</v>
      </c>
      <c r="W27" s="4" t="str">
        <f>if(V27="Yes", vlookup(U$1, 'Week 3'!$A$1:$H$119, 5, False), "")</f>
        <v>#N/A</v>
      </c>
      <c r="X27" s="146" t="str">
        <f>vlookup(U24, 'Week 3'!$A$2:$H$119, 3, False)</f>
        <v>#N/A</v>
      </c>
      <c r="Y27" s="146" t="str">
        <f>vlookup(U24, 'Week 3'!$A$2:$H$119, 6, False)</f>
        <v>#N/A</v>
      </c>
      <c r="Z27" s="146" t="str">
        <f>vlookup(U24, 'Week 3'!$A$2:$H$119, 7, False)</f>
        <v>#N/A</v>
      </c>
      <c r="AA27" s="146" t="str">
        <f>vlookup(U24, 'Week 3'!$A$2:$H$119, 4, False)</f>
        <v>#N/A</v>
      </c>
      <c r="AB27" s="146" t="str">
        <f>vlookup(U24, 'Week 3'!$A$2:$H$119, 5, False)</f>
        <v>#N/A</v>
      </c>
      <c r="AC27" s="146" t="str">
        <f>vlookup(U24, 'Week 3'!$A$2:$H$119, 8, False)</f>
        <v>#N/A</v>
      </c>
      <c r="AD27" s="148" t="str">
        <f t="shared" si="60"/>
        <v>#N/A</v>
      </c>
      <c r="AE27" s="145" t="s">
        <v>140</v>
      </c>
      <c r="AF27" s="4" t="str">
        <f t="shared" si="61"/>
        <v>Yes</v>
      </c>
      <c r="AG27" s="4" t="str">
        <f>if(AF27="Yes", vlookup(AE$1, 'Week 3'!$A$1:$H$119, 5, False), "")</f>
        <v>Loss</v>
      </c>
      <c r="AH27" s="146">
        <f>vlookup(AE24, 'Week 3'!$A$2:$H$119, 3, False)</f>
        <v>18</v>
      </c>
      <c r="AI27" s="146">
        <f>vlookup(AE24, 'Week 3'!$A$2:$H$119, 6, False)</f>
        <v>9</v>
      </c>
      <c r="AJ27" s="146">
        <f>vlookup(AE24, 'Week 3'!$A$2:$H$119, 7, False)</f>
        <v>0</v>
      </c>
      <c r="AK27" s="146">
        <f>vlookup(AE24, 'Week 3'!$A$2:$H$119, 4, False)</f>
        <v>9</v>
      </c>
      <c r="AL27" s="146">
        <f>vlookup(AE24, 'Week 3'!$A$2:$H$119, 5, False)</f>
        <v>0</v>
      </c>
      <c r="AM27" s="146">
        <f>vlookup(AE24, 'Week 3'!$A$2:$H$119, 8, False)</f>
        <v>27</v>
      </c>
      <c r="AN27" s="148">
        <f t="shared" si="62"/>
        <v>0.4</v>
      </c>
      <c r="AO27" s="145" t="s">
        <v>140</v>
      </c>
      <c r="AP27" s="4" t="str">
        <f t="shared" si="63"/>
        <v>Yes</v>
      </c>
      <c r="AQ27" s="4" t="str">
        <f>if(AP27="Yes", vlookup(AO$1, 'Week 3'!$A$1:$H$119, 5, False), "")</f>
        <v>Loss</v>
      </c>
      <c r="AR27" s="146">
        <f>vlookup(AO24, 'Week 3'!$A$2:$H$119, 3, False)</f>
        <v>14</v>
      </c>
      <c r="AS27" s="146">
        <f>vlookup(AO24, 'Week 3'!$A$2:$H$119, 6, False)</f>
        <v>4</v>
      </c>
      <c r="AT27" s="146">
        <f>vlookup(AO24, 'Week 3'!$A$2:$H$119, 7, False)</f>
        <v>0</v>
      </c>
      <c r="AU27" s="146">
        <f>vlookup(AO24, 'Week 3'!$A$2:$H$119, 4, False)</f>
        <v>9</v>
      </c>
      <c r="AV27" s="146">
        <f>vlookup(AO24, 'Week 3'!$A$2:$H$119, 5, False)</f>
        <v>1</v>
      </c>
      <c r="AW27" s="146">
        <f>vlookup(AO24, 'Week 3'!$A$2:$H$119, 8, False)</f>
        <v>22</v>
      </c>
      <c r="AX27" s="148">
        <f t="shared" si="64"/>
        <v>0.3888888889</v>
      </c>
      <c r="AY27" s="145" t="s">
        <v>140</v>
      </c>
      <c r="AZ27" s="4" t="str">
        <f t="shared" si="65"/>
        <v>Yes</v>
      </c>
      <c r="BA27" s="4" t="str">
        <f>if(AZ27="Yes", vlookup(AY$1, 'Week 3'!$A$1:$H$119, 5, False), "")</f>
        <v>Win</v>
      </c>
      <c r="BB27" s="146">
        <f>vlookup(AY24, 'Week 3'!$A$2:$H$119, 3, False)</f>
        <v>16</v>
      </c>
      <c r="BC27" s="146">
        <f>vlookup(AY24, 'Week 3'!$A$2:$H$119, 6, False)</f>
        <v>7</v>
      </c>
      <c r="BD27" s="146">
        <f>vlookup(AY24, 'Week 3'!$A$2:$H$119, 7, False)</f>
        <v>0</v>
      </c>
      <c r="BE27" s="146">
        <f>vlookup(AY24, 'Week 3'!$A$2:$H$119, 4, False)</f>
        <v>9</v>
      </c>
      <c r="BF27" s="146">
        <f>vlookup(AY24, 'Week 3'!$A$2:$H$119, 5, False)</f>
        <v>0</v>
      </c>
      <c r="BG27" s="146">
        <f>vlookup(AY24, 'Week 3'!$A$2:$H$119, 8, False)</f>
        <v>23</v>
      </c>
      <c r="BH27" s="148">
        <f t="shared" si="66"/>
        <v>0.4102564103</v>
      </c>
      <c r="BI27" s="7"/>
      <c r="BJ27" s="7"/>
      <c r="BK27" s="7"/>
      <c r="BL27" s="7"/>
    </row>
    <row r="28">
      <c r="A28" s="145" t="s">
        <v>144</v>
      </c>
      <c r="B28" s="4" t="str">
        <f t="shared" si="55"/>
        <v/>
      </c>
      <c r="C28" s="4" t="str">
        <f>if(B28="Yes", vlookup(A$1, 'Week 4'!$A$1:$H$119, 5, False), "")</f>
        <v/>
      </c>
      <c r="D28" s="146" t="str">
        <f>vlookup(A24, 'Week 4'!$A$2:$H$119, 3, False)</f>
        <v/>
      </c>
      <c r="E28" s="146" t="str">
        <f>vlookup(A24, 'Week 4'!$A$2:$H$119, 6, False)</f>
        <v/>
      </c>
      <c r="F28" s="146" t="str">
        <f>vlookup(A24, 'Week 4'!$A$2:$H$119, 7, False)</f>
        <v/>
      </c>
      <c r="G28" s="146" t="str">
        <f>vlookup(A24, 'Week 4'!$A$2:$H$119, 4, False)</f>
        <v/>
      </c>
      <c r="H28" s="146" t="str">
        <f>vlookup(A24, 'Week 4'!$A$2:$H$119, 5, False)</f>
        <v/>
      </c>
      <c r="I28" s="146" t="str">
        <f>vlookup(A24, 'Week 4'!$A$2:$H$119, 8, False)</f>
        <v/>
      </c>
      <c r="J28" s="148" t="str">
        <f t="shared" si="56"/>
        <v>#DIV/0!</v>
      </c>
      <c r="K28" s="145" t="s">
        <v>144</v>
      </c>
      <c r="L28" s="4" t="str">
        <f t="shared" si="57"/>
        <v>#N/A</v>
      </c>
      <c r="M28" s="4" t="str">
        <f>if(L28="Yes", vlookup(K$1, 'Week 4'!$A$1:$H$119, 5, False), "")</f>
        <v>#N/A</v>
      </c>
      <c r="N28" s="146" t="str">
        <f>vlookup(K24, 'Week 4'!$A$2:$H$119, 3, False)</f>
        <v>#N/A</v>
      </c>
      <c r="O28" s="146" t="str">
        <f>vlookup(K24, 'Week 4'!$A$2:$H$119, 6, False)</f>
        <v>#N/A</v>
      </c>
      <c r="P28" s="146" t="str">
        <f>vlookup(K24, 'Week 4'!$A$2:$H$119, 7, False)</f>
        <v>#N/A</v>
      </c>
      <c r="Q28" s="146" t="str">
        <f>vlookup(K24, 'Week 4'!$A$2:$H$119, 4, False)</f>
        <v>#N/A</v>
      </c>
      <c r="R28" s="146" t="str">
        <f>vlookup(K24, 'Week 4'!$A$2:$H$119, 5, False)</f>
        <v>#N/A</v>
      </c>
      <c r="S28" s="146" t="str">
        <f>vlookup(K24, 'Week 4'!$A$2:$H$119, 8, False)</f>
        <v>#N/A</v>
      </c>
      <c r="T28" s="148" t="str">
        <f t="shared" si="58"/>
        <v>#N/A</v>
      </c>
      <c r="U28" s="145" t="s">
        <v>144</v>
      </c>
      <c r="V28" s="4" t="str">
        <f t="shared" si="59"/>
        <v>#N/A</v>
      </c>
      <c r="W28" s="4" t="str">
        <f>if(V28="Yes", vlookup(U$1, 'Week 4'!$A$1:$H$119, 5, False), "")</f>
        <v>#N/A</v>
      </c>
      <c r="X28" s="146" t="str">
        <f>vlookup(U24, 'Week 4'!$A$2:$H$119, 3, False)</f>
        <v>#N/A</v>
      </c>
      <c r="Y28" s="146" t="str">
        <f>vlookup(U24, 'Week 4'!$A$2:$H$119, 6, False)</f>
        <v>#N/A</v>
      </c>
      <c r="Z28" s="146" t="str">
        <f>vlookup(U24, 'Week 4'!$A$2:$H$119, 7, False)</f>
        <v>#N/A</v>
      </c>
      <c r="AA28" s="146" t="str">
        <f>vlookup(U24, 'Week 4'!$A$2:$H$119, 4, False)</f>
        <v>#N/A</v>
      </c>
      <c r="AB28" s="146" t="str">
        <f>vlookup(U24, 'Week 4'!$A$2:$H$119, 5, False)</f>
        <v>#N/A</v>
      </c>
      <c r="AC28" s="146" t="str">
        <f>vlookup(U24, 'Week 4'!$A$2:$H$119, 8, False)</f>
        <v>#N/A</v>
      </c>
      <c r="AD28" s="148" t="str">
        <f t="shared" si="60"/>
        <v>#N/A</v>
      </c>
      <c r="AE28" s="145" t="s">
        <v>144</v>
      </c>
      <c r="AF28" s="4" t="str">
        <f t="shared" si="61"/>
        <v>Yes</v>
      </c>
      <c r="AG28" s="4" t="str">
        <f>if(AF28="Yes", vlookup(AE$1, 'Week 4'!$A$1:$H$119, 5, False), "")</f>
        <v>Win</v>
      </c>
      <c r="AH28" s="146">
        <f>vlookup(AE24, 'Week 4'!$A$2:$H$119, 3, False)</f>
        <v>18</v>
      </c>
      <c r="AI28" s="146">
        <f>vlookup(AE24, 'Week 4'!$A$2:$H$119, 6, False)</f>
        <v>7</v>
      </c>
      <c r="AJ28" s="146">
        <f>vlookup(AE24, 'Week 4'!$A$2:$H$119, 7, False)</f>
        <v>3</v>
      </c>
      <c r="AK28" s="146">
        <f>vlookup(AE24, 'Week 4'!$A$2:$H$119, 4, False)</f>
        <v>6</v>
      </c>
      <c r="AL28" s="146">
        <f>vlookup(AE24, 'Week 4'!$A$2:$H$119, 5, False)</f>
        <v>2</v>
      </c>
      <c r="AM28" s="146">
        <f>vlookup(AE24, 'Week 4'!$A$2:$H$119, 8, False)</f>
        <v>26</v>
      </c>
      <c r="AN28" s="148">
        <f t="shared" si="62"/>
        <v>0.4090909091</v>
      </c>
      <c r="AO28" s="145" t="s">
        <v>144</v>
      </c>
      <c r="AP28" s="4" t="str">
        <f t="shared" si="63"/>
        <v>Yes</v>
      </c>
      <c r="AQ28" s="4" t="str">
        <f>if(AP28="Yes", vlookup(AO$1, 'Week 4'!$A$1:$H$119, 5, False), "")</f>
        <v>Loss</v>
      </c>
      <c r="AR28" s="146">
        <f>vlookup(AO24, 'Week 4'!$A$2:$H$119, 3, False)</f>
        <v>11</v>
      </c>
      <c r="AS28" s="146">
        <f>vlookup(AO24, 'Week 4'!$A$2:$H$119, 6, False)</f>
        <v>3</v>
      </c>
      <c r="AT28" s="146">
        <f>vlookup(AO24, 'Week 4'!$A$2:$H$119, 7, False)</f>
        <v>0</v>
      </c>
      <c r="AU28" s="146">
        <f>vlookup(AO24, 'Week 4'!$A$2:$H$119, 4, False)</f>
        <v>8</v>
      </c>
      <c r="AV28" s="146">
        <f>vlookup(AO24, 'Week 4'!$A$2:$H$119, 5, False)</f>
        <v>0</v>
      </c>
      <c r="AW28" s="146">
        <f>vlookup(AO24, 'Week 4'!$A$2:$H$119, 8, False)</f>
        <v>31</v>
      </c>
      <c r="AX28" s="148">
        <f t="shared" si="64"/>
        <v>0.2619047619</v>
      </c>
      <c r="AY28" s="145" t="s">
        <v>144</v>
      </c>
      <c r="AZ28" s="4" t="str">
        <f t="shared" si="65"/>
        <v/>
      </c>
      <c r="BA28" s="4" t="str">
        <f>if(AZ28="Yes", vlookup(AY$1, 'Week 4'!$A$1:$H$119, 5, False), "")</f>
        <v/>
      </c>
      <c r="BB28" s="146" t="str">
        <f>vlookup(AY24, 'Week 4'!$A$2:$H$119, 3, False)</f>
        <v/>
      </c>
      <c r="BC28" s="146" t="str">
        <f>vlookup(AY24, 'Week 4'!$A$2:$H$119, 6, False)</f>
        <v/>
      </c>
      <c r="BD28" s="146" t="str">
        <f>vlookup(AY24, 'Week 4'!$A$2:$H$119, 7, False)</f>
        <v/>
      </c>
      <c r="BE28" s="146" t="str">
        <f>vlookup(AY24, 'Week 4'!$A$2:$H$119, 4, False)</f>
        <v/>
      </c>
      <c r="BF28" s="146" t="str">
        <f>vlookup(AY24, 'Week 4'!$A$2:$H$119, 5, False)</f>
        <v/>
      </c>
      <c r="BG28" s="146" t="str">
        <f>vlookup(AY24, 'Week 4'!$A$2:$H$119, 8, False)</f>
        <v/>
      </c>
      <c r="BH28" s="148" t="str">
        <f t="shared" si="66"/>
        <v>#DIV/0!</v>
      </c>
      <c r="BI28" s="7"/>
      <c r="BJ28" s="7"/>
      <c r="BK28" s="7"/>
      <c r="BL28" s="7"/>
    </row>
    <row r="29">
      <c r="A29" s="145" t="s">
        <v>146</v>
      </c>
      <c r="B29" s="4" t="str">
        <f t="shared" si="55"/>
        <v/>
      </c>
      <c r="C29" s="4" t="str">
        <f>if(B29="Yes", vlookup(A$1, 'Week 5'!$A$1:$H$119, 5, False), "")</f>
        <v/>
      </c>
      <c r="D29" s="146" t="str">
        <f>vlookup(A24, 'Week 5'!$A$2:$H$119, 3, False)</f>
        <v/>
      </c>
      <c r="E29" s="146" t="str">
        <f>vlookup(A24, 'Week 5'!$A$2:$H$119, 6, False)</f>
        <v/>
      </c>
      <c r="F29" s="146" t="str">
        <f>vlookup(A24, 'Week 5'!$A$2:$H$119, 7, False)</f>
        <v/>
      </c>
      <c r="G29" s="146" t="str">
        <f>vlookup(A24, 'Week 5'!$A$2:$H$119, 4, False)</f>
        <v/>
      </c>
      <c r="H29" s="146" t="str">
        <f>vlookup(A24, 'Week 5'!$A$2:$H$119, 5, False)</f>
        <v/>
      </c>
      <c r="I29" s="146" t="str">
        <f>vlookup(A24, 'Week 5'!$A$2:$H$119, 8, False)</f>
        <v/>
      </c>
      <c r="J29" s="148" t="str">
        <f t="shared" si="56"/>
        <v>#DIV/0!</v>
      </c>
      <c r="K29" s="145" t="s">
        <v>146</v>
      </c>
      <c r="L29" s="4" t="str">
        <f t="shared" si="57"/>
        <v>#N/A</v>
      </c>
      <c r="M29" s="4" t="str">
        <f>if(L29="Yes", vlookup(K$1, 'Week 5'!$A$1:$H$119, 5, False), "")</f>
        <v>#N/A</v>
      </c>
      <c r="N29" s="146" t="str">
        <f>vlookup(K24, 'Week 5'!$A$2:$H$119, 3, False)</f>
        <v>#N/A</v>
      </c>
      <c r="O29" s="146" t="str">
        <f>vlookup(K24, 'Week 5'!$A$2:$H$119, 6, False)</f>
        <v>#N/A</v>
      </c>
      <c r="P29" s="146" t="str">
        <f>vlookup(K24, 'Week 5'!$A$2:$H$119, 7, False)</f>
        <v>#N/A</v>
      </c>
      <c r="Q29" s="146" t="str">
        <f>vlookup(K24, 'Week 5'!$A$2:$H$119, 4, False)</f>
        <v>#N/A</v>
      </c>
      <c r="R29" s="146" t="str">
        <f>vlookup(K24, 'Week 5'!$A$2:$H$119, 5, False)</f>
        <v>#N/A</v>
      </c>
      <c r="S29" s="146" t="str">
        <f>vlookup(K24, 'Week 5'!$A$2:$H$119, 8, False)</f>
        <v>#N/A</v>
      </c>
      <c r="T29" s="148" t="str">
        <f t="shared" si="58"/>
        <v>#N/A</v>
      </c>
      <c r="U29" s="145" t="s">
        <v>146</v>
      </c>
      <c r="V29" s="4" t="str">
        <f t="shared" si="59"/>
        <v>#N/A</v>
      </c>
      <c r="W29" s="4" t="str">
        <f>if(V29="Yes", vlookup(U$1, 'Week 5'!$A$1:$H$119, 5, False), "")</f>
        <v>#N/A</v>
      </c>
      <c r="X29" s="146" t="str">
        <f>vlookup(U24, 'Week 5'!$A$2:$H$119, 3, False)</f>
        <v>#N/A</v>
      </c>
      <c r="Y29" s="146" t="str">
        <f>vlookup(U24, 'Week 5'!$A$2:$H$119, 6, False)</f>
        <v>#N/A</v>
      </c>
      <c r="Z29" s="146" t="str">
        <f>vlookup(U24, 'Week 5'!$A$2:$H$119, 7, False)</f>
        <v>#N/A</v>
      </c>
      <c r="AA29" s="146" t="str">
        <f>vlookup(U24, 'Week 5'!$A$2:$H$119, 4, False)</f>
        <v>#N/A</v>
      </c>
      <c r="AB29" s="146" t="str">
        <f>vlookup(U24, 'Week 5'!$A$2:$H$119, 5, False)</f>
        <v>#N/A</v>
      </c>
      <c r="AC29" s="146" t="str">
        <f>vlookup(U24, 'Week 5'!$A$2:$H$119, 8, False)</f>
        <v>#N/A</v>
      </c>
      <c r="AD29" s="148" t="str">
        <f t="shared" si="60"/>
        <v>#N/A</v>
      </c>
      <c r="AE29" s="145" t="s">
        <v>146</v>
      </c>
      <c r="AF29" s="4" t="str">
        <f t="shared" si="61"/>
        <v>Yes</v>
      </c>
      <c r="AG29" s="4" t="str">
        <f>if(AF29="Yes", vlookup(AE$1, 'Week 5'!$A$1:$H$119, 5, False), "")</f>
        <v>Win</v>
      </c>
      <c r="AH29" s="4">
        <f>vlookup(AE24, 'Week 5'!$A$2:$H$119, 3, False)</f>
        <v>15</v>
      </c>
      <c r="AI29" s="4">
        <f>vlookup(AE24, 'Week 5'!$A$2:$H$119, 6, False)</f>
        <v>6</v>
      </c>
      <c r="AJ29" s="4">
        <f>vlookup(AE24, 'Week 5'!$A$2:$H$119, 7, False)</f>
        <v>3</v>
      </c>
      <c r="AK29" s="4">
        <f>vlookup(AE24, 'Week 5'!$A$2:$H$119, 4, False)</f>
        <v>5</v>
      </c>
      <c r="AL29" s="4">
        <f>vlookup(AE24, 'Week 5'!$A$2:$H$119, 5, False)</f>
        <v>1</v>
      </c>
      <c r="AM29" s="4">
        <f>vlookup(AE24, 'Week 5'!$A$2:$H$119, 8, False)</f>
        <v>32</v>
      </c>
      <c r="AN29" s="148">
        <f t="shared" si="62"/>
        <v>0.3191489362</v>
      </c>
      <c r="AO29" s="145" t="s">
        <v>146</v>
      </c>
      <c r="AP29" s="4" t="str">
        <f t="shared" si="63"/>
        <v>Yes</v>
      </c>
      <c r="AQ29" s="4" t="str">
        <f>if(AP29="Yes", vlookup(AO$1, 'Week 5'!$A$1:$H$119, 5, False), "")</f>
        <v>Win</v>
      </c>
      <c r="AR29" s="146">
        <f>vlookup(AO24, 'Week 5'!$A$2:$H$119, 3, False)</f>
        <v>20</v>
      </c>
      <c r="AS29" s="146">
        <f>vlookup(AO24, 'Week 5'!$A$2:$H$119, 6, False)</f>
        <v>7</v>
      </c>
      <c r="AT29" s="146">
        <f>vlookup(AO24, 'Week 5'!$A$2:$H$119, 7, False)</f>
        <v>0</v>
      </c>
      <c r="AU29" s="146">
        <f>vlookup(AO24, 'Week 5'!$A$2:$H$119, 4, False)</f>
        <v>12</v>
      </c>
      <c r="AV29" s="146">
        <f>vlookup(AO24, 'Week 5'!$A$2:$H$119, 5, False)</f>
        <v>1</v>
      </c>
      <c r="AW29" s="146">
        <f>vlookup(AO24, 'Week 5'!$A$2:$H$119, 8, False)</f>
        <v>26</v>
      </c>
      <c r="AX29" s="148">
        <f t="shared" si="64"/>
        <v>0.4347826087</v>
      </c>
      <c r="AY29" s="145" t="s">
        <v>146</v>
      </c>
      <c r="AZ29" s="4" t="str">
        <f t="shared" si="65"/>
        <v>Yes</v>
      </c>
      <c r="BA29" s="4" t="str">
        <f>if(AZ29="Yes", vlookup(AY$1, 'Week 5'!$A$1:$H$119, 5, False), "")</f>
        <v>Loss</v>
      </c>
      <c r="BB29" s="146">
        <f>vlookup(AY24, 'Week 5'!$A$2:$H$119, 3, False)</f>
        <v>16</v>
      </c>
      <c r="BC29" s="146">
        <f>vlookup(AY24, 'Week 5'!$A$2:$H$119, 6, False)</f>
        <v>1</v>
      </c>
      <c r="BD29" s="146">
        <f>vlookup(AY24, 'Week 5'!$A$2:$H$119, 7, False)</f>
        <v>0</v>
      </c>
      <c r="BE29" s="146">
        <f>vlookup(AY24, 'Week 5'!$A$2:$H$119, 4, False)</f>
        <v>14</v>
      </c>
      <c r="BF29" s="146">
        <f>vlookup(AY24, 'Week 5'!$A$2:$H$119, 5, False)</f>
        <v>1</v>
      </c>
      <c r="BG29" s="146">
        <f>vlookup(AY24, 'Week 5'!$A$2:$H$119, 8, False)</f>
        <v>31</v>
      </c>
      <c r="BH29" s="148">
        <f t="shared" si="66"/>
        <v>0.3404255319</v>
      </c>
      <c r="BI29" s="7"/>
      <c r="BJ29" s="7"/>
      <c r="BK29" s="7"/>
      <c r="BL29" s="7"/>
    </row>
    <row r="30">
      <c r="A30" s="145" t="s">
        <v>148</v>
      </c>
      <c r="B30" s="4" t="str">
        <f t="shared" si="55"/>
        <v>Yes</v>
      </c>
      <c r="C30" s="4" t="str">
        <f>if(B30="Yes", vlookup(A$1, 'Week 6'!$A$1:$H$119, 5, False), "")</f>
        <v>Loss</v>
      </c>
      <c r="D30" s="146">
        <f>vlookup(A24, 'Week 6'!$A$2:$H$119, 3, False)</f>
        <v>21</v>
      </c>
      <c r="E30" s="146">
        <f>vlookup(A24, 'Week 6'!$A$2:$H$119, 6, False)</f>
        <v>8</v>
      </c>
      <c r="F30" s="146">
        <f>vlookup(A24, 'Week 6'!$A$2:$H$119, 7, False)</f>
        <v>0</v>
      </c>
      <c r="G30" s="146">
        <f>vlookup(A24, 'Week 6'!$A$2:$H$119, 4, False)</f>
        <v>11</v>
      </c>
      <c r="H30" s="146">
        <f>vlookup(A24, 'Week 6'!$A$2:$H$119, 5, False)</f>
        <v>2</v>
      </c>
      <c r="I30" s="146">
        <f>vlookup(A24, 'Week 6'!$A$2:$H$119, 8, False)</f>
        <v>21</v>
      </c>
      <c r="J30" s="148">
        <f t="shared" si="56"/>
        <v>0.5</v>
      </c>
      <c r="K30" s="145" t="s">
        <v>148</v>
      </c>
      <c r="L30" s="4" t="str">
        <f t="shared" si="57"/>
        <v>#N/A</v>
      </c>
      <c r="M30" s="4" t="str">
        <f>if(L30="Yes", vlookup(K$1, 'Week 6'!$A$1:$H$119, 5, False), "")</f>
        <v>#N/A</v>
      </c>
      <c r="N30" s="146" t="str">
        <f>vlookup(K24, 'Week 6'!$A$2:$H$119, 3, False)</f>
        <v>#N/A</v>
      </c>
      <c r="O30" s="146" t="str">
        <f>vlookup(K24, 'Week 6'!$A$2:$H$119, 6, False)</f>
        <v>#N/A</v>
      </c>
      <c r="P30" s="146" t="str">
        <f>vlookup(K24, 'Week 6'!$A$2:$H$119, 7, False)</f>
        <v>#N/A</v>
      </c>
      <c r="Q30" s="146" t="str">
        <f>vlookup(K24, 'Week 6'!$A$2:$H$119, 4, False)</f>
        <v>#N/A</v>
      </c>
      <c r="R30" s="146" t="str">
        <f>vlookup(K24, 'Week 6'!$A$2:$H$119, 5, False)</f>
        <v>#N/A</v>
      </c>
      <c r="S30" s="146" t="str">
        <f>vlookup(K24, 'Week 6'!$A$2:$H$119, 8, False)</f>
        <v>#N/A</v>
      </c>
      <c r="T30" s="148" t="str">
        <f t="shared" si="58"/>
        <v>#N/A</v>
      </c>
      <c r="U30" s="145" t="s">
        <v>148</v>
      </c>
      <c r="V30" s="4" t="str">
        <f t="shared" si="59"/>
        <v>#N/A</v>
      </c>
      <c r="W30" s="4" t="str">
        <f>if(V30="Yes", vlookup(U$1, 'Week 6'!$A$1:$H$119, 5, False), "")</f>
        <v>#N/A</v>
      </c>
      <c r="X30" s="146" t="str">
        <f>vlookup(U24, 'Week 6'!$A$2:$H$119, 3, False)</f>
        <v>#N/A</v>
      </c>
      <c r="Y30" s="146" t="str">
        <f>vlookup(U24, 'Week 6'!$A$2:$H$119, 6, False)</f>
        <v>#N/A</v>
      </c>
      <c r="Z30" s="146" t="str">
        <f>vlookup(U24, 'Week 6'!$A$2:$H$119, 7, False)</f>
        <v>#N/A</v>
      </c>
      <c r="AA30" s="146" t="str">
        <f>vlookup(U24, 'Week 6'!$A$2:$H$119, 4, False)</f>
        <v>#N/A</v>
      </c>
      <c r="AB30" s="146" t="str">
        <f>vlookup(U24, 'Week 6'!$A$2:$H$119, 5, False)</f>
        <v>#N/A</v>
      </c>
      <c r="AC30" s="146" t="str">
        <f>vlookup(U24, 'Week 6'!$A$2:$H$119, 8, False)</f>
        <v>#N/A</v>
      </c>
      <c r="AD30" s="148" t="str">
        <f t="shared" si="60"/>
        <v>#N/A</v>
      </c>
      <c r="AE30" s="145" t="s">
        <v>148</v>
      </c>
      <c r="AF30" s="4" t="str">
        <f t="shared" si="61"/>
        <v>Yes</v>
      </c>
      <c r="AG30" s="4" t="str">
        <f>if(AF30="Yes", vlookup(AE$1, 'Week 6'!$A$1:$H$119, 5, False), "")</f>
        <v>Win</v>
      </c>
      <c r="AH30" s="146">
        <f>vlookup(AE24, 'Week 6'!$A$2:$H$119, 3, False)</f>
        <v>14</v>
      </c>
      <c r="AI30" s="146">
        <f>vlookup(AE24, 'Week 6'!$A$2:$H$119, 6, False)</f>
        <v>10</v>
      </c>
      <c r="AJ30" s="146">
        <f>vlookup(AE24, 'Week 6'!$A$2:$H$119, 7, False)</f>
        <v>0</v>
      </c>
      <c r="AK30" s="146">
        <f>vlookup(AE24, 'Week 6'!$A$2:$H$119, 4, False)</f>
        <v>3</v>
      </c>
      <c r="AL30" s="146">
        <f>vlookup(AE24, 'Week 6'!$A$2:$H$119, 5, False)</f>
        <v>1</v>
      </c>
      <c r="AM30" s="146">
        <f>vlookup(AE24, 'Week 6'!$A$2:$H$119, 8, False)</f>
        <v>24</v>
      </c>
      <c r="AN30" s="148">
        <f t="shared" si="62"/>
        <v>0.3684210526</v>
      </c>
      <c r="AO30" s="145" t="s">
        <v>148</v>
      </c>
      <c r="AP30" s="4" t="str">
        <f t="shared" si="63"/>
        <v>Yes</v>
      </c>
      <c r="AQ30" s="4" t="str">
        <f>if(AP30="Yes", vlookup(AO$1, 'Week 6'!$A$1:$H$119, 5, False), "")</f>
        <v>Loss</v>
      </c>
      <c r="AR30" s="146">
        <f>vlookup(AO24, 'Week 6'!$A$2:$H$119, 3, False)</f>
        <v>18</v>
      </c>
      <c r="AS30" s="146">
        <f>vlookup(AO24, 'Week 6'!$A$2:$H$119, 6, False)</f>
        <v>4</v>
      </c>
      <c r="AT30" s="146">
        <f>vlookup(AO24, 'Week 6'!$A$2:$H$119, 7, False)</f>
        <v>1</v>
      </c>
      <c r="AU30" s="146">
        <f>vlookup(AO24, 'Week 6'!$A$2:$H$119, 4, False)</f>
        <v>12</v>
      </c>
      <c r="AV30" s="146">
        <f>vlookup(AO24, 'Week 6'!$A$2:$H$119, 5, False)</f>
        <v>1</v>
      </c>
      <c r="AW30" s="146">
        <f>vlookup(AO24, 'Week 6'!$A$2:$H$119, 8, False)</f>
        <v>33</v>
      </c>
      <c r="AX30" s="148">
        <f t="shared" si="64"/>
        <v>0.3529411765</v>
      </c>
      <c r="AY30" s="145" t="s">
        <v>148</v>
      </c>
      <c r="AZ30" s="4" t="str">
        <f t="shared" si="65"/>
        <v>Yes</v>
      </c>
      <c r="BA30" s="4" t="str">
        <f>if(AZ30="Yes", vlookup(AY$1, 'Week 6'!$A$1:$H$119, 5, False), "")</f>
        <v>Win</v>
      </c>
      <c r="BB30" s="146">
        <f>vlookup(AY24, 'Week 6'!$A$2:$H$119, 3, False)</f>
        <v>16</v>
      </c>
      <c r="BC30" s="146">
        <f>vlookup(AY24, 'Week 6'!$A$2:$H$119, 6, False)</f>
        <v>6</v>
      </c>
      <c r="BD30" s="146">
        <f>vlookup(AY24, 'Week 6'!$A$2:$H$119, 7, False)</f>
        <v>0</v>
      </c>
      <c r="BE30" s="146">
        <f>vlookup(AY24, 'Week 6'!$A$2:$H$119, 4, False)</f>
        <v>9</v>
      </c>
      <c r="BF30" s="146">
        <f>vlookup(AY24, 'Week 6'!$A$2:$H$119, 5, False)</f>
        <v>1</v>
      </c>
      <c r="BG30" s="146">
        <f>vlookup(AY24, 'Week 6'!$A$2:$H$119, 8, False)</f>
        <v>25</v>
      </c>
      <c r="BH30" s="148">
        <f t="shared" si="66"/>
        <v>0.3902439024</v>
      </c>
      <c r="BI30" s="7"/>
      <c r="BJ30" s="7"/>
      <c r="BK30" s="7"/>
      <c r="BL30" s="7"/>
    </row>
    <row r="31">
      <c r="A31" s="145" t="s">
        <v>154</v>
      </c>
      <c r="B31" s="4" t="str">
        <f t="shared" si="55"/>
        <v>Yes</v>
      </c>
      <c r="C31" s="4" t="str">
        <f>if(B31="Yes", vlookup(A$1, 'Week 7'!$A$1:$H$119, 5, False), "")</f>
        <v>Win</v>
      </c>
      <c r="D31" s="146">
        <f>vlookup(A24, 'Week 7'!$A$2:$H$119, 3, False)</f>
        <v>17</v>
      </c>
      <c r="E31" s="146">
        <f>vlookup(A24, 'Week 7'!$A$2:$H$119, 6, False)</f>
        <v>3</v>
      </c>
      <c r="F31" s="146">
        <f>vlookup(A24, 'Week 7'!$A$2:$H$119, 7, False)</f>
        <v>2</v>
      </c>
      <c r="G31" s="146">
        <f>vlookup(A24, 'Week 7'!$A$2:$H$119, 4, False)</f>
        <v>11</v>
      </c>
      <c r="H31" s="146">
        <f>vlookup(A24, 'Week 7'!$A$2:$H$119, 5, False)</f>
        <v>1</v>
      </c>
      <c r="I31" s="146">
        <f>vlookup(A24, 'Week 7'!$A$2:$H$119, 8, False)</f>
        <v>29</v>
      </c>
      <c r="J31" s="148">
        <f t="shared" si="56"/>
        <v>0.3695652174</v>
      </c>
      <c r="K31" s="145" t="s">
        <v>154</v>
      </c>
      <c r="L31" s="4" t="str">
        <f t="shared" si="57"/>
        <v>#N/A</v>
      </c>
      <c r="M31" s="4" t="str">
        <f>if(L31="Yes", vlookup(K$1, 'Week 7'!$A$1:$H$119, 5, False), "")</f>
        <v>#N/A</v>
      </c>
      <c r="N31" s="4" t="str">
        <f>vlookup(K24, 'Week 7'!$A$2:$H$119, 3, False)</f>
        <v>#N/A</v>
      </c>
      <c r="O31" s="4" t="str">
        <f>vlookup(K24, 'Week 7'!$A$2:$H$119, 6, False)</f>
        <v>#N/A</v>
      </c>
      <c r="P31" s="4" t="str">
        <f>vlookup(K24, 'Week 7'!$A$2:$H$119, 7, False)</f>
        <v>#N/A</v>
      </c>
      <c r="Q31" s="4" t="str">
        <f>vlookup(K24, 'Week 7'!$A$2:$H$119, 4, False)</f>
        <v>#N/A</v>
      </c>
      <c r="R31" s="4" t="str">
        <f>vlookup(K24, 'Week 7'!$A$2:$H$119, 5, False)</f>
        <v>#N/A</v>
      </c>
      <c r="S31" s="4" t="str">
        <f>vlookup(K24, 'Week 7'!$A$2:$H$119, 8, False)</f>
        <v>#N/A</v>
      </c>
      <c r="T31" s="148" t="str">
        <f t="shared" si="58"/>
        <v>#N/A</v>
      </c>
      <c r="U31" s="145" t="s">
        <v>154</v>
      </c>
      <c r="V31" s="4" t="str">
        <f t="shared" si="59"/>
        <v>#N/A</v>
      </c>
      <c r="W31" s="4" t="str">
        <f>if(V31="Yes", vlookup(U$1, 'Week 7'!$A$1:$H$119, 5, False), "")</f>
        <v>#N/A</v>
      </c>
      <c r="X31" s="4" t="str">
        <f>vlookup(U24, 'Week 7'!$A$2:$H$119, 3, False)</f>
        <v>#N/A</v>
      </c>
      <c r="Y31" s="4" t="str">
        <f>vlookup(U24, 'Week 7'!$A$2:$H$119, 6, False)</f>
        <v>#N/A</v>
      </c>
      <c r="Z31" s="4" t="str">
        <f>vlookup(U24, 'Week 7'!$A$2:$H$119, 7, False)</f>
        <v>#N/A</v>
      </c>
      <c r="AA31" s="4" t="str">
        <f>vlookup(U24, 'Week 7'!$A$2:$H$119, 4, False)</f>
        <v>#N/A</v>
      </c>
      <c r="AB31" s="4" t="str">
        <f>vlookup(U24, 'Week 7'!$A$2:$H$119, 5, False)</f>
        <v>#N/A</v>
      </c>
      <c r="AC31" s="4" t="str">
        <f>vlookup(U24, 'Week 7'!$A$2:$H$119, 8, False)</f>
        <v>#N/A</v>
      </c>
      <c r="AD31" s="148" t="str">
        <f t="shared" si="60"/>
        <v>#N/A</v>
      </c>
      <c r="AE31" s="145" t="s">
        <v>154</v>
      </c>
      <c r="AF31" s="4" t="str">
        <f t="shared" si="61"/>
        <v/>
      </c>
      <c r="AG31" s="4" t="str">
        <f>if(AF31="Yes", vlookup(AE$1, 'Week 7'!$A$1:$H$119, 5, False), "")</f>
        <v/>
      </c>
      <c r="AH31" s="146" t="str">
        <f>vlookup(AE24, 'Week 7'!$A$2:$H$119, 3, False)</f>
        <v/>
      </c>
      <c r="AI31" s="146" t="str">
        <f>vlookup(AE24, 'Week 7'!$A$2:$H$119, 6, False)</f>
        <v/>
      </c>
      <c r="AJ31" s="146" t="str">
        <f>vlookup(AE24, 'Week 7'!$A$2:$H$119, 7, False)</f>
        <v/>
      </c>
      <c r="AK31" s="146" t="str">
        <f>vlookup(AE24, 'Week 7'!$A$2:$H$119, 4, False)</f>
        <v/>
      </c>
      <c r="AL31" s="146" t="str">
        <f>vlookup(AE24, 'Week 7'!$A$2:$H$119, 5, False)</f>
        <v/>
      </c>
      <c r="AM31" s="146" t="str">
        <f>vlookup(AE24, 'Week 7'!$A$2:$H$119, 8, False)</f>
        <v/>
      </c>
      <c r="AN31" s="148" t="str">
        <f t="shared" si="62"/>
        <v>#DIV/0!</v>
      </c>
      <c r="AO31" s="145" t="s">
        <v>154</v>
      </c>
      <c r="AP31" s="4" t="str">
        <f t="shared" si="63"/>
        <v>Yes</v>
      </c>
      <c r="AQ31" s="4" t="str">
        <f>if(AP31="Yes", vlookup(AO$1, 'Week 7'!$A$1:$H$119, 5, False), "")</f>
        <v>Loss</v>
      </c>
      <c r="AR31" s="4">
        <f>vlookup(AO24, 'Week 7'!$A$2:$H$119, 3, False)</f>
        <v>14</v>
      </c>
      <c r="AS31" s="4">
        <f>vlookup(AO24, 'Week 7'!$A$2:$H$119, 6, False)</f>
        <v>9</v>
      </c>
      <c r="AT31" s="4">
        <f>vlookup(AO24, 'Week 7'!$A$2:$H$119, 7, False)</f>
        <v>0</v>
      </c>
      <c r="AU31" s="4">
        <f>vlookup(AO24, 'Week 7'!$A$2:$H$119, 4, False)</f>
        <v>4</v>
      </c>
      <c r="AV31" s="4">
        <f>vlookup(AO24, 'Week 7'!$A$2:$H$119, 5, False)</f>
        <v>1</v>
      </c>
      <c r="AW31" s="4">
        <f>vlookup(AO24, 'Week 7'!$A$2:$H$119, 8, False)</f>
        <v>25</v>
      </c>
      <c r="AX31" s="148">
        <f t="shared" si="64"/>
        <v>0.358974359</v>
      </c>
      <c r="AY31" s="145" t="s">
        <v>154</v>
      </c>
      <c r="AZ31" s="4" t="str">
        <f t="shared" si="65"/>
        <v>Yes</v>
      </c>
      <c r="BA31" s="4" t="str">
        <f>if(AZ31="Yes", vlookup(AY$1, 'Week 7'!$A$1:$H$119, 5, False), "")</f>
        <v>Win</v>
      </c>
      <c r="BB31" s="146">
        <f>vlookup(AY24, 'Week 7'!$A$2:$H$119, 3, False)</f>
        <v>18</v>
      </c>
      <c r="BC31" s="146">
        <f>vlookup(AY24, 'Week 7'!$A$2:$H$119, 6, False)</f>
        <v>2</v>
      </c>
      <c r="BD31" s="146">
        <f>vlookup(AY24, 'Week 7'!$A$2:$H$119, 7, False)</f>
        <v>2</v>
      </c>
      <c r="BE31" s="146">
        <f>vlookup(AY24, 'Week 7'!$A$2:$H$119, 4, False)</f>
        <v>12</v>
      </c>
      <c r="BF31" s="146">
        <f>vlookup(AY24, 'Week 7'!$A$2:$H$119, 5, False)</f>
        <v>2</v>
      </c>
      <c r="BG31" s="146">
        <f>vlookup(AY24, 'Week 7'!$A$2:$H$119, 8, False)</f>
        <v>22</v>
      </c>
      <c r="BH31" s="148">
        <f t="shared" si="66"/>
        <v>0.45</v>
      </c>
      <c r="BI31" s="7"/>
      <c r="BJ31" s="7"/>
      <c r="BK31" s="7"/>
      <c r="BL31" s="7"/>
    </row>
    <row r="32">
      <c r="A32" s="145" t="s">
        <v>211</v>
      </c>
      <c r="B32" s="4" t="str">
        <f t="shared" si="55"/>
        <v/>
      </c>
      <c r="C32" s="4" t="str">
        <f>if(B32="Yes", vlookup(A$1, 'Week 1'!$A$1:$H$119, 5, False), "")</f>
        <v/>
      </c>
      <c r="D32" s="4"/>
      <c r="E32" s="4"/>
      <c r="F32" s="4"/>
      <c r="G32" s="4"/>
      <c r="H32" s="4"/>
      <c r="I32" s="4"/>
      <c r="J32" s="123"/>
      <c r="K32" s="145" t="s">
        <v>211</v>
      </c>
      <c r="L32" s="4" t="str">
        <f t="shared" si="57"/>
        <v/>
      </c>
      <c r="M32" s="4" t="str">
        <f>if(L32="Yes", vlookup(K$1, 'Week 1'!$A$1:$H$119, 5, False), "")</f>
        <v/>
      </c>
      <c r="N32" s="4"/>
      <c r="O32" s="4"/>
      <c r="P32" s="4"/>
      <c r="Q32" s="4"/>
      <c r="R32" s="4"/>
      <c r="S32" s="4"/>
      <c r="T32" s="123"/>
      <c r="U32" s="145" t="s">
        <v>211</v>
      </c>
      <c r="V32" s="4" t="str">
        <f t="shared" si="59"/>
        <v/>
      </c>
      <c r="W32" s="4" t="str">
        <f>if(V32="Yes", vlookup(U$1, 'Week 1'!$A$1:$H$119, 5, False), "")</f>
        <v/>
      </c>
      <c r="X32" s="4"/>
      <c r="Y32" s="4"/>
      <c r="Z32" s="4"/>
      <c r="AA32" s="4"/>
      <c r="AB32" s="4"/>
      <c r="AC32" s="4"/>
      <c r="AD32" s="123"/>
      <c r="AE32" s="145" t="s">
        <v>211</v>
      </c>
      <c r="AF32" s="4" t="str">
        <f t="shared" si="61"/>
        <v/>
      </c>
      <c r="AG32" s="4" t="str">
        <f>if(AF32="Yes", vlookup(AE$1, 'Week 1'!$A$1:$H$119, 5, False), "")</f>
        <v/>
      </c>
      <c r="AH32" s="4"/>
      <c r="AI32" s="4"/>
      <c r="AJ32" s="4"/>
      <c r="AK32" s="4"/>
      <c r="AL32" s="4"/>
      <c r="AM32" s="4"/>
      <c r="AN32" s="123"/>
      <c r="AO32" s="145" t="s">
        <v>211</v>
      </c>
      <c r="AP32" s="4" t="str">
        <f t="shared" si="63"/>
        <v/>
      </c>
      <c r="AQ32" s="4" t="str">
        <f>if(AP32="Yes", vlookup(AO$1, 'Week 1'!$A$1:$H$119, 5, False), "")</f>
        <v/>
      </c>
      <c r="AR32" s="4"/>
      <c r="AS32" s="4"/>
      <c r="AT32" s="4"/>
      <c r="AU32" s="4"/>
      <c r="AV32" s="4"/>
      <c r="AW32" s="4"/>
      <c r="AX32" s="123"/>
      <c r="AY32" s="145" t="s">
        <v>211</v>
      </c>
      <c r="AZ32" s="4" t="str">
        <f t="shared" si="65"/>
        <v/>
      </c>
      <c r="BA32" s="4" t="str">
        <f>if(AZ32="Yes", vlookup(AY$1, 'Week 1'!$A$1:$H$119, 5, False), "")</f>
        <v/>
      </c>
      <c r="BB32" s="4"/>
      <c r="BC32" s="4"/>
      <c r="BD32" s="4"/>
      <c r="BE32" s="4"/>
      <c r="BF32" s="4"/>
      <c r="BG32" s="4"/>
      <c r="BH32" s="123"/>
      <c r="BI32" s="7"/>
      <c r="BJ32" s="7"/>
      <c r="BK32" s="7"/>
      <c r="BL32" s="7"/>
    </row>
    <row r="33">
      <c r="A33" s="145" t="s">
        <v>212</v>
      </c>
      <c r="B33" s="4" t="str">
        <f t="shared" si="55"/>
        <v/>
      </c>
      <c r="C33" s="4" t="str">
        <f>if(B33="Yes", vlookup(A$1, 'Week 1'!$A$1:$H$119, 5, False), "")</f>
        <v/>
      </c>
      <c r="D33" s="4"/>
      <c r="E33" s="4"/>
      <c r="F33" s="4"/>
      <c r="G33" s="4"/>
      <c r="H33" s="4"/>
      <c r="I33" s="4"/>
      <c r="J33" s="123"/>
      <c r="K33" s="145" t="s">
        <v>212</v>
      </c>
      <c r="L33" s="4" t="str">
        <f t="shared" si="57"/>
        <v/>
      </c>
      <c r="M33" s="4" t="str">
        <f>if(L33="Yes", vlookup(K$1, 'Week 1'!$A$1:$H$119, 5, False), "")</f>
        <v/>
      </c>
      <c r="N33" s="4"/>
      <c r="O33" s="4"/>
      <c r="P33" s="4"/>
      <c r="Q33" s="4"/>
      <c r="R33" s="4"/>
      <c r="S33" s="4"/>
      <c r="T33" s="123"/>
      <c r="U33" s="145" t="s">
        <v>212</v>
      </c>
      <c r="V33" s="4" t="str">
        <f t="shared" si="59"/>
        <v/>
      </c>
      <c r="W33" s="4" t="str">
        <f>if(V33="Yes", vlookup(U$1, 'Week 1'!$A$1:$H$119, 5, False), "")</f>
        <v/>
      </c>
      <c r="X33" s="4"/>
      <c r="Y33" s="4"/>
      <c r="Z33" s="4"/>
      <c r="AA33" s="4"/>
      <c r="AB33" s="4"/>
      <c r="AC33" s="4"/>
      <c r="AD33" s="123"/>
      <c r="AE33" s="145" t="s">
        <v>212</v>
      </c>
      <c r="AF33" s="4" t="str">
        <f t="shared" si="61"/>
        <v/>
      </c>
      <c r="AG33" s="4" t="str">
        <f>if(AF33="Yes", vlookup(AE$1, 'Week 1'!$A$1:$H$119, 5, False), "")</f>
        <v/>
      </c>
      <c r="AH33" s="4"/>
      <c r="AI33" s="4"/>
      <c r="AJ33" s="4"/>
      <c r="AK33" s="4"/>
      <c r="AL33" s="4"/>
      <c r="AM33" s="4"/>
      <c r="AN33" s="123"/>
      <c r="AO33" s="145" t="s">
        <v>212</v>
      </c>
      <c r="AP33" s="4" t="str">
        <f t="shared" si="63"/>
        <v/>
      </c>
      <c r="AQ33" s="4" t="str">
        <f>if(AP33="Yes", vlookup(AO$1, 'Week 1'!$A$1:$H$119, 5, False), "")</f>
        <v/>
      </c>
      <c r="AR33" s="4"/>
      <c r="AS33" s="4"/>
      <c r="AT33" s="4"/>
      <c r="AU33" s="4"/>
      <c r="AV33" s="4"/>
      <c r="AW33" s="4"/>
      <c r="AX33" s="123"/>
      <c r="AY33" s="145" t="s">
        <v>212</v>
      </c>
      <c r="AZ33" s="4" t="str">
        <f t="shared" si="65"/>
        <v/>
      </c>
      <c r="BA33" s="4" t="str">
        <f>if(AZ33="Yes", vlookup(AY$1, 'Week 1'!$A$1:$H$119, 5, False), "")</f>
        <v/>
      </c>
      <c r="BB33" s="4"/>
      <c r="BC33" s="4"/>
      <c r="BD33" s="4"/>
      <c r="BE33" s="4"/>
      <c r="BF33" s="4"/>
      <c r="BG33" s="4"/>
      <c r="BH33" s="123"/>
      <c r="BI33" s="7"/>
      <c r="BJ33" s="7"/>
      <c r="BK33" s="7"/>
      <c r="BL33" s="7"/>
    </row>
    <row r="34">
      <c r="A34" s="2" t="s">
        <v>213</v>
      </c>
      <c r="B34" s="149">
        <f>countif(B25:B33, "Yes")</f>
        <v>5</v>
      </c>
      <c r="C34" s="150">
        <f>countif(C25:C33, "Win")/(countif(C25:C33, "Win")+countif(C25:C33, "Loss"))</f>
        <v>0.4</v>
      </c>
      <c r="D34" s="151">
        <f t="shared" ref="D34:I34" si="67">average(D25:D33)</f>
        <v>18</v>
      </c>
      <c r="E34" s="151">
        <f t="shared" si="67"/>
        <v>6.4</v>
      </c>
      <c r="F34" s="151">
        <f t="shared" si="67"/>
        <v>0.8</v>
      </c>
      <c r="G34" s="151">
        <f t="shared" si="67"/>
        <v>9.2</v>
      </c>
      <c r="H34" s="151">
        <f t="shared" si="67"/>
        <v>1.6</v>
      </c>
      <c r="I34" s="152">
        <f t="shared" si="67"/>
        <v>25.6</v>
      </c>
      <c r="J34" s="153">
        <f>D34/(I34+D34)</f>
        <v>0.4128440367</v>
      </c>
      <c r="K34" s="2" t="s">
        <v>213</v>
      </c>
      <c r="L34" s="149">
        <f>countif(L25:L33, "Yes")</f>
        <v>0</v>
      </c>
      <c r="M34" s="150" t="str">
        <f>countif(M25:M33, "Win")/(countif(M25:M33, "Win")+countif(M25:M33, "Loss"))</f>
        <v>#DIV/0!</v>
      </c>
      <c r="N34" s="151" t="str">
        <f t="shared" ref="N34:S34" si="68">average(N25:N33)</f>
        <v>#N/A</v>
      </c>
      <c r="O34" s="151" t="str">
        <f t="shared" si="68"/>
        <v>#N/A</v>
      </c>
      <c r="P34" s="151" t="str">
        <f t="shared" si="68"/>
        <v>#N/A</v>
      </c>
      <c r="Q34" s="151" t="str">
        <f t="shared" si="68"/>
        <v>#N/A</v>
      </c>
      <c r="R34" s="151" t="str">
        <f t="shared" si="68"/>
        <v>#N/A</v>
      </c>
      <c r="S34" s="152" t="str">
        <f t="shared" si="68"/>
        <v>#N/A</v>
      </c>
      <c r="T34" s="153" t="str">
        <f>N34/(S34+N34)</f>
        <v>#N/A</v>
      </c>
      <c r="U34" s="2" t="s">
        <v>213</v>
      </c>
      <c r="V34" s="149">
        <f>countif(V25:V33, "Yes")</f>
        <v>0</v>
      </c>
      <c r="W34" s="150" t="str">
        <f>countif(W25:W33, "Win")/(countif(W25:W33, "Win")+countif(W25:W33, "Loss"))</f>
        <v>#DIV/0!</v>
      </c>
      <c r="X34" s="151" t="str">
        <f t="shared" ref="X34:AC34" si="69">average(X25:X33)</f>
        <v>#N/A</v>
      </c>
      <c r="Y34" s="151" t="str">
        <f t="shared" si="69"/>
        <v>#N/A</v>
      </c>
      <c r="Z34" s="151" t="str">
        <f t="shared" si="69"/>
        <v>#N/A</v>
      </c>
      <c r="AA34" s="151" t="str">
        <f t="shared" si="69"/>
        <v>#N/A</v>
      </c>
      <c r="AB34" s="151" t="str">
        <f t="shared" si="69"/>
        <v>#N/A</v>
      </c>
      <c r="AC34" s="152" t="str">
        <f t="shared" si="69"/>
        <v>#N/A</v>
      </c>
      <c r="AD34" s="153" t="str">
        <f>X34/(AC34+X34)</f>
        <v>#N/A</v>
      </c>
      <c r="AE34" s="2" t="s">
        <v>213</v>
      </c>
      <c r="AF34" s="149">
        <f>countif(AF25:AF33, "Yes")</f>
        <v>6</v>
      </c>
      <c r="AG34" s="150">
        <f>countif(AG25:AG33, "Win")/(countif(AG25:AG33, "Win")+countif(AG25:AG33, "Loss"))</f>
        <v>0.8333333333</v>
      </c>
      <c r="AH34" s="151">
        <f t="shared" ref="AH34:AM34" si="70">average(AH25:AH33)</f>
        <v>17</v>
      </c>
      <c r="AI34" s="151">
        <f t="shared" si="70"/>
        <v>6.5</v>
      </c>
      <c r="AJ34" s="151">
        <f t="shared" si="70"/>
        <v>1.5</v>
      </c>
      <c r="AK34" s="151">
        <f t="shared" si="70"/>
        <v>7.5</v>
      </c>
      <c r="AL34" s="151">
        <f t="shared" si="70"/>
        <v>1.5</v>
      </c>
      <c r="AM34" s="152">
        <f t="shared" si="70"/>
        <v>27.16666667</v>
      </c>
      <c r="AN34" s="153">
        <f>AH34/(AM34+AH34)</f>
        <v>0.3849056604</v>
      </c>
      <c r="AO34" s="2" t="s">
        <v>213</v>
      </c>
      <c r="AP34" s="149">
        <f>countif(AP25:AP33, "Yes")</f>
        <v>7</v>
      </c>
      <c r="AQ34" s="150">
        <f>countif(AQ25:AQ33, "Win")/(countif(AQ25:AQ33, "Win")+countif(AQ25:AQ33, "Loss"))</f>
        <v>0.1428571429</v>
      </c>
      <c r="AR34" s="151">
        <f t="shared" ref="AR34:AW34" si="71">average(AR25:AR33)</f>
        <v>14.14285714</v>
      </c>
      <c r="AS34" s="151">
        <f t="shared" si="71"/>
        <v>5.142857143</v>
      </c>
      <c r="AT34" s="151">
        <f t="shared" si="71"/>
        <v>0.1428571429</v>
      </c>
      <c r="AU34" s="151">
        <f t="shared" si="71"/>
        <v>8.285714286</v>
      </c>
      <c r="AV34" s="151">
        <f t="shared" si="71"/>
        <v>0.5714285714</v>
      </c>
      <c r="AW34" s="152">
        <f t="shared" si="71"/>
        <v>28.57142857</v>
      </c>
      <c r="AX34" s="153">
        <f>AR34/(AW34+AR34)</f>
        <v>0.3311036789</v>
      </c>
      <c r="AY34" s="2" t="s">
        <v>213</v>
      </c>
      <c r="AZ34" s="149">
        <f>countif(AZ25:AZ33, "Yes")</f>
        <v>6</v>
      </c>
      <c r="BA34" s="150">
        <f>countif(BA25:BA33, "Win")/(countif(BA25:BA33, "Win")+countif(BA25:BA33, "Loss"))</f>
        <v>0.8333333333</v>
      </c>
      <c r="BB34" s="151">
        <f t="shared" ref="BB34:BG34" si="72">average(BB25:BB33)</f>
        <v>15.5</v>
      </c>
      <c r="BC34" s="151">
        <f t="shared" si="72"/>
        <v>5.666666667</v>
      </c>
      <c r="BD34" s="151">
        <f t="shared" si="72"/>
        <v>0.3333333333</v>
      </c>
      <c r="BE34" s="151">
        <f t="shared" si="72"/>
        <v>8.833333333</v>
      </c>
      <c r="BF34" s="151">
        <f t="shared" si="72"/>
        <v>0.6666666667</v>
      </c>
      <c r="BG34" s="152">
        <f t="shared" si="72"/>
        <v>26</v>
      </c>
      <c r="BH34" s="153">
        <f>BB34/(BG34+BB34)</f>
        <v>0.3734939759</v>
      </c>
      <c r="BI34" s="7"/>
      <c r="BJ34" s="7"/>
      <c r="BK34" s="7"/>
      <c r="BL34" s="7"/>
    </row>
    <row r="35">
      <c r="A35" s="154" t="str">
        <f>Draft!B48</f>
        <v>Marmo</v>
      </c>
      <c r="B35" s="124">
        <f t="shared" ref="B35:J35" si="73">B45</f>
        <v>7</v>
      </c>
      <c r="C35" s="136">
        <f t="shared" si="73"/>
        <v>0.4285714286</v>
      </c>
      <c r="D35" s="137">
        <f t="shared" si="73"/>
        <v>18.57142857</v>
      </c>
      <c r="E35" s="137">
        <f t="shared" si="73"/>
        <v>15.85714286</v>
      </c>
      <c r="F35" s="137">
        <f t="shared" si="73"/>
        <v>0.5714285714</v>
      </c>
      <c r="G35" s="137">
        <f t="shared" si="73"/>
        <v>2</v>
      </c>
      <c r="H35" s="137">
        <f t="shared" si="73"/>
        <v>0.1428571429</v>
      </c>
      <c r="I35" s="138">
        <f t="shared" si="73"/>
        <v>25.57142857</v>
      </c>
      <c r="J35" s="139">
        <f t="shared" si="73"/>
        <v>0.4207119741</v>
      </c>
      <c r="K35" s="155" t="str">
        <f>Draft!C48</f>
        <v>Sonne</v>
      </c>
      <c r="L35" s="124">
        <f t="shared" ref="L35:T35" si="74">L45</f>
        <v>4</v>
      </c>
      <c r="M35" s="136">
        <f t="shared" si="74"/>
        <v>0.75</v>
      </c>
      <c r="N35" s="137">
        <f t="shared" si="74"/>
        <v>12.5</v>
      </c>
      <c r="O35" s="137">
        <f t="shared" si="74"/>
        <v>7</v>
      </c>
      <c r="P35" s="137">
        <f t="shared" si="74"/>
        <v>0</v>
      </c>
      <c r="Q35" s="137">
        <f t="shared" si="74"/>
        <v>4.5</v>
      </c>
      <c r="R35" s="137">
        <f t="shared" si="74"/>
        <v>1</v>
      </c>
      <c r="S35" s="138">
        <f t="shared" si="74"/>
        <v>25.25</v>
      </c>
      <c r="T35" s="139">
        <f t="shared" si="74"/>
        <v>0.3311258278</v>
      </c>
      <c r="U35" s="156" t="str">
        <f>Draft!D48</f>
        <v>Madams</v>
      </c>
      <c r="V35" s="124">
        <f t="shared" ref="V35:AD35" si="75">V45</f>
        <v>7</v>
      </c>
      <c r="W35" s="136">
        <f t="shared" si="75"/>
        <v>0.2857142857</v>
      </c>
      <c r="X35" s="137">
        <f t="shared" si="75"/>
        <v>15.28571429</v>
      </c>
      <c r="Y35" s="137">
        <f t="shared" si="75"/>
        <v>8.285714286</v>
      </c>
      <c r="Z35" s="137">
        <f t="shared" si="75"/>
        <v>1</v>
      </c>
      <c r="AA35" s="137">
        <f t="shared" si="75"/>
        <v>5.142857143</v>
      </c>
      <c r="AB35" s="137">
        <f t="shared" si="75"/>
        <v>0.8571428571</v>
      </c>
      <c r="AC35" s="138">
        <f t="shared" si="75"/>
        <v>28.42857143</v>
      </c>
      <c r="AD35" s="139">
        <f t="shared" si="75"/>
        <v>0.3496732026</v>
      </c>
      <c r="AE35" s="157" t="str">
        <f>Draft!E48</f>
        <v>Arnav</v>
      </c>
      <c r="AF35" s="124">
        <f t="shared" ref="AF35:AN35" si="76">AF45</f>
        <v>7</v>
      </c>
      <c r="AG35" s="139">
        <f t="shared" si="76"/>
        <v>0.7142857143</v>
      </c>
      <c r="AH35" s="137">
        <f t="shared" si="76"/>
        <v>16.57142857</v>
      </c>
      <c r="AI35" s="137">
        <f t="shared" si="76"/>
        <v>5.857142857</v>
      </c>
      <c r="AJ35" s="137">
        <f t="shared" si="76"/>
        <v>1.714285714</v>
      </c>
      <c r="AK35" s="137">
        <f t="shared" si="76"/>
        <v>7.714285714</v>
      </c>
      <c r="AL35" s="137">
        <f t="shared" si="76"/>
        <v>1.285714286</v>
      </c>
      <c r="AM35" s="138">
        <f t="shared" si="76"/>
        <v>28</v>
      </c>
      <c r="AN35" s="139">
        <f t="shared" si="76"/>
        <v>0.3717948718</v>
      </c>
      <c r="AO35" s="158" t="str">
        <f>Draft!F48</f>
        <v>Rockett</v>
      </c>
      <c r="AP35" s="124">
        <f t="shared" ref="AP35:AX35" si="77">AP45</f>
        <v>6</v>
      </c>
      <c r="AQ35" s="136">
        <f t="shared" si="77"/>
        <v>0.1666666667</v>
      </c>
      <c r="AR35" s="137">
        <f t="shared" si="77"/>
        <v>14</v>
      </c>
      <c r="AS35" s="137">
        <f t="shared" si="77"/>
        <v>5</v>
      </c>
      <c r="AT35" s="137">
        <f t="shared" si="77"/>
        <v>0.6666666667</v>
      </c>
      <c r="AU35" s="137">
        <f t="shared" si="77"/>
        <v>7</v>
      </c>
      <c r="AV35" s="137">
        <f t="shared" si="77"/>
        <v>1.333333333</v>
      </c>
      <c r="AW35" s="138">
        <f t="shared" si="77"/>
        <v>29.5</v>
      </c>
      <c r="AX35" s="139">
        <f t="shared" si="77"/>
        <v>0.3218390805</v>
      </c>
      <c r="AY35" s="19" t="str">
        <f>Draft!G48</f>
        <v>Schmid</v>
      </c>
      <c r="AZ35" s="124">
        <f t="shared" ref="AZ35:BH35" si="78">AZ45</f>
        <v>7</v>
      </c>
      <c r="BA35" s="136">
        <f t="shared" si="78"/>
        <v>0.7142857143</v>
      </c>
      <c r="BB35" s="137">
        <f t="shared" si="78"/>
        <v>24.57142857</v>
      </c>
      <c r="BC35" s="137">
        <f t="shared" si="78"/>
        <v>16.57142857</v>
      </c>
      <c r="BD35" s="137">
        <f t="shared" si="78"/>
        <v>2.714285714</v>
      </c>
      <c r="BE35" s="137">
        <f t="shared" si="78"/>
        <v>4.714285714</v>
      </c>
      <c r="BF35" s="137">
        <f t="shared" si="78"/>
        <v>0.5714285714</v>
      </c>
      <c r="BG35" s="138">
        <f t="shared" si="78"/>
        <v>23.57142857</v>
      </c>
      <c r="BH35" s="139">
        <f t="shared" si="78"/>
        <v>0.5103857567</v>
      </c>
      <c r="BI35" s="7"/>
      <c r="BJ35" s="7"/>
      <c r="BK35" s="7"/>
      <c r="BL35" s="7"/>
    </row>
    <row r="36">
      <c r="A36" s="145" t="s">
        <v>133</v>
      </c>
      <c r="B36" s="4" t="str">
        <f t="shared" ref="B36:B44" si="79">if(I36&gt;0, "Yes", "")</f>
        <v>Yes</v>
      </c>
      <c r="C36" s="4" t="str">
        <f>if(B36="Yes", vlookup(A$1, 'Week 1'!$A$1:$H$119, 5, False), "")</f>
        <v>Loss</v>
      </c>
      <c r="D36" s="4">
        <f>vlookup(A35, 'Week 1'!$A$2:$H$119, 3, False)</f>
        <v>18</v>
      </c>
      <c r="E36" s="7">
        <f>vlookup(A35, 'Week 1'!$A$2:$H$119, 6, False)</f>
        <v>16</v>
      </c>
      <c r="F36" s="7">
        <f>vlookup(A35, 'Week 1'!$A$2:$H$119, 7, False)</f>
        <v>0</v>
      </c>
      <c r="G36" s="7">
        <f>vlookup(A35, 'Week 1'!$A$2:$H$119, 4, False)</f>
        <v>2</v>
      </c>
      <c r="H36" s="7">
        <f>vlookup(A35, 'Week 1'!$A$2:$H$119, 5, False)</f>
        <v>0</v>
      </c>
      <c r="I36" s="7">
        <f>vlookup(A35, 'Week 1'!$A$2:$H$119, 8, False)</f>
        <v>28</v>
      </c>
      <c r="J36" s="148">
        <f t="shared" ref="J36:J42" si="80">if(D36&gt;0, (D36/(D36+I36)), "")</f>
        <v>0.3913043478</v>
      </c>
      <c r="K36" s="145" t="s">
        <v>133</v>
      </c>
      <c r="L36" s="4" t="str">
        <f t="shared" ref="L36:L44" si="81">if(S36&gt;0, "Yes", "")</f>
        <v/>
      </c>
      <c r="M36" s="4" t="str">
        <f>if(L36="Yes", vlookup(K$1, 'Week 1'!$A$1:$H$119, 5, False), "")</f>
        <v/>
      </c>
      <c r="N36" s="146" t="str">
        <f>vlookup(K35, 'Week 1'!$A$2:$H$119, 3, False)</f>
        <v/>
      </c>
      <c r="O36" s="147" t="str">
        <f>vlookup(K35, 'Week 1'!$A$2:$H$119, 6, False)</f>
        <v/>
      </c>
      <c r="P36" s="147" t="str">
        <f>vlookup(K35, 'Week 1'!$A$2:$H$119, 7, False)</f>
        <v/>
      </c>
      <c r="Q36" s="147" t="str">
        <f>vlookup(K35, 'Week 1'!$A$2:$H$119, 4, False)</f>
        <v/>
      </c>
      <c r="R36" s="147" t="str">
        <f>vlookup(K35, 'Week 1'!$A$2:$H$119, 5, False)</f>
        <v/>
      </c>
      <c r="S36" s="147" t="str">
        <f>vlookup(K35, 'Week 1'!$A$2:$H$119, 8, False)</f>
        <v/>
      </c>
      <c r="T36" s="148" t="str">
        <f t="shared" ref="T36:T42" si="82">if(N36&gt;0, (N36/(N36+S36)), "")</f>
        <v>#DIV/0!</v>
      </c>
      <c r="U36" s="145" t="s">
        <v>133</v>
      </c>
      <c r="V36" s="4" t="str">
        <f t="shared" ref="V36:V44" si="83">if(AC36&gt;0, "Yes", "")</f>
        <v>Yes</v>
      </c>
      <c r="W36" s="4" t="str">
        <f>if(V36="Yes", vlookup(U$1, 'Week 1'!$A$1:$H$119, 5, False), "")</f>
        <v>Loss</v>
      </c>
      <c r="X36" s="146">
        <f>vlookup(U35, 'Week 1'!$A$2:$H$119, 3, False)</f>
        <v>13</v>
      </c>
      <c r="Y36" s="147">
        <f>vlookup(U35, 'Week 1'!$A$2:$H$119, 6, False)</f>
        <v>6</v>
      </c>
      <c r="Z36" s="147">
        <f>vlookup(U35, 'Week 1'!$A$2:$H$119, 7, False)</f>
        <v>1</v>
      </c>
      <c r="AA36" s="147">
        <f>vlookup(U35, 'Week 1'!$A$2:$H$119, 4, False)</f>
        <v>6</v>
      </c>
      <c r="AB36" s="147">
        <f>vlookup(U35, 'Week 1'!$A$2:$H$119, 5, False)</f>
        <v>0</v>
      </c>
      <c r="AC36" s="147">
        <f>vlookup(U35, 'Week 1'!$A$2:$H$119, 8, False)</f>
        <v>27</v>
      </c>
      <c r="AD36" s="148">
        <f t="shared" ref="AD36:AD42" si="84">if(X36&gt;0, (X36/(X36+AC36)), "")</f>
        <v>0.325</v>
      </c>
      <c r="AE36" s="145" t="s">
        <v>133</v>
      </c>
      <c r="AF36" s="4" t="str">
        <f t="shared" ref="AF36:AF44" si="85">if(AM36&gt;0, "Yes", "")</f>
        <v>Yes</v>
      </c>
      <c r="AG36" s="4" t="str">
        <f>if(AF36="Yes", vlookup(AE$1, 'Week 1'!$A$1:$H$119, 5, False), "")</f>
        <v>Win</v>
      </c>
      <c r="AH36" s="4">
        <f>vlookup(AE35, 'Week 1'!$A$2:$H$119, 3, False)</f>
        <v>16</v>
      </c>
      <c r="AI36" s="7">
        <f>vlookup(AE35, 'Week 1'!$A$2:$H$119, 6, False)</f>
        <v>5</v>
      </c>
      <c r="AJ36" s="7">
        <f>vlookup(AE35, 'Week 1'!$A$2:$H$119, 7, False)</f>
        <v>2</v>
      </c>
      <c r="AK36" s="7">
        <f>vlookup(AE35, 'Week 1'!$A$2:$H$119, 4, False)</f>
        <v>7</v>
      </c>
      <c r="AL36" s="7">
        <f>vlookup(AE35, 'Week 1'!$A$2:$H$119, 5, False)</f>
        <v>2</v>
      </c>
      <c r="AM36" s="7">
        <f>vlookup(AE35, 'Week 1'!$A$2:$H$119, 8, False)</f>
        <v>36</v>
      </c>
      <c r="AN36" s="148">
        <f t="shared" ref="AN36:AN42" si="86">if(AH36&gt;0, (AH36/(AH36+AM36)), "")</f>
        <v>0.3076923077</v>
      </c>
      <c r="AO36" s="145" t="s">
        <v>133</v>
      </c>
      <c r="AP36" s="4" t="str">
        <f t="shared" ref="AP36:AP44" si="87">if(AW36&gt;0, "Yes", "")</f>
        <v>Yes</v>
      </c>
      <c r="AQ36" s="4" t="str">
        <f>if(AP36="Yes", vlookup(AO$1, 'Week 1'!$A$1:$H$119, 5, False), "")</f>
        <v>Loss</v>
      </c>
      <c r="AR36" s="4">
        <f>vlookup(AO35, 'Week 1'!$A$2:$H$119, 3, False)</f>
        <v>14</v>
      </c>
      <c r="AS36" s="7">
        <f>vlookup(AO35, 'Week 1'!$A$2:$H$119, 6, False)</f>
        <v>5</v>
      </c>
      <c r="AT36" s="7">
        <f>vlookup(AO35, 'Week 1'!$A$2:$H$119, 7, False)</f>
        <v>0</v>
      </c>
      <c r="AU36" s="7">
        <f>vlookup(AO35, 'Week 1'!$A$2:$H$119, 4, False)</f>
        <v>9</v>
      </c>
      <c r="AV36" s="7">
        <f>vlookup(AO35, 'Week 1'!$A$2:$H$119, 5, False)</f>
        <v>0</v>
      </c>
      <c r="AW36" s="7">
        <f>vlookup(AO35, 'Week 1'!$A$2:$H$119, 8, False)</f>
        <v>35</v>
      </c>
      <c r="AX36" s="148">
        <f t="shared" ref="AX36:AX42" si="88">if(AR36&gt;0, (AR36/(AR36+AW36)), "")</f>
        <v>0.2857142857</v>
      </c>
      <c r="AY36" s="145" t="s">
        <v>133</v>
      </c>
      <c r="AZ36" s="4" t="str">
        <f t="shared" ref="AZ36:AZ44" si="89">if(BG36&gt;0, "Yes", "")</f>
        <v>Yes</v>
      </c>
      <c r="BA36" s="4" t="str">
        <f>if(AZ36="Yes", vlookup(AY$1, 'Week 1'!$A$1:$H$119, 5, False), "")</f>
        <v>Win</v>
      </c>
      <c r="BB36" s="146">
        <f>vlookup(AY35, 'Week 1'!$A$2:$H$119, 3, False)</f>
        <v>29</v>
      </c>
      <c r="BC36" s="147">
        <f>vlookup(AY35, 'Week 1'!$A$2:$H$119, 6, False)</f>
        <v>22</v>
      </c>
      <c r="BD36" s="147">
        <f>vlookup(AY35, 'Week 1'!$A$2:$H$119, 7, False)</f>
        <v>4</v>
      </c>
      <c r="BE36" s="147">
        <f>vlookup(AY35, 'Week 1'!$A$2:$H$119, 4, False)</f>
        <v>2</v>
      </c>
      <c r="BF36" s="147">
        <f>vlookup(AY35, 'Week 1'!$A$2:$H$119, 5, False)</f>
        <v>1</v>
      </c>
      <c r="BG36" s="147">
        <f>vlookup(AY35, 'Week 1'!$A$2:$H$119, 8, False)</f>
        <v>20</v>
      </c>
      <c r="BH36" s="148">
        <f t="shared" ref="BH36:BH42" si="90">if(BB36&gt;0, (BB36/(BB36+BG36)), "")</f>
        <v>0.5918367347</v>
      </c>
      <c r="BI36" s="7"/>
      <c r="BJ36" s="7"/>
      <c r="BK36" s="7"/>
      <c r="BL36" s="7"/>
    </row>
    <row r="37">
      <c r="A37" s="145" t="s">
        <v>135</v>
      </c>
      <c r="B37" s="4" t="str">
        <f t="shared" si="79"/>
        <v>Yes</v>
      </c>
      <c r="C37" s="4" t="str">
        <f>if(B37="Yes", vlookup(A$1, 'Week 2'!$A$1:$H$119, 5, False), "")</f>
        <v>Loss</v>
      </c>
      <c r="D37" s="4">
        <f>vlookup(A35, 'Week 2'!$A$2:$H$119, 3, False)</f>
        <v>22</v>
      </c>
      <c r="E37" s="4">
        <f>vlookup(A35, 'Week 2'!$A$2:$H$119, 6, False)</f>
        <v>18</v>
      </c>
      <c r="F37" s="4">
        <f>vlookup(A35, 'Week 2'!$A$2:$H$119, 7, False)</f>
        <v>0</v>
      </c>
      <c r="G37" s="4">
        <f>vlookup(A35, 'Week 2'!$A$2:$H$119, 4, False)</f>
        <v>4</v>
      </c>
      <c r="H37" s="4">
        <f>vlookup(A35, 'Week 2'!$A$2:$H$119, 5, False)</f>
        <v>0</v>
      </c>
      <c r="I37" s="4">
        <f>vlookup(A35, 'Week 2'!$A$2:$H$119, 8, False)</f>
        <v>27</v>
      </c>
      <c r="J37" s="148">
        <f t="shared" si="80"/>
        <v>0.4489795918</v>
      </c>
      <c r="K37" s="145" t="s">
        <v>135</v>
      </c>
      <c r="L37" s="4" t="str">
        <f t="shared" si="81"/>
        <v/>
      </c>
      <c r="M37" s="4" t="str">
        <f>if(L37="Yes", vlookup(K$1, 'Week 2'!$A$1:$H$119, 5, False), "")</f>
        <v/>
      </c>
      <c r="N37" s="146" t="str">
        <f>vlookup(K35, 'Week 2'!$A$2:$H$119, 3, False)</f>
        <v/>
      </c>
      <c r="O37" s="146" t="str">
        <f>vlookup(K35, 'Week 2'!$A$2:$H$119, 6, False)</f>
        <v/>
      </c>
      <c r="P37" s="146" t="str">
        <f>vlookup(K35, 'Week 2'!$A$2:$H$119, 7, False)</f>
        <v/>
      </c>
      <c r="Q37" s="146" t="str">
        <f>vlookup(K35, 'Week 2'!$A$2:$H$119, 4, False)</f>
        <v/>
      </c>
      <c r="R37" s="146" t="str">
        <f>vlookup(K35, 'Week 2'!$A$2:$H$119, 5, False)</f>
        <v/>
      </c>
      <c r="S37" s="146" t="str">
        <f>vlookup(K35, 'Week 2'!$A$2:$H$119, 8, False)</f>
        <v/>
      </c>
      <c r="T37" s="148" t="str">
        <f t="shared" si="82"/>
        <v>#DIV/0!</v>
      </c>
      <c r="U37" s="145" t="s">
        <v>135</v>
      </c>
      <c r="V37" s="4" t="str">
        <f t="shared" si="83"/>
        <v>Yes</v>
      </c>
      <c r="W37" s="4" t="str">
        <f>if(V37="Yes", vlookup(U$1, 'Week 2'!$A$1:$H$119, 5, False), "")</f>
        <v>Loss</v>
      </c>
      <c r="X37" s="4">
        <f>vlookup(U35, 'Week 2'!$A$2:$H$119, 3, False)</f>
        <v>11</v>
      </c>
      <c r="Y37" s="4">
        <f>vlookup(U35, 'Week 2'!$A$2:$H$119, 6, False)</f>
        <v>6</v>
      </c>
      <c r="Z37" s="4">
        <f>vlookup(U35, 'Week 2'!$A$2:$H$119, 7, False)</f>
        <v>0</v>
      </c>
      <c r="AA37" s="4">
        <f>vlookup(U35, 'Week 2'!$A$2:$H$119, 4, False)</f>
        <v>4</v>
      </c>
      <c r="AB37" s="4">
        <f>vlookup(U35, 'Week 2'!$A$2:$H$119, 5, False)</f>
        <v>1</v>
      </c>
      <c r="AC37" s="4">
        <f>vlookup(U35, 'Week 2'!$A$2:$H$119, 8, False)</f>
        <v>34</v>
      </c>
      <c r="AD37" s="148">
        <f t="shared" si="84"/>
        <v>0.2444444444</v>
      </c>
      <c r="AE37" s="145" t="s">
        <v>135</v>
      </c>
      <c r="AF37" s="4" t="str">
        <f t="shared" si="85"/>
        <v>Yes</v>
      </c>
      <c r="AG37" s="4" t="str">
        <f>if(AF37="Yes", vlookup(AE$1, 'Week 2'!$A$1:$H$119, 5, False), "")</f>
        <v>Win</v>
      </c>
      <c r="AH37" s="4">
        <f>vlookup(AE35, 'Week 2'!$A$2:$H$119, 3, False)</f>
        <v>11</v>
      </c>
      <c r="AI37" s="4">
        <f>vlookup(AE35, 'Week 2'!$A$2:$H$119, 6, False)</f>
        <v>9</v>
      </c>
      <c r="AJ37" s="4">
        <f>vlookup(AE35, 'Week 2'!$A$2:$H$119, 7, False)</f>
        <v>0</v>
      </c>
      <c r="AK37" s="4">
        <f>vlookup(AE35, 'Week 2'!$A$2:$H$119, 4, False)</f>
        <v>2</v>
      </c>
      <c r="AL37" s="4">
        <f>vlookup(AE35, 'Week 2'!$A$2:$H$119, 5, False)</f>
        <v>0</v>
      </c>
      <c r="AM37" s="4">
        <f>vlookup(AE35, 'Week 2'!$A$2:$H$119, 8, False)</f>
        <v>22</v>
      </c>
      <c r="AN37" s="148">
        <f t="shared" si="86"/>
        <v>0.3333333333</v>
      </c>
      <c r="AO37" s="145" t="s">
        <v>135</v>
      </c>
      <c r="AP37" s="4" t="str">
        <f t="shared" si="87"/>
        <v>Yes</v>
      </c>
      <c r="AQ37" s="4" t="str">
        <f>if(AP37="Yes", vlookup(AO$1, 'Week 2'!$A$1:$H$119, 5, False), "")</f>
        <v>Loss</v>
      </c>
      <c r="AR37" s="4">
        <f>vlookup(AO35, 'Week 2'!$A$2:$H$119, 3, False)</f>
        <v>10</v>
      </c>
      <c r="AS37" s="4">
        <f>vlookup(AO35, 'Week 2'!$A$2:$H$119, 6, False)</f>
        <v>1</v>
      </c>
      <c r="AT37" s="4">
        <f>vlookup(AO35, 'Week 2'!$A$2:$H$119, 7, False)</f>
        <v>0</v>
      </c>
      <c r="AU37" s="4">
        <f>vlookup(AO35, 'Week 2'!$A$2:$H$119, 4, False)</f>
        <v>7</v>
      </c>
      <c r="AV37" s="4">
        <f>vlookup(AO35, 'Week 2'!$A$2:$H$119, 5, False)</f>
        <v>2</v>
      </c>
      <c r="AW37" s="4">
        <f>vlookup(AO35, 'Week 2'!$A$2:$H$119, 8, False)</f>
        <v>29</v>
      </c>
      <c r="AX37" s="148">
        <f t="shared" si="88"/>
        <v>0.2564102564</v>
      </c>
      <c r="AY37" s="145" t="s">
        <v>135</v>
      </c>
      <c r="AZ37" s="4" t="str">
        <f t="shared" si="89"/>
        <v>Yes</v>
      </c>
      <c r="BA37" s="4" t="str">
        <f>if(AZ37="Yes", vlookup(AY$1, 'Week 2'!$A$1:$H$119, 5, False), "")</f>
        <v>Win</v>
      </c>
      <c r="BB37" s="146">
        <f>vlookup(AY35, 'Week 2'!$A$2:$H$119, 3, False)</f>
        <v>22</v>
      </c>
      <c r="BC37" s="146">
        <f>vlookup(AY35, 'Week 2'!$A$2:$H$119, 6, False)</f>
        <v>16</v>
      </c>
      <c r="BD37" s="146">
        <f>vlookup(AY35, 'Week 2'!$A$2:$H$119, 7, False)</f>
        <v>2</v>
      </c>
      <c r="BE37" s="146">
        <f>vlookup(AY35, 'Week 2'!$A$2:$H$119, 4, False)</f>
        <v>4</v>
      </c>
      <c r="BF37" s="146">
        <f>vlookup(AY35, 'Week 2'!$A$2:$H$119, 5, False)</f>
        <v>0</v>
      </c>
      <c r="BG37" s="146">
        <f>vlookup(AY35, 'Week 2'!$A$2:$H$119, 8, False)</f>
        <v>31</v>
      </c>
      <c r="BH37" s="148">
        <f t="shared" si="90"/>
        <v>0.4150943396</v>
      </c>
      <c r="BI37" s="7"/>
      <c r="BJ37" s="7"/>
      <c r="BK37" s="7"/>
      <c r="BL37" s="7"/>
    </row>
    <row r="38">
      <c r="A38" s="145" t="s">
        <v>140</v>
      </c>
      <c r="B38" s="4" t="str">
        <f t="shared" si="79"/>
        <v>Yes</v>
      </c>
      <c r="C38" s="4" t="str">
        <f>if(B38="Yes", vlookup(A$1, 'Week 3'!$A$1:$H$119, 5, False), "")</f>
        <v>Win</v>
      </c>
      <c r="D38" s="146">
        <f>vlookup(A35, 'Week 3'!$A$2:$H$119, 3, False)</f>
        <v>12</v>
      </c>
      <c r="E38" s="146">
        <f>vlookup(A35, 'Week 3'!$A$2:$H$119, 6, False)</f>
        <v>11</v>
      </c>
      <c r="F38" s="146">
        <f>vlookup(A35, 'Week 3'!$A$2:$H$119, 7, False)</f>
        <v>0</v>
      </c>
      <c r="G38" s="146">
        <f>vlookup(A35, 'Week 3'!$A$2:$H$119, 4, False)</f>
        <v>1</v>
      </c>
      <c r="H38" s="146">
        <f>vlookup(A35, 'Week 3'!$A$2:$H$119, 5, False)</f>
        <v>0</v>
      </c>
      <c r="I38" s="146">
        <f>vlookup(A35, 'Week 3'!$A$2:$H$119, 8, False)</f>
        <v>25</v>
      </c>
      <c r="J38" s="148">
        <f t="shared" si="80"/>
        <v>0.3243243243</v>
      </c>
      <c r="K38" s="145" t="s">
        <v>140</v>
      </c>
      <c r="L38" s="4" t="str">
        <f t="shared" si="81"/>
        <v>Yes</v>
      </c>
      <c r="M38" s="4" t="str">
        <f>if(L38="Yes", vlookup(K$1, 'Week 3'!$A$1:$H$119, 5, False), "")</f>
        <v>Win</v>
      </c>
      <c r="N38" s="146">
        <f>vlookup(K35, 'Week 3'!$A$2:$H$119, 3, False)</f>
        <v>8</v>
      </c>
      <c r="O38" s="146">
        <f>vlookup(K35, 'Week 3'!$A$2:$H$119, 6, False)</f>
        <v>6</v>
      </c>
      <c r="P38" s="146">
        <f>vlookup(K35, 'Week 3'!$A$2:$H$119, 7, False)</f>
        <v>0</v>
      </c>
      <c r="Q38" s="146">
        <f>vlookup(K35, 'Week 3'!$A$2:$H$119, 4, False)</f>
        <v>1</v>
      </c>
      <c r="R38" s="146">
        <f>vlookup(K35, 'Week 3'!$A$2:$H$119, 5, False)</f>
        <v>1</v>
      </c>
      <c r="S38" s="146">
        <f>vlookup(K35, 'Week 3'!$A$2:$H$119, 8, False)</f>
        <v>25</v>
      </c>
      <c r="T38" s="148">
        <f t="shared" si="82"/>
        <v>0.2424242424</v>
      </c>
      <c r="U38" s="145" t="s">
        <v>140</v>
      </c>
      <c r="V38" s="4" t="str">
        <f t="shared" si="83"/>
        <v>Yes</v>
      </c>
      <c r="W38" s="4" t="str">
        <f>if(V38="Yes", vlookup(U$1, 'Week 3'!$A$1:$H$119, 5, False), "")</f>
        <v>Loss</v>
      </c>
      <c r="X38" s="146">
        <f>vlookup(U35, 'Week 3'!$A$2:$H$119, 3, False)</f>
        <v>10</v>
      </c>
      <c r="Y38" s="146">
        <f>vlookup(U35, 'Week 3'!$A$2:$H$119, 6, False)</f>
        <v>6</v>
      </c>
      <c r="Z38" s="146">
        <f>vlookup(U35, 'Week 3'!$A$2:$H$119, 7, False)</f>
        <v>1</v>
      </c>
      <c r="AA38" s="146">
        <f>vlookup(U35, 'Week 3'!$A$2:$H$119, 4, False)</f>
        <v>3</v>
      </c>
      <c r="AB38" s="146">
        <f>vlookup(U35, 'Week 3'!$A$2:$H$119, 5, False)</f>
        <v>0</v>
      </c>
      <c r="AC38" s="146">
        <f>vlookup(U35, 'Week 3'!$A$2:$H$119, 8, False)</f>
        <v>27</v>
      </c>
      <c r="AD38" s="148">
        <f t="shared" si="84"/>
        <v>0.2702702703</v>
      </c>
      <c r="AE38" s="145" t="s">
        <v>140</v>
      </c>
      <c r="AF38" s="4" t="str">
        <f t="shared" si="85"/>
        <v>Yes</v>
      </c>
      <c r="AG38" s="4" t="str">
        <f>if(AF38="Yes", vlookup(AE$1, 'Week 3'!$A$1:$H$119, 5, False), "")</f>
        <v>Loss</v>
      </c>
      <c r="AH38" s="4">
        <f>vlookup(AE35, 'Week 3'!$A$2:$H$119, 3, False)</f>
        <v>14</v>
      </c>
      <c r="AI38" s="4">
        <f>vlookup(AE35, 'Week 3'!$A$2:$H$119, 6, False)</f>
        <v>10</v>
      </c>
      <c r="AJ38" s="4">
        <f>vlookup(AE35, 'Week 3'!$A$2:$H$119, 7, False)</f>
        <v>1</v>
      </c>
      <c r="AK38" s="4">
        <f>vlookup(AE35, 'Week 3'!$A$2:$H$119, 4, False)</f>
        <v>3</v>
      </c>
      <c r="AL38" s="4">
        <f>vlookup(AE35, 'Week 3'!$A$2:$H$119, 5, False)</f>
        <v>0</v>
      </c>
      <c r="AM38" s="4">
        <f>vlookup(AE35, 'Week 3'!$A$2:$H$119, 8, False)</f>
        <v>25</v>
      </c>
      <c r="AN38" s="148">
        <f t="shared" si="86"/>
        <v>0.358974359</v>
      </c>
      <c r="AO38" s="145" t="s">
        <v>140</v>
      </c>
      <c r="AP38" s="4" t="str">
        <f t="shared" si="87"/>
        <v/>
      </c>
      <c r="AQ38" s="4" t="str">
        <f>if(AP38="Yes", vlookup(AO$1, 'Week 3'!$A$1:$H$119, 5, False), "")</f>
        <v/>
      </c>
      <c r="AR38" s="146" t="str">
        <f>vlookup(AO35, 'Week 3'!$A$2:$H$119, 3, False)</f>
        <v/>
      </c>
      <c r="AS38" s="146" t="str">
        <f>vlookup(AO35, 'Week 3'!$A$2:$H$119, 6, False)</f>
        <v/>
      </c>
      <c r="AT38" s="146" t="str">
        <f>vlookup(AO35, 'Week 3'!$A$2:$H$119, 7, False)</f>
        <v/>
      </c>
      <c r="AU38" s="146" t="str">
        <f>vlookup(AO35, 'Week 3'!$A$2:$H$119, 4, False)</f>
        <v/>
      </c>
      <c r="AV38" s="146" t="str">
        <f>vlookup(AO35, 'Week 3'!$A$2:$H$119, 5, False)</f>
        <v/>
      </c>
      <c r="AW38" s="146" t="str">
        <f>vlookup(AO35, 'Week 3'!$A$2:$H$119, 8, False)</f>
        <v/>
      </c>
      <c r="AX38" s="148" t="str">
        <f t="shared" si="88"/>
        <v>#DIV/0!</v>
      </c>
      <c r="AY38" s="145" t="s">
        <v>140</v>
      </c>
      <c r="AZ38" s="4" t="str">
        <f t="shared" si="89"/>
        <v>Yes</v>
      </c>
      <c r="BA38" s="4" t="str">
        <f>if(AZ38="Yes", vlookup(AY$1, 'Week 3'!$A$1:$H$119, 5, False), "")</f>
        <v>Win</v>
      </c>
      <c r="BB38" s="146">
        <f>vlookup(AY35, 'Week 3'!$A$2:$H$119, 3, False)</f>
        <v>21</v>
      </c>
      <c r="BC38" s="146">
        <f>vlookup(AY35, 'Week 3'!$A$2:$H$119, 6, False)</f>
        <v>15</v>
      </c>
      <c r="BD38" s="146">
        <f>vlookup(AY35, 'Week 3'!$A$2:$H$119, 7, False)</f>
        <v>2</v>
      </c>
      <c r="BE38" s="146">
        <f>vlookup(AY35, 'Week 3'!$A$2:$H$119, 4, False)</f>
        <v>4</v>
      </c>
      <c r="BF38" s="146">
        <f>vlookup(AY35, 'Week 3'!$A$2:$H$119, 5, False)</f>
        <v>0</v>
      </c>
      <c r="BG38" s="146">
        <f>vlookup(AY35, 'Week 3'!$A$2:$H$119, 8, False)</f>
        <v>22</v>
      </c>
      <c r="BH38" s="148">
        <f t="shared" si="90"/>
        <v>0.488372093</v>
      </c>
      <c r="BI38" s="7"/>
      <c r="BJ38" s="7"/>
      <c r="BK38" s="7"/>
      <c r="BL38" s="7"/>
    </row>
    <row r="39">
      <c r="A39" s="145" t="s">
        <v>144</v>
      </c>
      <c r="B39" s="4" t="str">
        <f t="shared" si="79"/>
        <v>Yes</v>
      </c>
      <c r="C39" s="4" t="str">
        <f>if(B39="Yes", vlookup(A$1, 'Week 4'!$A$1:$H$119, 5, False), "")</f>
        <v>Win</v>
      </c>
      <c r="D39" s="4">
        <f>vlookup(A35, 'Week 4'!$A$2:$H$119, 3, False)</f>
        <v>18</v>
      </c>
      <c r="E39" s="4">
        <f>vlookup(A35, 'Week 4'!$A$2:$H$119, 6, False)</f>
        <v>15</v>
      </c>
      <c r="F39" s="4">
        <f>vlookup(A35, 'Week 4'!$A$2:$H$119, 7, False)</f>
        <v>2</v>
      </c>
      <c r="G39" s="4">
        <f>vlookup(A35, 'Week 4'!$A$2:$H$119, 4, False)</f>
        <v>1</v>
      </c>
      <c r="H39" s="4">
        <f>vlookup(A35, 'Week 4'!$A$2:$H$119, 5, False)</f>
        <v>0</v>
      </c>
      <c r="I39" s="4">
        <f>vlookup(A35, 'Week 4'!$A$2:$H$119, 8, False)</f>
        <v>24</v>
      </c>
      <c r="J39" s="148">
        <f t="shared" si="80"/>
        <v>0.4285714286</v>
      </c>
      <c r="K39" s="145" t="s">
        <v>144</v>
      </c>
      <c r="L39" s="4" t="str">
        <f t="shared" si="81"/>
        <v>Yes</v>
      </c>
      <c r="M39" s="4" t="str">
        <f>if(L39="Yes", vlookup(K$1, 'Week 4'!$A$1:$H$119, 5, False), "")</f>
        <v>Win</v>
      </c>
      <c r="N39" s="146">
        <f>vlookup(K35, 'Week 4'!$A$2:$H$119, 3, False)</f>
        <v>10</v>
      </c>
      <c r="O39" s="146">
        <f>vlookup(K35, 'Week 4'!$A$2:$H$119, 6, False)</f>
        <v>4</v>
      </c>
      <c r="P39" s="146">
        <f>vlookup(K35, 'Week 4'!$A$2:$H$119, 7, False)</f>
        <v>0</v>
      </c>
      <c r="Q39" s="146">
        <f>vlookup(K35, 'Week 4'!$A$2:$H$119, 4, False)</f>
        <v>5</v>
      </c>
      <c r="R39" s="146">
        <f>vlookup(K35, 'Week 4'!$A$2:$H$119, 5, False)</f>
        <v>1</v>
      </c>
      <c r="S39" s="146">
        <f>vlookup(K35, 'Week 4'!$A$2:$H$119, 8, False)</f>
        <v>28</v>
      </c>
      <c r="T39" s="148">
        <f t="shared" si="82"/>
        <v>0.2631578947</v>
      </c>
      <c r="U39" s="145" t="s">
        <v>144</v>
      </c>
      <c r="V39" s="4" t="str">
        <f t="shared" si="83"/>
        <v>Yes</v>
      </c>
      <c r="W39" s="4" t="str">
        <f>if(V39="Yes", vlookup(U$1, 'Week 4'!$A$1:$H$119, 5, False), "")</f>
        <v>Loss</v>
      </c>
      <c r="X39" s="146">
        <f>vlookup(U35, 'Week 4'!$A$2:$H$119, 3, False)</f>
        <v>16</v>
      </c>
      <c r="Y39" s="146">
        <f>vlookup(U35, 'Week 4'!$A$2:$H$119, 6, False)</f>
        <v>13</v>
      </c>
      <c r="Z39" s="146">
        <f>vlookup(U35, 'Week 4'!$A$2:$H$119, 7, False)</f>
        <v>0</v>
      </c>
      <c r="AA39" s="146">
        <f>vlookup(U35, 'Week 4'!$A$2:$H$119, 4, False)</f>
        <v>3</v>
      </c>
      <c r="AB39" s="146">
        <f>vlookup(U35, 'Week 4'!$A$2:$H$119, 5, False)</f>
        <v>0</v>
      </c>
      <c r="AC39" s="146">
        <f>vlookup(U35, 'Week 4'!$A$2:$H$119, 8, False)</f>
        <v>27</v>
      </c>
      <c r="AD39" s="148">
        <f t="shared" si="84"/>
        <v>0.3720930233</v>
      </c>
      <c r="AE39" s="145" t="s">
        <v>144</v>
      </c>
      <c r="AF39" s="4" t="str">
        <f t="shared" si="85"/>
        <v>Yes</v>
      </c>
      <c r="AG39" s="4" t="str">
        <f>if(AF39="Yes", vlookup(AE$1, 'Week 4'!$A$1:$H$119, 5, False), "")</f>
        <v>Win</v>
      </c>
      <c r="AH39" s="4">
        <f>vlookup(AE35, 'Week 4'!$A$2:$H$119, 3, False)</f>
        <v>18</v>
      </c>
      <c r="AI39" s="4">
        <f>vlookup(AE35, 'Week 4'!$A$2:$H$119, 6, False)</f>
        <v>3</v>
      </c>
      <c r="AJ39" s="4">
        <f>vlookup(AE35, 'Week 4'!$A$2:$H$119, 7, False)</f>
        <v>3</v>
      </c>
      <c r="AK39" s="4">
        <f>vlookup(AE35, 'Week 4'!$A$2:$H$119, 4, False)</f>
        <v>10</v>
      </c>
      <c r="AL39" s="4">
        <f>vlookup(AE35, 'Week 4'!$A$2:$H$119, 5, False)</f>
        <v>2</v>
      </c>
      <c r="AM39" s="4">
        <f>vlookup(AE35, 'Week 4'!$A$2:$H$119, 8, False)</f>
        <v>28</v>
      </c>
      <c r="AN39" s="148">
        <f t="shared" si="86"/>
        <v>0.3913043478</v>
      </c>
      <c r="AO39" s="145" t="s">
        <v>144</v>
      </c>
      <c r="AP39" s="4" t="str">
        <f t="shared" si="87"/>
        <v>Yes</v>
      </c>
      <c r="AQ39" s="4" t="str">
        <f>if(AP39="Yes", vlookup(AO$1, 'Week 4'!$A$1:$H$119, 5, False), "")</f>
        <v>Loss</v>
      </c>
      <c r="AR39" s="146">
        <f>vlookup(AO35, 'Week 4'!$A$2:$H$119, 3, False)</f>
        <v>16</v>
      </c>
      <c r="AS39" s="146">
        <f>vlookup(AO35, 'Week 4'!$A$2:$H$119, 6, False)</f>
        <v>1</v>
      </c>
      <c r="AT39" s="146">
        <f>vlookup(AO35, 'Week 4'!$A$2:$H$119, 7, False)</f>
        <v>2</v>
      </c>
      <c r="AU39" s="146">
        <f>vlookup(AO35, 'Week 4'!$A$2:$H$119, 4, False)</f>
        <v>10</v>
      </c>
      <c r="AV39" s="146">
        <f>vlookup(AO35, 'Week 4'!$A$2:$H$119, 5, False)</f>
        <v>3</v>
      </c>
      <c r="AW39" s="146">
        <f>vlookup(AO35, 'Week 4'!$A$2:$H$119, 8, False)</f>
        <v>29</v>
      </c>
      <c r="AX39" s="148">
        <f t="shared" si="88"/>
        <v>0.3555555556</v>
      </c>
      <c r="AY39" s="145" t="s">
        <v>144</v>
      </c>
      <c r="AZ39" s="4" t="str">
        <f t="shared" si="89"/>
        <v>Yes</v>
      </c>
      <c r="BA39" s="4" t="str">
        <f>if(AZ39="Yes", vlookup(AY$1, 'Week 4'!$A$1:$H$119, 5, False), "")</f>
        <v>Loss</v>
      </c>
      <c r="BB39" s="146">
        <f>vlookup(AY35, 'Week 4'!$A$2:$H$119, 3, False)</f>
        <v>23</v>
      </c>
      <c r="BC39" s="146">
        <f>vlookup(AY35, 'Week 4'!$A$2:$H$119, 6, False)</f>
        <v>15</v>
      </c>
      <c r="BD39" s="146">
        <f>vlookup(AY35, 'Week 4'!$A$2:$H$119, 7, False)</f>
        <v>1</v>
      </c>
      <c r="BE39" s="146">
        <f>vlookup(AY35, 'Week 4'!$A$2:$H$119, 4, False)</f>
        <v>7</v>
      </c>
      <c r="BF39" s="146">
        <f>vlookup(AY35, 'Week 4'!$A$2:$H$119, 5, False)</f>
        <v>0</v>
      </c>
      <c r="BG39" s="146">
        <f>vlookup(AY35, 'Week 4'!$A$2:$H$119, 8, False)</f>
        <v>23</v>
      </c>
      <c r="BH39" s="148">
        <f t="shared" si="90"/>
        <v>0.5</v>
      </c>
      <c r="BI39" s="7"/>
      <c r="BJ39" s="7"/>
      <c r="BK39" s="7"/>
      <c r="BL39" s="7"/>
    </row>
    <row r="40">
      <c r="A40" s="145" t="s">
        <v>146</v>
      </c>
      <c r="B40" s="4" t="str">
        <f t="shared" si="79"/>
        <v>Yes</v>
      </c>
      <c r="C40" s="4" t="str">
        <f>if(B40="Yes", vlookup(A$1, 'Week 5'!$A$1:$H$119, 5, False), "")</f>
        <v>Loss</v>
      </c>
      <c r="D40" s="4">
        <f>vlookup(A35, 'Week 5'!$A$2:$H$119, 3, False)</f>
        <v>22</v>
      </c>
      <c r="E40" s="4">
        <f>vlookup(A35, 'Week 5'!$A$2:$H$119, 6, False)</f>
        <v>20</v>
      </c>
      <c r="F40" s="4">
        <f>vlookup(A35, 'Week 5'!$A$2:$H$119, 7, False)</f>
        <v>0</v>
      </c>
      <c r="G40" s="4">
        <f>vlookup(A35, 'Week 5'!$A$2:$H$119, 4, False)</f>
        <v>2</v>
      </c>
      <c r="H40" s="4">
        <f>vlookup(A35, 'Week 5'!$A$2:$H$119, 5, False)</f>
        <v>0</v>
      </c>
      <c r="I40" s="4">
        <f>vlookup(A35, 'Week 5'!$A$2:$H$119, 8, False)</f>
        <v>25</v>
      </c>
      <c r="J40" s="148">
        <f t="shared" si="80"/>
        <v>0.4680851064</v>
      </c>
      <c r="K40" s="145" t="s">
        <v>146</v>
      </c>
      <c r="L40" s="4" t="str">
        <f t="shared" si="81"/>
        <v>Yes</v>
      </c>
      <c r="M40" s="4" t="str">
        <f>if(L40="Yes", vlookup(K$1, 'Week 5'!$A$1:$H$119, 5, False), "")</f>
        <v>Win</v>
      </c>
      <c r="N40" s="146">
        <f>vlookup(K35, 'Week 5'!$A$2:$H$119, 3, False)</f>
        <v>7</v>
      </c>
      <c r="O40" s="146">
        <f>vlookup(K35, 'Week 5'!$A$2:$H$119, 6, False)</f>
        <v>5</v>
      </c>
      <c r="P40" s="146">
        <f>vlookup(K35, 'Week 5'!$A$2:$H$119, 7, False)</f>
        <v>0</v>
      </c>
      <c r="Q40" s="146">
        <f>vlookup(K35, 'Week 5'!$A$2:$H$119, 4, False)</f>
        <v>2</v>
      </c>
      <c r="R40" s="146">
        <f>vlookup(K35, 'Week 5'!$A$2:$H$119, 5, False)</f>
        <v>0</v>
      </c>
      <c r="S40" s="146">
        <f>vlookup(K35, 'Week 5'!$A$2:$H$119, 8, False)</f>
        <v>24</v>
      </c>
      <c r="T40" s="148">
        <f t="shared" si="82"/>
        <v>0.2258064516</v>
      </c>
      <c r="U40" s="145" t="s">
        <v>146</v>
      </c>
      <c r="V40" s="4" t="str">
        <f t="shared" si="83"/>
        <v>Yes</v>
      </c>
      <c r="W40" s="4" t="str">
        <f>if(V40="Yes", vlookup(U$1, 'Week 5'!$A$1:$H$119, 5, False), "")</f>
        <v>Loss</v>
      </c>
      <c r="X40" s="146">
        <f>vlookup(U35, 'Week 5'!$A$2:$H$119, 3, False)</f>
        <v>20</v>
      </c>
      <c r="Y40" s="146">
        <f>vlookup(U35, 'Week 5'!$A$2:$H$119, 6, False)</f>
        <v>5</v>
      </c>
      <c r="Z40" s="146">
        <f>vlookup(U35, 'Week 5'!$A$2:$H$119, 7, False)</f>
        <v>2</v>
      </c>
      <c r="AA40" s="146">
        <f>vlookup(U35, 'Week 5'!$A$2:$H$119, 4, False)</f>
        <v>11</v>
      </c>
      <c r="AB40" s="146">
        <f>vlookup(U35, 'Week 5'!$A$2:$H$119, 5, False)</f>
        <v>2</v>
      </c>
      <c r="AC40" s="146">
        <f>vlookup(U35, 'Week 5'!$A$2:$H$119, 8, False)</f>
        <v>21</v>
      </c>
      <c r="AD40" s="148">
        <f t="shared" si="84"/>
        <v>0.487804878</v>
      </c>
      <c r="AE40" s="145" t="s">
        <v>146</v>
      </c>
      <c r="AF40" s="4" t="str">
        <f t="shared" si="85"/>
        <v>Yes</v>
      </c>
      <c r="AG40" s="4" t="str">
        <f>if(AF40="Yes", vlookup(AE$1, 'Week 5'!$A$1:$H$119, 5, False), "")</f>
        <v>Win</v>
      </c>
      <c r="AH40" s="4">
        <f>vlookup(AE35, 'Week 5'!$A$2:$H$119, 3, False)</f>
        <v>17</v>
      </c>
      <c r="AI40" s="4">
        <f>vlookup(AE35, 'Week 5'!$A$2:$H$119, 6, False)</f>
        <v>2</v>
      </c>
      <c r="AJ40" s="4">
        <f>vlookup(AE35, 'Week 5'!$A$2:$H$119, 7, False)</f>
        <v>0</v>
      </c>
      <c r="AK40" s="4">
        <f>vlookup(AE35, 'Week 5'!$A$2:$H$119, 4, False)</f>
        <v>13</v>
      </c>
      <c r="AL40" s="4">
        <f>vlookup(AE35, 'Week 5'!$A$2:$H$119, 5, False)</f>
        <v>2</v>
      </c>
      <c r="AM40" s="4">
        <f>vlookup(AE35, 'Week 5'!$A$2:$H$119, 8, False)</f>
        <v>30</v>
      </c>
      <c r="AN40" s="148">
        <f t="shared" si="86"/>
        <v>0.3617021277</v>
      </c>
      <c r="AO40" s="145" t="s">
        <v>146</v>
      </c>
      <c r="AP40" s="4" t="str">
        <f t="shared" si="87"/>
        <v>Yes</v>
      </c>
      <c r="AQ40" s="4" t="str">
        <f>if(AP40="Yes", vlookup(AO$1, 'Week 5'!$A$1:$H$119, 5, False), "")</f>
        <v>Win</v>
      </c>
      <c r="AR40" s="4">
        <f>vlookup(AO35, 'Week 5'!$A$2:$H$119, 3, False)</f>
        <v>19</v>
      </c>
      <c r="AS40" s="4">
        <f>vlookup(AO35, 'Week 5'!$A$2:$H$119, 6, False)</f>
        <v>10</v>
      </c>
      <c r="AT40" s="4">
        <f>vlookup(AO35, 'Week 5'!$A$2:$H$119, 7, False)</f>
        <v>1</v>
      </c>
      <c r="AU40" s="4">
        <f>vlookup(AO35, 'Week 5'!$A$2:$H$119, 4, False)</f>
        <v>6</v>
      </c>
      <c r="AV40" s="4">
        <f>vlookup(AO35, 'Week 5'!$A$2:$H$119, 5, False)</f>
        <v>2</v>
      </c>
      <c r="AW40" s="4">
        <f>vlookup(AO35, 'Week 5'!$A$2:$H$119, 8, False)</f>
        <v>24</v>
      </c>
      <c r="AX40" s="148">
        <f t="shared" si="88"/>
        <v>0.4418604651</v>
      </c>
      <c r="AY40" s="145" t="s">
        <v>146</v>
      </c>
      <c r="AZ40" s="4" t="str">
        <f t="shared" si="89"/>
        <v>Yes</v>
      </c>
      <c r="BA40" s="4" t="str">
        <f>if(AZ40="Yes", vlookup(AY$1, 'Week 5'!$A$1:$H$119, 5, False), "")</f>
        <v>Loss</v>
      </c>
      <c r="BB40" s="146">
        <f>vlookup(AY35, 'Week 5'!$A$2:$H$119, 3, False)</f>
        <v>24</v>
      </c>
      <c r="BC40" s="146">
        <f>vlookup(AY35, 'Week 5'!$A$2:$H$119, 6, False)</f>
        <v>18</v>
      </c>
      <c r="BD40" s="146">
        <f>vlookup(AY35, 'Week 5'!$A$2:$H$119, 7, False)</f>
        <v>3</v>
      </c>
      <c r="BE40" s="146">
        <f>vlookup(AY35, 'Week 5'!$A$2:$H$119, 4, False)</f>
        <v>3</v>
      </c>
      <c r="BF40" s="146">
        <f>vlookup(AY35, 'Week 5'!$A$2:$H$119, 5, False)</f>
        <v>0</v>
      </c>
      <c r="BG40" s="146">
        <f>vlookup(AY35, 'Week 5'!$A$2:$H$119, 8, False)</f>
        <v>29</v>
      </c>
      <c r="BH40" s="148">
        <f t="shared" si="90"/>
        <v>0.4528301887</v>
      </c>
      <c r="BI40" s="7"/>
      <c r="BJ40" s="7"/>
      <c r="BK40" s="7"/>
      <c r="BL40" s="7"/>
    </row>
    <row r="41">
      <c r="A41" s="145" t="s">
        <v>148</v>
      </c>
      <c r="B41" s="4" t="str">
        <f t="shared" si="79"/>
        <v>Yes</v>
      </c>
      <c r="C41" s="4" t="str">
        <f>if(B41="Yes", vlookup(A$1, 'Week 6'!$A$1:$H$119, 5, False), "")</f>
        <v>Loss</v>
      </c>
      <c r="D41" s="4">
        <f>vlookup(A35, 'Week 6'!$A$2:$H$119, 3, False)</f>
        <v>20</v>
      </c>
      <c r="E41" s="4">
        <f>vlookup(A35, 'Week 6'!$A$2:$H$119, 6, False)</f>
        <v>16</v>
      </c>
      <c r="F41" s="4">
        <f>vlookup(A35, 'Week 6'!$A$2:$H$119, 7, False)</f>
        <v>1</v>
      </c>
      <c r="G41" s="4">
        <f>vlookup(A35, 'Week 6'!$A$2:$H$119, 4, False)</f>
        <v>3</v>
      </c>
      <c r="H41" s="4">
        <f>vlookup(A35, 'Week 6'!$A$2:$H$119, 5, False)</f>
        <v>0</v>
      </c>
      <c r="I41" s="4">
        <f>vlookup(A35, 'Week 6'!$A$2:$H$119, 8, False)</f>
        <v>23</v>
      </c>
      <c r="J41" s="148">
        <f t="shared" si="80"/>
        <v>0.4651162791</v>
      </c>
      <c r="K41" s="145" t="s">
        <v>148</v>
      </c>
      <c r="L41" s="4" t="str">
        <f t="shared" si="81"/>
        <v/>
      </c>
      <c r="M41" s="4" t="str">
        <f>if(L41="Yes", vlookup(K$1, 'Week 6'!$A$1:$H$119, 5, False), "")</f>
        <v/>
      </c>
      <c r="N41" s="146" t="str">
        <f>vlookup(K35, 'Week 6'!$A$2:$H$119, 3, False)</f>
        <v/>
      </c>
      <c r="O41" s="146" t="str">
        <f>vlookup(K35, 'Week 6'!$A$2:$H$119, 6, False)</f>
        <v/>
      </c>
      <c r="P41" s="146" t="str">
        <f>vlookup(K35, 'Week 6'!$A$2:$H$119, 7, False)</f>
        <v/>
      </c>
      <c r="Q41" s="146" t="str">
        <f>vlookup(K35, 'Week 6'!$A$2:$H$119, 4, False)</f>
        <v/>
      </c>
      <c r="R41" s="146" t="str">
        <f>vlookup(K35, 'Week 6'!$A$2:$H$119, 5, False)</f>
        <v/>
      </c>
      <c r="S41" s="146" t="str">
        <f>vlookup(K35, 'Week 6'!$A$2:$H$119, 8, False)</f>
        <v/>
      </c>
      <c r="T41" s="148" t="str">
        <f t="shared" si="82"/>
        <v>#DIV/0!</v>
      </c>
      <c r="U41" s="145" t="s">
        <v>148</v>
      </c>
      <c r="V41" s="4" t="str">
        <f t="shared" si="83"/>
        <v>Yes</v>
      </c>
      <c r="W41" s="4" t="str">
        <f>if(V41="Yes", vlookup(U$1, 'Week 6'!$A$1:$H$119, 5, False), "")</f>
        <v>Win</v>
      </c>
      <c r="X41" s="146">
        <f>vlookup(U35, 'Week 6'!$A$2:$H$119, 3, False)</f>
        <v>23</v>
      </c>
      <c r="Y41" s="146">
        <f>vlookup(U35, 'Week 6'!$A$2:$H$119, 6, False)</f>
        <v>13</v>
      </c>
      <c r="Z41" s="146">
        <f>vlookup(U35, 'Week 6'!$A$2:$H$119, 7, False)</f>
        <v>2</v>
      </c>
      <c r="AA41" s="146">
        <f>vlookup(U35, 'Week 6'!$A$2:$H$119, 4, False)</f>
        <v>6</v>
      </c>
      <c r="AB41" s="146">
        <f>vlookup(U35, 'Week 6'!$A$2:$H$119, 5, False)</f>
        <v>2</v>
      </c>
      <c r="AC41" s="146">
        <f>vlookup(U35, 'Week 6'!$A$2:$H$119, 8, False)</f>
        <v>30</v>
      </c>
      <c r="AD41" s="148">
        <f t="shared" si="84"/>
        <v>0.4339622642</v>
      </c>
      <c r="AE41" s="145" t="s">
        <v>148</v>
      </c>
      <c r="AF41" s="4" t="str">
        <f t="shared" si="85"/>
        <v>Yes</v>
      </c>
      <c r="AG41" s="4" t="str">
        <f>if(AF41="Yes", vlookup(AE$1, 'Week 6'!$A$1:$H$119, 5, False), "")</f>
        <v>Win</v>
      </c>
      <c r="AH41" s="4">
        <f>vlookup(AE35, 'Week 6'!$A$2:$H$119, 3, False)</f>
        <v>17</v>
      </c>
      <c r="AI41" s="4">
        <f>vlookup(AE35, 'Week 6'!$A$2:$H$119, 6, False)</f>
        <v>4</v>
      </c>
      <c r="AJ41" s="4">
        <f>vlookup(AE35, 'Week 6'!$A$2:$H$119, 7, False)</f>
        <v>3</v>
      </c>
      <c r="AK41" s="4">
        <f>vlookup(AE35, 'Week 6'!$A$2:$H$119, 4, False)</f>
        <v>10</v>
      </c>
      <c r="AL41" s="4">
        <f>vlookup(AE35, 'Week 6'!$A$2:$H$119, 5, False)</f>
        <v>0</v>
      </c>
      <c r="AM41" s="4">
        <f>vlookup(AE35, 'Week 6'!$A$2:$H$119, 8, False)</f>
        <v>26</v>
      </c>
      <c r="AN41" s="148">
        <f t="shared" si="86"/>
        <v>0.3953488372</v>
      </c>
      <c r="AO41" s="145" t="s">
        <v>148</v>
      </c>
      <c r="AP41" s="4" t="str">
        <f t="shared" si="87"/>
        <v>Yes</v>
      </c>
      <c r="AQ41" s="4" t="str">
        <f>if(AP41="Yes", vlookup(AO$1, 'Week 6'!$A$1:$H$119, 5, False), "")</f>
        <v>Loss</v>
      </c>
      <c r="AR41" s="4">
        <f>vlookup(AO35, 'Week 6'!$A$2:$H$119, 3, False)</f>
        <v>8</v>
      </c>
      <c r="AS41" s="4">
        <f>vlookup(AO35, 'Week 6'!$A$2:$H$119, 6, False)</f>
        <v>5</v>
      </c>
      <c r="AT41" s="4">
        <f>vlookup(AO35, 'Week 6'!$A$2:$H$119, 7, False)</f>
        <v>0</v>
      </c>
      <c r="AU41" s="4">
        <f>vlookup(AO35, 'Week 6'!$A$2:$H$119, 4, False)</f>
        <v>3</v>
      </c>
      <c r="AV41" s="4">
        <f>vlookup(AO35, 'Week 6'!$A$2:$H$119, 5, False)</f>
        <v>0</v>
      </c>
      <c r="AW41" s="4">
        <f>vlookup(AO35, 'Week 6'!$A$2:$H$119, 8, False)</f>
        <v>36</v>
      </c>
      <c r="AX41" s="148">
        <f t="shared" si="88"/>
        <v>0.1818181818</v>
      </c>
      <c r="AY41" s="145" t="s">
        <v>148</v>
      </c>
      <c r="AZ41" s="4" t="str">
        <f t="shared" si="89"/>
        <v>Yes</v>
      </c>
      <c r="BA41" s="4" t="str">
        <f>if(AZ41="Yes", vlookup(AY$1, 'Week 6'!$A$1:$H$119, 5, False), "")</f>
        <v>Win</v>
      </c>
      <c r="BB41" s="146">
        <f>vlookup(AY35, 'Week 6'!$A$2:$H$119, 3, False)</f>
        <v>28</v>
      </c>
      <c r="BC41" s="146">
        <f>vlookup(AY35, 'Week 6'!$A$2:$H$119, 6, False)</f>
        <v>22</v>
      </c>
      <c r="BD41" s="146">
        <f>vlookup(AY35, 'Week 6'!$A$2:$H$119, 7, False)</f>
        <v>4</v>
      </c>
      <c r="BE41" s="146">
        <f>vlookup(AY35, 'Week 6'!$A$2:$H$119, 4, False)</f>
        <v>1</v>
      </c>
      <c r="BF41" s="146">
        <f>vlookup(AY35, 'Week 6'!$A$2:$H$119, 5, False)</f>
        <v>1</v>
      </c>
      <c r="BG41" s="146">
        <f>vlookup(AY35, 'Week 6'!$A$2:$H$119, 8, False)</f>
        <v>18</v>
      </c>
      <c r="BH41" s="148">
        <f t="shared" si="90"/>
        <v>0.6086956522</v>
      </c>
      <c r="BI41" s="7"/>
      <c r="BJ41" s="7"/>
      <c r="BK41" s="7"/>
      <c r="BL41" s="7"/>
    </row>
    <row r="42">
      <c r="A42" s="145" t="s">
        <v>154</v>
      </c>
      <c r="B42" s="4" t="str">
        <f t="shared" si="79"/>
        <v>Yes</v>
      </c>
      <c r="C42" s="4" t="str">
        <f>if(B42="Yes", vlookup(A$1, 'Week 7'!$A$1:$H$119, 5, False), "")</f>
        <v>Win</v>
      </c>
      <c r="D42" s="4">
        <f>vlookup(A35, 'Week 7'!$A$2:$H$119, 3, False)</f>
        <v>18</v>
      </c>
      <c r="E42" s="4">
        <f>vlookup(A35, 'Week 7'!$A$2:$H$119, 6, False)</f>
        <v>15</v>
      </c>
      <c r="F42" s="4">
        <f>vlookup(A35, 'Week 7'!$A$2:$H$119, 7, False)</f>
        <v>1</v>
      </c>
      <c r="G42" s="4">
        <f>vlookup(A35, 'Week 7'!$A$2:$H$119, 4, False)</f>
        <v>1</v>
      </c>
      <c r="H42" s="4">
        <f>vlookup(A35, 'Week 7'!$A$2:$H$119, 5, False)</f>
        <v>1</v>
      </c>
      <c r="I42" s="4">
        <f>vlookup(A35, 'Week 7'!$A$2:$H$119, 8, False)</f>
        <v>27</v>
      </c>
      <c r="J42" s="148">
        <f t="shared" si="80"/>
        <v>0.4</v>
      </c>
      <c r="K42" s="145" t="s">
        <v>154</v>
      </c>
      <c r="L42" s="4" t="str">
        <f t="shared" si="81"/>
        <v>Yes</v>
      </c>
      <c r="M42" s="4" t="str">
        <f>if(L42="Yes", vlookup(K$1, 'Week 7'!$A$1:$H$119, 5, False), "")</f>
        <v>Loss</v>
      </c>
      <c r="N42" s="146">
        <f>vlookup(K35, 'Week 7'!$A$2:$H$119, 3, False)</f>
        <v>25</v>
      </c>
      <c r="O42" s="146">
        <f>vlookup(K35, 'Week 7'!$A$2:$H$119, 6, False)</f>
        <v>13</v>
      </c>
      <c r="P42" s="146">
        <f>vlookup(K35, 'Week 7'!$A$2:$H$119, 7, False)</f>
        <v>0</v>
      </c>
      <c r="Q42" s="146">
        <f>vlookup(K35, 'Week 7'!$A$2:$H$119, 4, False)</f>
        <v>10</v>
      </c>
      <c r="R42" s="146">
        <f>vlookup(K35, 'Week 7'!$A$2:$H$119, 5, False)</f>
        <v>2</v>
      </c>
      <c r="S42" s="146">
        <f>vlookup(K35, 'Week 7'!$A$2:$H$119, 8, False)</f>
        <v>24</v>
      </c>
      <c r="T42" s="148">
        <f t="shared" si="82"/>
        <v>0.5102040816</v>
      </c>
      <c r="U42" s="145" t="s">
        <v>154</v>
      </c>
      <c r="V42" s="4" t="str">
        <f t="shared" si="83"/>
        <v>Yes</v>
      </c>
      <c r="W42" s="4" t="str">
        <f>if(V42="Yes", vlookup(U$1, 'Week 7'!$A$1:$H$119, 5, False), "")</f>
        <v>Win</v>
      </c>
      <c r="X42" s="146">
        <f>vlookup(U35, 'Week 7'!$A$2:$H$119, 3, False)</f>
        <v>14</v>
      </c>
      <c r="Y42" s="146">
        <f>vlookup(U35, 'Week 7'!$A$2:$H$119, 6, False)</f>
        <v>9</v>
      </c>
      <c r="Z42" s="146">
        <f>vlookup(U35, 'Week 7'!$A$2:$H$119, 7, False)</f>
        <v>1</v>
      </c>
      <c r="AA42" s="146">
        <f>vlookup(U35, 'Week 7'!$A$2:$H$119, 4, False)</f>
        <v>3</v>
      </c>
      <c r="AB42" s="146">
        <f>vlookup(U35, 'Week 7'!$A$2:$H$119, 5, False)</f>
        <v>1</v>
      </c>
      <c r="AC42" s="146">
        <f>vlookup(U35, 'Week 7'!$A$2:$H$119, 8, False)</f>
        <v>33</v>
      </c>
      <c r="AD42" s="148">
        <f t="shared" si="84"/>
        <v>0.2978723404</v>
      </c>
      <c r="AE42" s="145" t="s">
        <v>154</v>
      </c>
      <c r="AF42" s="4" t="str">
        <f t="shared" si="85"/>
        <v>Yes</v>
      </c>
      <c r="AG42" s="4" t="str">
        <f>if(AF42="Yes", vlookup(AE$1, 'Week 7'!$A$1:$H$119, 5, False), "")</f>
        <v>Loss</v>
      </c>
      <c r="AH42" s="4">
        <f>vlookup(AE35, 'Week 7'!$A$2:$H$119, 3, False)</f>
        <v>23</v>
      </c>
      <c r="AI42" s="4">
        <f>vlookup(AE35, 'Week 7'!$A$2:$H$119, 6, False)</f>
        <v>8</v>
      </c>
      <c r="AJ42" s="4">
        <f>vlookup(AE35, 'Week 7'!$A$2:$H$119, 7, False)</f>
        <v>3</v>
      </c>
      <c r="AK42" s="4">
        <f>vlookup(AE35, 'Week 7'!$A$2:$H$119, 4, False)</f>
        <v>9</v>
      </c>
      <c r="AL42" s="4">
        <f>vlookup(AE35, 'Week 7'!$A$2:$H$119, 5, False)</f>
        <v>3</v>
      </c>
      <c r="AM42" s="4">
        <f>vlookup(AE35, 'Week 7'!$A$2:$H$119, 8, False)</f>
        <v>29</v>
      </c>
      <c r="AN42" s="148">
        <f t="shared" si="86"/>
        <v>0.4423076923</v>
      </c>
      <c r="AO42" s="145" t="s">
        <v>154</v>
      </c>
      <c r="AP42" s="4" t="str">
        <f t="shared" si="87"/>
        <v>Yes</v>
      </c>
      <c r="AQ42" s="4" t="str">
        <f>if(AP42="Yes", vlookup(AO$1, 'Week 7'!$A$1:$H$119, 5, False), "")</f>
        <v>Loss</v>
      </c>
      <c r="AR42" s="4">
        <f>vlookup(AO35, 'Week 7'!$A$2:$H$119, 3, False)</f>
        <v>17</v>
      </c>
      <c r="AS42" s="4">
        <f>vlookup(AO35, 'Week 7'!$A$2:$H$119, 6, False)</f>
        <v>8</v>
      </c>
      <c r="AT42" s="4">
        <f>vlookup(AO35, 'Week 7'!$A$2:$H$119, 7, False)</f>
        <v>1</v>
      </c>
      <c r="AU42" s="4">
        <f>vlookup(AO35, 'Week 7'!$A$2:$H$119, 4, False)</f>
        <v>7</v>
      </c>
      <c r="AV42" s="4">
        <f>vlookup(AO35, 'Week 7'!$A$2:$H$119, 5, False)</f>
        <v>1</v>
      </c>
      <c r="AW42" s="4">
        <f>vlookup(AO35, 'Week 7'!$A$2:$H$119, 8, False)</f>
        <v>24</v>
      </c>
      <c r="AX42" s="148">
        <f t="shared" si="88"/>
        <v>0.4146341463</v>
      </c>
      <c r="AY42" s="145" t="s">
        <v>154</v>
      </c>
      <c r="AZ42" s="4" t="str">
        <f t="shared" si="89"/>
        <v>Yes</v>
      </c>
      <c r="BA42" s="4" t="str">
        <f>if(AZ42="Yes", vlookup(AY$1, 'Week 7'!$A$1:$H$119, 5, False), "")</f>
        <v>Win</v>
      </c>
      <c r="BB42" s="146">
        <f>vlookup(AY35, 'Week 7'!$A$2:$H$119, 3, False)</f>
        <v>25</v>
      </c>
      <c r="BC42" s="146">
        <f>vlookup(AY35, 'Week 7'!$A$2:$H$119, 6, False)</f>
        <v>8</v>
      </c>
      <c r="BD42" s="146">
        <f>vlookup(AY35, 'Week 7'!$A$2:$H$119, 7, False)</f>
        <v>3</v>
      </c>
      <c r="BE42" s="146">
        <f>vlookup(AY35, 'Week 7'!$A$2:$H$119, 4, False)</f>
        <v>12</v>
      </c>
      <c r="BF42" s="146">
        <f>vlookup(AY35, 'Week 7'!$A$2:$H$119, 5, False)</f>
        <v>2</v>
      </c>
      <c r="BG42" s="146">
        <f>vlookup(AY35, 'Week 7'!$A$2:$H$119, 8, False)</f>
        <v>22</v>
      </c>
      <c r="BH42" s="148">
        <f t="shared" si="90"/>
        <v>0.5319148936</v>
      </c>
      <c r="BI42" s="7"/>
      <c r="BJ42" s="7"/>
      <c r="BK42" s="7"/>
      <c r="BL42" s="7"/>
    </row>
    <row r="43">
      <c r="A43" s="145" t="s">
        <v>211</v>
      </c>
      <c r="B43" s="4" t="str">
        <f t="shared" si="79"/>
        <v/>
      </c>
      <c r="C43" s="4" t="str">
        <f>if(B43="Yes", vlookup(A$1, 'Week 1'!$A$1:$H$119, 5, False), "")</f>
        <v/>
      </c>
      <c r="D43" s="4"/>
      <c r="E43" s="4"/>
      <c r="F43" s="4"/>
      <c r="G43" s="4"/>
      <c r="H43" s="4"/>
      <c r="I43" s="4"/>
      <c r="J43" s="123"/>
      <c r="K43" s="145" t="s">
        <v>211</v>
      </c>
      <c r="L43" s="4" t="str">
        <f t="shared" si="81"/>
        <v/>
      </c>
      <c r="M43" s="4" t="str">
        <f>if(L43="Yes", vlookup(K$1, 'Week 1'!$A$1:$H$119, 5, False), "")</f>
        <v/>
      </c>
      <c r="N43" s="4"/>
      <c r="O43" s="4"/>
      <c r="P43" s="4"/>
      <c r="Q43" s="4"/>
      <c r="R43" s="4"/>
      <c r="S43" s="4"/>
      <c r="T43" s="123"/>
      <c r="U43" s="145" t="s">
        <v>211</v>
      </c>
      <c r="V43" s="4" t="str">
        <f t="shared" si="83"/>
        <v/>
      </c>
      <c r="W43" s="4" t="str">
        <f>if(V43="Yes", vlookup(U$1, 'Week 1'!$A$1:$H$119, 5, False), "")</f>
        <v/>
      </c>
      <c r="X43" s="4"/>
      <c r="Y43" s="4"/>
      <c r="Z43" s="4"/>
      <c r="AA43" s="4"/>
      <c r="AB43" s="4"/>
      <c r="AC43" s="4"/>
      <c r="AD43" s="123"/>
      <c r="AE43" s="145" t="s">
        <v>211</v>
      </c>
      <c r="AF43" s="4" t="str">
        <f t="shared" si="85"/>
        <v/>
      </c>
      <c r="AG43" s="4" t="str">
        <f>if(AF43="Yes", vlookup(AE$1, 'Week 1'!$A$1:$H$119, 5, False), "")</f>
        <v/>
      </c>
      <c r="AH43" s="4"/>
      <c r="AI43" s="4"/>
      <c r="AJ43" s="4"/>
      <c r="AK43" s="4"/>
      <c r="AL43" s="4"/>
      <c r="AM43" s="4"/>
      <c r="AN43" s="123"/>
      <c r="AO43" s="145" t="s">
        <v>211</v>
      </c>
      <c r="AP43" s="4" t="str">
        <f t="shared" si="87"/>
        <v/>
      </c>
      <c r="AQ43" s="4" t="str">
        <f>if(AP43="Yes", vlookup(AO$1, 'Week 1'!$A$1:$H$119, 5, False), "")</f>
        <v/>
      </c>
      <c r="AR43" s="4"/>
      <c r="AS43" s="4"/>
      <c r="AT43" s="4"/>
      <c r="AU43" s="4"/>
      <c r="AV43" s="4"/>
      <c r="AW43" s="4"/>
      <c r="AX43" s="123"/>
      <c r="AY43" s="145" t="s">
        <v>211</v>
      </c>
      <c r="AZ43" s="4" t="str">
        <f t="shared" si="89"/>
        <v/>
      </c>
      <c r="BA43" s="4" t="str">
        <f>if(AZ43="Yes", vlookup(AY$1, 'Week 1'!$A$1:$H$119, 5, False), "")</f>
        <v/>
      </c>
      <c r="BB43" s="4"/>
      <c r="BC43" s="4"/>
      <c r="BD43" s="4"/>
      <c r="BE43" s="4"/>
      <c r="BF43" s="4"/>
      <c r="BG43" s="4"/>
      <c r="BH43" s="123"/>
      <c r="BI43" s="7"/>
      <c r="BJ43" s="7"/>
      <c r="BK43" s="7"/>
      <c r="BL43" s="7"/>
    </row>
    <row r="44">
      <c r="A44" s="145" t="s">
        <v>212</v>
      </c>
      <c r="B44" s="4" t="str">
        <f t="shared" si="79"/>
        <v/>
      </c>
      <c r="C44" s="4" t="str">
        <f>if(B44="Yes", vlookup(A$1, 'Week 1'!$A$1:$H$119, 5, False), "")</f>
        <v/>
      </c>
      <c r="D44" s="4"/>
      <c r="E44" s="4"/>
      <c r="F44" s="4"/>
      <c r="G44" s="4"/>
      <c r="H44" s="4"/>
      <c r="I44" s="4"/>
      <c r="J44" s="123"/>
      <c r="K44" s="145" t="s">
        <v>212</v>
      </c>
      <c r="L44" s="4" t="str">
        <f t="shared" si="81"/>
        <v/>
      </c>
      <c r="M44" s="4" t="str">
        <f>if(L44="Yes", vlookup(K$1, 'Week 1'!$A$1:$H$119, 5, False), "")</f>
        <v/>
      </c>
      <c r="N44" s="4"/>
      <c r="O44" s="4"/>
      <c r="P44" s="4"/>
      <c r="Q44" s="4"/>
      <c r="R44" s="4"/>
      <c r="S44" s="4"/>
      <c r="T44" s="123"/>
      <c r="U44" s="145" t="s">
        <v>212</v>
      </c>
      <c r="V44" s="4" t="str">
        <f t="shared" si="83"/>
        <v/>
      </c>
      <c r="W44" s="4" t="str">
        <f>if(V44="Yes", vlookup(U$1, 'Week 1'!$A$1:$H$119, 5, False), "")</f>
        <v/>
      </c>
      <c r="X44" s="4"/>
      <c r="Y44" s="4"/>
      <c r="Z44" s="4"/>
      <c r="AA44" s="4"/>
      <c r="AB44" s="4"/>
      <c r="AC44" s="4"/>
      <c r="AD44" s="123"/>
      <c r="AE44" s="145" t="s">
        <v>212</v>
      </c>
      <c r="AF44" s="4" t="str">
        <f t="shared" si="85"/>
        <v/>
      </c>
      <c r="AG44" s="4" t="str">
        <f>if(AF44="Yes", vlookup(AE$1, 'Week 1'!$A$1:$H$119, 5, False), "")</f>
        <v/>
      </c>
      <c r="AH44" s="4"/>
      <c r="AI44" s="4"/>
      <c r="AJ44" s="4"/>
      <c r="AK44" s="4"/>
      <c r="AL44" s="4"/>
      <c r="AM44" s="4"/>
      <c r="AN44" s="123"/>
      <c r="AO44" s="145" t="s">
        <v>212</v>
      </c>
      <c r="AP44" s="4" t="str">
        <f t="shared" si="87"/>
        <v/>
      </c>
      <c r="AQ44" s="4" t="str">
        <f>if(AP44="Yes", vlookup(AO$1, 'Week 1'!$A$1:$H$119, 5, False), "")</f>
        <v/>
      </c>
      <c r="AR44" s="4"/>
      <c r="AS44" s="4"/>
      <c r="AT44" s="4"/>
      <c r="AU44" s="4"/>
      <c r="AV44" s="4"/>
      <c r="AW44" s="4"/>
      <c r="AX44" s="123"/>
      <c r="AY44" s="145" t="s">
        <v>212</v>
      </c>
      <c r="AZ44" s="4" t="str">
        <f t="shared" si="89"/>
        <v/>
      </c>
      <c r="BA44" s="4" t="str">
        <f>if(AZ44="Yes", vlookup(AY$1, 'Week 1'!$A$1:$H$119, 5, False), "")</f>
        <v/>
      </c>
      <c r="BB44" s="4"/>
      <c r="BC44" s="4"/>
      <c r="BD44" s="4"/>
      <c r="BE44" s="4"/>
      <c r="BF44" s="4"/>
      <c r="BG44" s="4"/>
      <c r="BH44" s="123"/>
      <c r="BI44" s="7"/>
      <c r="BJ44" s="7"/>
      <c r="BK44" s="7"/>
      <c r="BL44" s="7"/>
    </row>
    <row r="45">
      <c r="A45" s="2" t="s">
        <v>213</v>
      </c>
      <c r="B45" s="149">
        <f>countif(B36:B44, "Yes")</f>
        <v>7</v>
      </c>
      <c r="C45" s="150">
        <f>countif(C36:C44, "Win")/(countif(C36:C44, "Win")+countif(C36:C44, "Loss"))</f>
        <v>0.4285714286</v>
      </c>
      <c r="D45" s="151">
        <f t="shared" ref="D45:I45" si="91">average(D36:D44)</f>
        <v>18.57142857</v>
      </c>
      <c r="E45" s="151">
        <f t="shared" si="91"/>
        <v>15.85714286</v>
      </c>
      <c r="F45" s="151">
        <f t="shared" si="91"/>
        <v>0.5714285714</v>
      </c>
      <c r="G45" s="151">
        <f t="shared" si="91"/>
        <v>2</v>
      </c>
      <c r="H45" s="151">
        <f t="shared" si="91"/>
        <v>0.1428571429</v>
      </c>
      <c r="I45" s="152">
        <f t="shared" si="91"/>
        <v>25.57142857</v>
      </c>
      <c r="J45" s="153">
        <f>D45/(I45+D45)</f>
        <v>0.4207119741</v>
      </c>
      <c r="K45" s="2" t="s">
        <v>213</v>
      </c>
      <c r="L45" s="149">
        <f>countif(L36:L44, "Yes")</f>
        <v>4</v>
      </c>
      <c r="M45" s="150">
        <f>countif(M36:M44, "Win")/(countif(M36:M44, "Win")+countif(M36:M44, "Loss"))</f>
        <v>0.75</v>
      </c>
      <c r="N45" s="151">
        <f t="shared" ref="N45:S45" si="92">average(N36:N44)</f>
        <v>12.5</v>
      </c>
      <c r="O45" s="151">
        <f t="shared" si="92"/>
        <v>7</v>
      </c>
      <c r="P45" s="151">
        <f t="shared" si="92"/>
        <v>0</v>
      </c>
      <c r="Q45" s="151">
        <f t="shared" si="92"/>
        <v>4.5</v>
      </c>
      <c r="R45" s="151">
        <f t="shared" si="92"/>
        <v>1</v>
      </c>
      <c r="S45" s="152">
        <f t="shared" si="92"/>
        <v>25.25</v>
      </c>
      <c r="T45" s="153">
        <f>N45/(S45+N45)</f>
        <v>0.3311258278</v>
      </c>
      <c r="U45" s="2" t="s">
        <v>213</v>
      </c>
      <c r="V45" s="149">
        <f>countif(V36:V44, "Yes")</f>
        <v>7</v>
      </c>
      <c r="W45" s="150">
        <f>countif(W36:W44, "Win")/(countif(W36:W44, "Win")+countif(W36:W44, "Loss"))</f>
        <v>0.2857142857</v>
      </c>
      <c r="X45" s="151">
        <f t="shared" ref="X45:AC45" si="93">average(X36:X44)</f>
        <v>15.28571429</v>
      </c>
      <c r="Y45" s="151">
        <f t="shared" si="93"/>
        <v>8.285714286</v>
      </c>
      <c r="Z45" s="151">
        <f t="shared" si="93"/>
        <v>1</v>
      </c>
      <c r="AA45" s="151">
        <f t="shared" si="93"/>
        <v>5.142857143</v>
      </c>
      <c r="AB45" s="151">
        <f t="shared" si="93"/>
        <v>0.8571428571</v>
      </c>
      <c r="AC45" s="152">
        <f t="shared" si="93"/>
        <v>28.42857143</v>
      </c>
      <c r="AD45" s="153">
        <f>X45/(AC45+X45)</f>
        <v>0.3496732026</v>
      </c>
      <c r="AE45" s="2" t="s">
        <v>213</v>
      </c>
      <c r="AF45" s="149">
        <f>countif(AF36:AF44, "Yes")</f>
        <v>7</v>
      </c>
      <c r="AG45" s="153">
        <f>countif(AG36:AG44, "Win")/(countif(AG36:AG44, "Win")+countif(AG36:AG44, "Loss"))</f>
        <v>0.7142857143</v>
      </c>
      <c r="AH45" s="151">
        <f t="shared" ref="AH45:AM45" si="94">average(AH36:AH44)</f>
        <v>16.57142857</v>
      </c>
      <c r="AI45" s="151">
        <f t="shared" si="94"/>
        <v>5.857142857</v>
      </c>
      <c r="AJ45" s="151">
        <f t="shared" si="94"/>
        <v>1.714285714</v>
      </c>
      <c r="AK45" s="151">
        <f t="shared" si="94"/>
        <v>7.714285714</v>
      </c>
      <c r="AL45" s="151">
        <f t="shared" si="94"/>
        <v>1.285714286</v>
      </c>
      <c r="AM45" s="152">
        <f t="shared" si="94"/>
        <v>28</v>
      </c>
      <c r="AN45" s="153">
        <f>AH45/(AM45+AH45)</f>
        <v>0.3717948718</v>
      </c>
      <c r="AO45" s="2" t="s">
        <v>213</v>
      </c>
      <c r="AP45" s="149">
        <f>countif(AP36:AP44, "Yes")</f>
        <v>6</v>
      </c>
      <c r="AQ45" s="150">
        <f>countif(AQ36:AQ44, "Win")/(countif(AQ36:AQ44, "Win")+countif(AQ36:AQ44, "Loss"))</f>
        <v>0.1666666667</v>
      </c>
      <c r="AR45" s="151">
        <f t="shared" ref="AR45:AW45" si="95">average(AR36:AR44)</f>
        <v>14</v>
      </c>
      <c r="AS45" s="151">
        <f t="shared" si="95"/>
        <v>5</v>
      </c>
      <c r="AT45" s="151">
        <f t="shared" si="95"/>
        <v>0.6666666667</v>
      </c>
      <c r="AU45" s="151">
        <f t="shared" si="95"/>
        <v>7</v>
      </c>
      <c r="AV45" s="151">
        <f t="shared" si="95"/>
        <v>1.333333333</v>
      </c>
      <c r="AW45" s="152">
        <f t="shared" si="95"/>
        <v>29.5</v>
      </c>
      <c r="AX45" s="153">
        <f>AR45/(AW45+AR45)</f>
        <v>0.3218390805</v>
      </c>
      <c r="AY45" s="2" t="s">
        <v>213</v>
      </c>
      <c r="AZ45" s="149">
        <f>countif(AZ36:AZ44, "Yes")</f>
        <v>7</v>
      </c>
      <c r="BA45" s="150">
        <f>countif(BA36:BA44, "Win")/(countif(BA36:BA44, "Win")+countif(BA36:BA44, "Loss"))</f>
        <v>0.7142857143</v>
      </c>
      <c r="BB45" s="151">
        <f t="shared" ref="BB45:BG45" si="96">average(BB36:BB44)</f>
        <v>24.57142857</v>
      </c>
      <c r="BC45" s="151">
        <f t="shared" si="96"/>
        <v>16.57142857</v>
      </c>
      <c r="BD45" s="151">
        <f t="shared" si="96"/>
        <v>2.714285714</v>
      </c>
      <c r="BE45" s="151">
        <f t="shared" si="96"/>
        <v>4.714285714</v>
      </c>
      <c r="BF45" s="151">
        <f t="shared" si="96"/>
        <v>0.5714285714</v>
      </c>
      <c r="BG45" s="152">
        <f t="shared" si="96"/>
        <v>23.57142857</v>
      </c>
      <c r="BH45" s="153">
        <f>BB45/(BG45+BB45)</f>
        <v>0.5103857567</v>
      </c>
      <c r="BI45" s="7"/>
      <c r="BJ45" s="7"/>
      <c r="BK45" s="7"/>
      <c r="BL45" s="7"/>
    </row>
    <row r="46">
      <c r="A46" s="154" t="str">
        <f>Draft!B49</f>
        <v>Swit</v>
      </c>
      <c r="B46" s="124">
        <f t="shared" ref="B46:J46" si="97">B56</f>
        <v>7</v>
      </c>
      <c r="C46" s="136">
        <f t="shared" si="97"/>
        <v>0.4285714286</v>
      </c>
      <c r="D46" s="137">
        <f t="shared" si="97"/>
        <v>12.57142857</v>
      </c>
      <c r="E46" s="137">
        <f t="shared" si="97"/>
        <v>4.428571429</v>
      </c>
      <c r="F46" s="137">
        <f t="shared" si="97"/>
        <v>0.4285714286</v>
      </c>
      <c r="G46" s="137">
        <f t="shared" si="97"/>
        <v>7.571428571</v>
      </c>
      <c r="H46" s="137">
        <f t="shared" si="97"/>
        <v>0.1428571429</v>
      </c>
      <c r="I46" s="138">
        <f t="shared" si="97"/>
        <v>26</v>
      </c>
      <c r="J46" s="139">
        <f t="shared" si="97"/>
        <v>0.3259259259</v>
      </c>
      <c r="K46" s="155" t="str">
        <f>Draft!C49</f>
        <v>Crosby</v>
      </c>
      <c r="L46" s="124">
        <f t="shared" ref="L46:T46" si="98">L56</f>
        <v>5</v>
      </c>
      <c r="M46" s="136">
        <f t="shared" si="98"/>
        <v>0.6</v>
      </c>
      <c r="N46" s="137">
        <f t="shared" si="98"/>
        <v>19.2</v>
      </c>
      <c r="O46" s="137">
        <f t="shared" si="98"/>
        <v>11</v>
      </c>
      <c r="P46" s="137">
        <f t="shared" si="98"/>
        <v>0.8</v>
      </c>
      <c r="Q46" s="137">
        <f t="shared" si="98"/>
        <v>6.6</v>
      </c>
      <c r="R46" s="137">
        <f t="shared" si="98"/>
        <v>0.8</v>
      </c>
      <c r="S46" s="138">
        <f t="shared" si="98"/>
        <v>23</v>
      </c>
      <c r="T46" s="139">
        <f t="shared" si="98"/>
        <v>0.4549763033</v>
      </c>
      <c r="U46" s="156" t="str">
        <f>Draft!D49</f>
        <v>Saluja</v>
      </c>
      <c r="V46" s="124">
        <f t="shared" ref="V46:AD46" si="99">V56</f>
        <v>0</v>
      </c>
      <c r="W46" s="136" t="str">
        <f t="shared" si="99"/>
        <v>#DIV/0!</v>
      </c>
      <c r="X46" s="137" t="str">
        <f t="shared" si="99"/>
        <v>#N/A</v>
      </c>
      <c r="Y46" s="137" t="str">
        <f t="shared" si="99"/>
        <v>#N/A</v>
      </c>
      <c r="Z46" s="137" t="str">
        <f t="shared" si="99"/>
        <v>#N/A</v>
      </c>
      <c r="AA46" s="137" t="str">
        <f t="shared" si="99"/>
        <v>#N/A</v>
      </c>
      <c r="AB46" s="137" t="str">
        <f t="shared" si="99"/>
        <v>#N/A</v>
      </c>
      <c r="AC46" s="138" t="str">
        <f t="shared" si="99"/>
        <v>#N/A</v>
      </c>
      <c r="AD46" s="139" t="str">
        <f t="shared" si="99"/>
        <v>#N/A</v>
      </c>
      <c r="AE46" s="157" t="str">
        <f>Draft!E49</f>
        <v>Lanuza</v>
      </c>
      <c r="AF46" s="124">
        <f t="shared" ref="AF46:AN46" si="100">AF56</f>
        <v>3</v>
      </c>
      <c r="AG46" s="136">
        <f t="shared" si="100"/>
        <v>0.3333333333</v>
      </c>
      <c r="AH46" s="137">
        <f t="shared" si="100"/>
        <v>15.66666667</v>
      </c>
      <c r="AI46" s="137">
        <f t="shared" si="100"/>
        <v>14.66666667</v>
      </c>
      <c r="AJ46" s="137">
        <f t="shared" si="100"/>
        <v>0</v>
      </c>
      <c r="AK46" s="137">
        <f t="shared" si="100"/>
        <v>1</v>
      </c>
      <c r="AL46" s="137">
        <f t="shared" si="100"/>
        <v>0</v>
      </c>
      <c r="AM46" s="138">
        <f t="shared" si="100"/>
        <v>30.66666667</v>
      </c>
      <c r="AN46" s="139">
        <f t="shared" si="100"/>
        <v>0.3381294964</v>
      </c>
      <c r="AO46" s="158" t="str">
        <f>Draft!F49</f>
        <v>Du</v>
      </c>
      <c r="AP46" s="124">
        <f t="shared" ref="AP46:AX46" si="101">AP56</f>
        <v>4</v>
      </c>
      <c r="AQ46" s="136">
        <f t="shared" si="101"/>
        <v>0</v>
      </c>
      <c r="AR46" s="137">
        <f t="shared" si="101"/>
        <v>13.25</v>
      </c>
      <c r="AS46" s="137">
        <f t="shared" si="101"/>
        <v>6</v>
      </c>
      <c r="AT46" s="137">
        <f t="shared" si="101"/>
        <v>0</v>
      </c>
      <c r="AU46" s="137">
        <f t="shared" si="101"/>
        <v>7</v>
      </c>
      <c r="AV46" s="137">
        <f t="shared" si="101"/>
        <v>0.25</v>
      </c>
      <c r="AW46" s="138">
        <f t="shared" si="101"/>
        <v>30</v>
      </c>
      <c r="AX46" s="139">
        <f t="shared" si="101"/>
        <v>0.3063583815</v>
      </c>
      <c r="AY46" s="19" t="str">
        <f>Draft!G49</f>
        <v>Kian</v>
      </c>
      <c r="AZ46" s="124">
        <f t="shared" ref="AZ46:BH46" si="102">AZ56</f>
        <v>7</v>
      </c>
      <c r="BA46" s="136">
        <f t="shared" si="102"/>
        <v>0.7142857143</v>
      </c>
      <c r="BB46" s="137">
        <f t="shared" si="102"/>
        <v>13.57142857</v>
      </c>
      <c r="BC46" s="137">
        <f t="shared" si="102"/>
        <v>5</v>
      </c>
      <c r="BD46" s="137">
        <f t="shared" si="102"/>
        <v>1.285714286</v>
      </c>
      <c r="BE46" s="137">
        <f t="shared" si="102"/>
        <v>5.428571429</v>
      </c>
      <c r="BF46" s="137">
        <f t="shared" si="102"/>
        <v>1.857142857</v>
      </c>
      <c r="BG46" s="138">
        <f t="shared" si="102"/>
        <v>28.42857143</v>
      </c>
      <c r="BH46" s="139">
        <f t="shared" si="102"/>
        <v>0.3231292517</v>
      </c>
      <c r="BI46" s="7"/>
      <c r="BJ46" s="7"/>
      <c r="BK46" s="7"/>
      <c r="BL46" s="7"/>
    </row>
    <row r="47">
      <c r="A47" s="145" t="s">
        <v>133</v>
      </c>
      <c r="B47" s="4" t="str">
        <f t="shared" ref="B47:B55" si="103">if(I47&gt;0, "Yes", "")</f>
        <v>Yes</v>
      </c>
      <c r="C47" s="4" t="str">
        <f>if(B47="Yes", vlookup(A$1, 'Week 1'!$A$1:$H$119, 5, False), "")</f>
        <v>Loss</v>
      </c>
      <c r="D47" s="146">
        <f>vlookup(A46, 'Week 1'!$A$2:$H$119, 3, False)</f>
        <v>12</v>
      </c>
      <c r="E47" s="147">
        <f>vlookup(A46, 'Week 1'!$A$2:$H$119, 6, False)</f>
        <v>4</v>
      </c>
      <c r="F47" s="147">
        <f>vlookup(A46, 'Week 1'!$A$2:$H$119, 7, False)</f>
        <v>0</v>
      </c>
      <c r="G47" s="147">
        <f>vlookup(A46, 'Week 1'!$A$2:$H$119, 4, False)</f>
        <v>8</v>
      </c>
      <c r="H47" s="147">
        <f>vlookup(A46, 'Week 1'!$A$2:$H$119, 5, False)</f>
        <v>0</v>
      </c>
      <c r="I47" s="147">
        <f>vlookup(A46, 'Week 1'!$A$2:$H$119, 8, False)</f>
        <v>26</v>
      </c>
      <c r="J47" s="148">
        <f t="shared" ref="J47:J53" si="104">if(D47&gt;0, (D47/(D47+I47)), "")</f>
        <v>0.3157894737</v>
      </c>
      <c r="K47" s="145" t="s">
        <v>133</v>
      </c>
      <c r="L47" s="4" t="str">
        <f t="shared" ref="L47:L55" si="105">if(S47&gt;0, "Yes", "")</f>
        <v>Yes</v>
      </c>
      <c r="M47" s="4" t="str">
        <f>if(L47="Yes", vlookup(K$1, 'Week 1'!$A$1:$H$119, 5, False), "")</f>
        <v>Win</v>
      </c>
      <c r="N47" s="146">
        <f>vlookup(K46, 'Week 1'!$A$2:$H$119, 3, False)</f>
        <v>17</v>
      </c>
      <c r="O47" s="147">
        <f>vlookup(K46, 'Week 1'!$A$2:$H$119, 6, False)</f>
        <v>16</v>
      </c>
      <c r="P47" s="147">
        <f>vlookup(K46, 'Week 1'!$A$2:$H$119, 7, False)</f>
        <v>0</v>
      </c>
      <c r="Q47" s="147">
        <f>vlookup(K46, 'Week 1'!$A$2:$H$119, 4, False)</f>
        <v>1</v>
      </c>
      <c r="R47" s="147">
        <f>vlookup(K46, 'Week 1'!$A$2:$H$119, 5, False)</f>
        <v>0</v>
      </c>
      <c r="S47" s="147">
        <f>vlookup(K46, 'Week 1'!$A$2:$H$119, 8, False)</f>
        <v>26</v>
      </c>
      <c r="T47" s="148">
        <f t="shared" ref="T47:T53" si="106">if(N47&gt;0, (N47/(N47+S47)), "")</f>
        <v>0.3953488372</v>
      </c>
      <c r="U47" s="145" t="s">
        <v>133</v>
      </c>
      <c r="V47" s="4" t="str">
        <f t="shared" ref="V47:V55" si="107">if(AC47&gt;0, "Yes", "")</f>
        <v>#N/A</v>
      </c>
      <c r="W47" s="4" t="str">
        <f>if(V47="Yes", vlookup(U$1, 'Week 1'!$A$1:$H$119, 5, False), "")</f>
        <v>#N/A</v>
      </c>
      <c r="X47" s="146" t="str">
        <f>vlookup(U46, 'Week 1'!$A$2:$H$119, 3, False)</f>
        <v>#N/A</v>
      </c>
      <c r="Y47" s="147" t="str">
        <f>vlookup(U46, 'Week 1'!$A$2:$H$119, 6, False)</f>
        <v>#N/A</v>
      </c>
      <c r="Z47" s="147" t="str">
        <f>vlookup(U46, 'Week 1'!$A$2:$H$119, 7, False)</f>
        <v>#N/A</v>
      </c>
      <c r="AA47" s="147" t="str">
        <f>vlookup(U46, 'Week 1'!$A$2:$H$119, 4, False)</f>
        <v>#N/A</v>
      </c>
      <c r="AB47" s="147" t="str">
        <f>vlookup(U46, 'Week 1'!$A$2:$H$119, 5, False)</f>
        <v>#N/A</v>
      </c>
      <c r="AC47" s="147" t="str">
        <f>vlookup(U46, 'Week 1'!$A$2:$H$119, 8, False)</f>
        <v>#N/A</v>
      </c>
      <c r="AD47" s="148" t="str">
        <f t="shared" ref="AD47:AD53" si="108">if(X47&gt;0, (X47/(X47+AC47)), "")</f>
        <v>#N/A</v>
      </c>
      <c r="AE47" s="145" t="s">
        <v>133</v>
      </c>
      <c r="AF47" s="4" t="str">
        <f t="shared" ref="AF47:AF55" si="109">if(AM47&gt;0, "Yes", "")</f>
        <v>Yes</v>
      </c>
      <c r="AG47" s="4" t="str">
        <f>if(AF47="Yes", vlookup(AE$1, 'Week 1'!$A$1:$H$119, 5, False), "")</f>
        <v>Win</v>
      </c>
      <c r="AH47" s="4">
        <f>vlookup(AE46, 'Week 1'!$A$2:$H$119, 3, False)</f>
        <v>18</v>
      </c>
      <c r="AI47" s="7">
        <f>vlookup(AE46, 'Week 1'!$A$2:$H$119, 6, False)</f>
        <v>16</v>
      </c>
      <c r="AJ47" s="7">
        <f>vlookup(AE46, 'Week 1'!$A$2:$H$119, 7, False)</f>
        <v>0</v>
      </c>
      <c r="AK47" s="7">
        <f>vlookup(AE46, 'Week 1'!$A$2:$H$119, 4, False)</f>
        <v>2</v>
      </c>
      <c r="AL47" s="7">
        <f>vlookup(AE46, 'Week 1'!$A$2:$H$119, 5, False)</f>
        <v>0</v>
      </c>
      <c r="AM47" s="7">
        <f>vlookup(AE46, 'Week 1'!$A$2:$H$119, 8, False)</f>
        <v>33</v>
      </c>
      <c r="AN47" s="148">
        <f t="shared" ref="AN47:AN53" si="110">if(AH47&gt;0, (AH47/(AH47+AM47)), "")</f>
        <v>0.3529411765</v>
      </c>
      <c r="AO47" s="145" t="s">
        <v>133</v>
      </c>
      <c r="AP47" s="4" t="str">
        <f t="shared" ref="AP47:AP55" si="111">if(AW47&gt;0, "Yes", "")</f>
        <v>Yes</v>
      </c>
      <c r="AQ47" s="4" t="str">
        <f>if(AP47="Yes", vlookup(AO$1, 'Week 1'!$A$1:$H$119, 5, False), "")</f>
        <v>Loss</v>
      </c>
      <c r="AR47" s="146">
        <f>vlookup(AO46, 'Week 1'!$A$2:$H$119, 3, False)</f>
        <v>14</v>
      </c>
      <c r="AS47" s="147">
        <f>vlookup(AO46, 'Week 1'!$A$2:$H$119, 6, False)</f>
        <v>5</v>
      </c>
      <c r="AT47" s="147">
        <f>vlookup(AO46, 'Week 1'!$A$2:$H$119, 7, False)</f>
        <v>0</v>
      </c>
      <c r="AU47" s="147">
        <f>vlookup(AO46, 'Week 1'!$A$2:$H$119, 4, False)</f>
        <v>9</v>
      </c>
      <c r="AV47" s="147">
        <f>vlookup(AO46, 'Week 1'!$A$2:$H$119, 5, False)</f>
        <v>0</v>
      </c>
      <c r="AW47" s="147">
        <f>vlookup(AO46, 'Week 1'!$A$2:$H$119, 8, False)</f>
        <v>38</v>
      </c>
      <c r="AX47" s="148">
        <f t="shared" ref="AX47:AX53" si="112">if(AR47&gt;0, (AR47/(AR47+AW47)), "")</f>
        <v>0.2692307692</v>
      </c>
      <c r="AY47" s="145" t="s">
        <v>133</v>
      </c>
      <c r="AZ47" s="4" t="str">
        <f t="shared" ref="AZ47:AZ55" si="113">if(BG47&gt;0, "Yes", "")</f>
        <v>Yes</v>
      </c>
      <c r="BA47" s="4" t="str">
        <f>if(AZ47="Yes", vlookup(AY$1, 'Week 1'!$A$1:$H$119, 5, False), "")</f>
        <v>Win</v>
      </c>
      <c r="BB47" s="4">
        <f>vlookup(AY46, 'Week 1'!$A$2:$H$119, 3, False)</f>
        <v>13</v>
      </c>
      <c r="BC47" s="7">
        <f>vlookup(AY46, 'Week 1'!$A$2:$H$119, 6, False)</f>
        <v>4</v>
      </c>
      <c r="BD47" s="7">
        <f>vlookup(AY46, 'Week 1'!$A$2:$H$119, 7, False)</f>
        <v>1</v>
      </c>
      <c r="BE47" s="7">
        <f>vlookup(AY46, 'Week 1'!$A$2:$H$119, 4, False)</f>
        <v>6</v>
      </c>
      <c r="BF47" s="7">
        <f>vlookup(AY46, 'Week 1'!$A$2:$H$119, 5, False)</f>
        <v>2</v>
      </c>
      <c r="BG47" s="7">
        <f>vlookup(AY46, 'Week 1'!$A$2:$H$119, 8, False)</f>
        <v>28</v>
      </c>
      <c r="BH47" s="148">
        <f t="shared" ref="BH47:BH53" si="114">if(BB47&gt;0, (BB47/(BB47+BG47)), "")</f>
        <v>0.3170731707</v>
      </c>
      <c r="BI47" s="7"/>
      <c r="BJ47" s="7"/>
      <c r="BK47" s="7"/>
      <c r="BL47" s="7"/>
    </row>
    <row r="48">
      <c r="A48" s="145" t="s">
        <v>135</v>
      </c>
      <c r="B48" s="4" t="str">
        <f t="shared" si="103"/>
        <v>Yes</v>
      </c>
      <c r="C48" s="4" t="str">
        <f>if(B48="Yes", vlookup(A$1, 'Week 2'!$A$1:$H$119, 5, False), "")</f>
        <v>Loss</v>
      </c>
      <c r="D48" s="4">
        <f>vlookup(A46, 'Week 2'!$A$2:$H$119, 3, False)</f>
        <v>12</v>
      </c>
      <c r="E48" s="4">
        <f>vlookup(A46, 'Week 2'!$A$2:$H$119, 6, False)</f>
        <v>0</v>
      </c>
      <c r="F48" s="4">
        <f>vlookup(A46, 'Week 2'!$A$2:$H$119, 7, False)</f>
        <v>1</v>
      </c>
      <c r="G48" s="4">
        <f>vlookup(A46, 'Week 2'!$A$2:$H$119, 4, False)</f>
        <v>10</v>
      </c>
      <c r="H48" s="4">
        <f>vlookup(A46, 'Week 2'!$A$2:$H$119, 5, False)</f>
        <v>1</v>
      </c>
      <c r="I48" s="4">
        <f>vlookup(A46, 'Week 2'!$A$2:$H$119, 8, False)</f>
        <v>28</v>
      </c>
      <c r="J48" s="148">
        <f t="shared" si="104"/>
        <v>0.3</v>
      </c>
      <c r="K48" s="145" t="s">
        <v>135</v>
      </c>
      <c r="L48" s="4" t="str">
        <f t="shared" si="105"/>
        <v>Yes</v>
      </c>
      <c r="M48" s="4" t="str">
        <f>if(L48="Yes", vlookup(K$1, 'Week 2'!$A$1:$H$119, 5, False), "")</f>
        <v>Loss</v>
      </c>
      <c r="N48" s="4">
        <f>vlookup(K46, 'Week 2'!$A$2:$H$119, 3, False)</f>
        <v>18</v>
      </c>
      <c r="O48" s="4">
        <f>vlookup(K46, 'Week 2'!$A$2:$H$119, 6, False)</f>
        <v>6</v>
      </c>
      <c r="P48" s="4">
        <f>vlookup(K46, 'Week 2'!$A$2:$H$119, 7, False)</f>
        <v>0</v>
      </c>
      <c r="Q48" s="4">
        <f>vlookup(K46, 'Week 2'!$A$2:$H$119, 4, False)</f>
        <v>12</v>
      </c>
      <c r="R48" s="4">
        <f>vlookup(K46, 'Week 2'!$A$2:$H$119, 5, False)</f>
        <v>0</v>
      </c>
      <c r="S48" s="4">
        <f>vlookup(K46, 'Week 2'!$A$2:$H$119, 8, False)</f>
        <v>22</v>
      </c>
      <c r="T48" s="148">
        <f t="shared" si="106"/>
        <v>0.45</v>
      </c>
      <c r="U48" s="145" t="s">
        <v>135</v>
      </c>
      <c r="V48" s="4" t="str">
        <f t="shared" si="107"/>
        <v>#N/A</v>
      </c>
      <c r="W48" s="4" t="str">
        <f>if(V48="Yes", vlookup(U$1, 'Week 2'!$A$1:$H$119, 5, False), "")</f>
        <v>#N/A</v>
      </c>
      <c r="X48" s="146" t="str">
        <f>vlookup(U46, 'Week 2'!$A$2:$H$119, 3, False)</f>
        <v>#N/A</v>
      </c>
      <c r="Y48" s="146" t="str">
        <f>vlookup(U46, 'Week 2'!$A$2:$H$119, 6, False)</f>
        <v>#N/A</v>
      </c>
      <c r="Z48" s="146" t="str">
        <f>vlookup(U46, 'Week 2'!$A$2:$H$119, 7, False)</f>
        <v>#N/A</v>
      </c>
      <c r="AA48" s="146" t="str">
        <f>vlookup(U46, 'Week 2'!$A$2:$H$119, 4, False)</f>
        <v>#N/A</v>
      </c>
      <c r="AB48" s="146" t="str">
        <f>vlookup(U46, 'Week 2'!$A$2:$H$119, 5, False)</f>
        <v>#N/A</v>
      </c>
      <c r="AC48" s="146" t="str">
        <f>vlookup(U46, 'Week 2'!$A$2:$H$119, 8, False)</f>
        <v>#N/A</v>
      </c>
      <c r="AD48" s="148" t="str">
        <f t="shared" si="108"/>
        <v>#N/A</v>
      </c>
      <c r="AE48" s="145" t="s">
        <v>135</v>
      </c>
      <c r="AF48" s="4" t="str">
        <f t="shared" si="109"/>
        <v/>
      </c>
      <c r="AG48" s="4" t="str">
        <f>if(AF48="Yes", vlookup(AE$1, 'Week 2'!$A$1:$H$119, 5, False), "")</f>
        <v/>
      </c>
      <c r="AH48" s="146" t="str">
        <f>vlookup(AE46, 'Week 2'!$A$2:$H$119, 3, False)</f>
        <v/>
      </c>
      <c r="AI48" s="146" t="str">
        <f>vlookup(AE46, 'Week 2'!$A$2:$H$119, 6, False)</f>
        <v/>
      </c>
      <c r="AJ48" s="146" t="str">
        <f>vlookup(AE46, 'Week 2'!$A$2:$H$119, 7, False)</f>
        <v/>
      </c>
      <c r="AK48" s="146" t="str">
        <f>vlookup(AE46, 'Week 2'!$A$2:$H$119, 4, False)</f>
        <v/>
      </c>
      <c r="AL48" s="146" t="str">
        <f>vlookup(AE46, 'Week 2'!$A$2:$H$119, 5, False)</f>
        <v/>
      </c>
      <c r="AM48" s="146" t="str">
        <f>vlookup(AE46, 'Week 2'!$A$2:$H$119, 8, False)</f>
        <v/>
      </c>
      <c r="AN48" s="148" t="str">
        <f t="shared" si="110"/>
        <v>#DIV/0!</v>
      </c>
      <c r="AO48" s="145" t="s">
        <v>135</v>
      </c>
      <c r="AP48" s="4" t="str">
        <f t="shared" si="111"/>
        <v>Yes</v>
      </c>
      <c r="AQ48" s="4" t="str">
        <f>if(AP48="Yes", vlookup(AO$1, 'Week 2'!$A$1:$H$119, 5, False), "")</f>
        <v>Loss</v>
      </c>
      <c r="AR48" s="146">
        <f>vlookup(AO46, 'Week 2'!$A$2:$H$119, 3, False)</f>
        <v>9</v>
      </c>
      <c r="AS48" s="146">
        <f>vlookup(AO46, 'Week 2'!$A$2:$H$119, 6, False)</f>
        <v>7</v>
      </c>
      <c r="AT48" s="146">
        <f>vlookup(AO46, 'Week 2'!$A$2:$H$119, 7, False)</f>
        <v>0</v>
      </c>
      <c r="AU48" s="146">
        <f>vlookup(AO46, 'Week 2'!$A$2:$H$119, 4, False)</f>
        <v>2</v>
      </c>
      <c r="AV48" s="146">
        <f>vlookup(AO46, 'Week 2'!$A$2:$H$119, 5, False)</f>
        <v>0</v>
      </c>
      <c r="AW48" s="146">
        <f>vlookup(AO46, 'Week 2'!$A$2:$H$119, 8, False)</f>
        <v>30</v>
      </c>
      <c r="AX48" s="148">
        <f t="shared" si="112"/>
        <v>0.2307692308</v>
      </c>
      <c r="AY48" s="145" t="s">
        <v>135</v>
      </c>
      <c r="AZ48" s="4" t="str">
        <f t="shared" si="113"/>
        <v>Yes</v>
      </c>
      <c r="BA48" s="4" t="str">
        <f>if(AZ48="Yes", vlookup(AY$1, 'Week 2'!$A$1:$H$119, 5, False), "")</f>
        <v>Win</v>
      </c>
      <c r="BB48" s="146">
        <f>vlookup(AY46, 'Week 2'!$A$2:$H$119, 3, False)</f>
        <v>17</v>
      </c>
      <c r="BC48" s="146">
        <f>vlookup(AY46, 'Week 2'!$A$2:$H$119, 6, False)</f>
        <v>8</v>
      </c>
      <c r="BD48" s="146">
        <f>vlookup(AY46, 'Week 2'!$A$2:$H$119, 7, False)</f>
        <v>1</v>
      </c>
      <c r="BE48" s="146">
        <f>vlookup(AY46, 'Week 2'!$A$2:$H$119, 4, False)</f>
        <v>4</v>
      </c>
      <c r="BF48" s="146">
        <f>vlookup(AY46, 'Week 2'!$A$2:$H$119, 5, False)</f>
        <v>4</v>
      </c>
      <c r="BG48" s="146">
        <f>vlookup(AY46, 'Week 2'!$A$2:$H$119, 8, False)</f>
        <v>32</v>
      </c>
      <c r="BH48" s="148">
        <f t="shared" si="114"/>
        <v>0.3469387755</v>
      </c>
      <c r="BI48" s="7"/>
      <c r="BJ48" s="7"/>
      <c r="BK48" s="7"/>
      <c r="BL48" s="7"/>
    </row>
    <row r="49">
      <c r="A49" s="145" t="s">
        <v>140</v>
      </c>
      <c r="B49" s="4" t="str">
        <f t="shared" si="103"/>
        <v>Yes</v>
      </c>
      <c r="C49" s="4" t="str">
        <f>if(B49="Yes", vlookup(A$1, 'Week 3'!$A$1:$H$119, 5, False), "")</f>
        <v>Win</v>
      </c>
      <c r="D49" s="4">
        <f>vlookup(A46, 'Week 3'!$A$2:$H$119, 3, False)</f>
        <v>15</v>
      </c>
      <c r="E49" s="4">
        <f>vlookup(A46, 'Week 3'!$A$2:$H$119, 6, False)</f>
        <v>7</v>
      </c>
      <c r="F49" s="4">
        <f>vlookup(A46, 'Week 3'!$A$2:$H$119, 7, False)</f>
        <v>1</v>
      </c>
      <c r="G49" s="4">
        <f>vlookup(A46, 'Week 3'!$A$2:$H$119, 4, False)</f>
        <v>7</v>
      </c>
      <c r="H49" s="4">
        <f>vlookup(A46, 'Week 3'!$A$2:$H$119, 5, False)</f>
        <v>0</v>
      </c>
      <c r="I49" s="4">
        <f>vlookup(A46, 'Week 3'!$A$2:$H$119, 8, False)</f>
        <v>22</v>
      </c>
      <c r="J49" s="148">
        <f t="shared" si="104"/>
        <v>0.4054054054</v>
      </c>
      <c r="K49" s="145" t="s">
        <v>140</v>
      </c>
      <c r="L49" s="4" t="str">
        <f t="shared" si="105"/>
        <v>Yes</v>
      </c>
      <c r="M49" s="4" t="str">
        <f>if(L49="Yes", vlookup(K$1, 'Week 3'!$A$1:$H$119, 5, False), "")</f>
        <v>Win</v>
      </c>
      <c r="N49" s="4">
        <f>vlookup(K46, 'Week 3'!$A$2:$H$119, 3, False)</f>
        <v>17</v>
      </c>
      <c r="O49" s="4">
        <f>vlookup(K46, 'Week 3'!$A$2:$H$119, 6, False)</f>
        <v>9</v>
      </c>
      <c r="P49" s="4">
        <f>vlookup(K46, 'Week 3'!$A$2:$H$119, 7, False)</f>
        <v>1</v>
      </c>
      <c r="Q49" s="4">
        <f>vlookup(K46, 'Week 3'!$A$2:$H$119, 4, False)</f>
        <v>6</v>
      </c>
      <c r="R49" s="4">
        <f>vlookup(K46, 'Week 3'!$A$2:$H$119, 5, False)</f>
        <v>1</v>
      </c>
      <c r="S49" s="4">
        <f>vlookup(K46, 'Week 3'!$A$2:$H$119, 8, False)</f>
        <v>22</v>
      </c>
      <c r="T49" s="148">
        <f t="shared" si="106"/>
        <v>0.4358974359</v>
      </c>
      <c r="U49" s="145" t="s">
        <v>140</v>
      </c>
      <c r="V49" s="4" t="str">
        <f t="shared" si="107"/>
        <v>#N/A</v>
      </c>
      <c r="W49" s="4" t="str">
        <f>if(V49="Yes", vlookup(U$1, 'Week 3'!$A$1:$H$119, 5, False), "")</f>
        <v>#N/A</v>
      </c>
      <c r="X49" s="146" t="str">
        <f>vlookup(U46, 'Week 3'!$A$2:$H$119, 3, False)</f>
        <v>#N/A</v>
      </c>
      <c r="Y49" s="146" t="str">
        <f>vlookup(U46, 'Week 3'!$A$2:$H$119, 6, False)</f>
        <v>#N/A</v>
      </c>
      <c r="Z49" s="146" t="str">
        <f>vlookup(U46, 'Week 3'!$A$2:$H$119, 7, False)</f>
        <v>#N/A</v>
      </c>
      <c r="AA49" s="146" t="str">
        <f>vlookup(U46, 'Week 3'!$A$2:$H$119, 4, False)</f>
        <v>#N/A</v>
      </c>
      <c r="AB49" s="146" t="str">
        <f>vlookup(U46, 'Week 3'!$A$2:$H$119, 5, False)</f>
        <v>#N/A</v>
      </c>
      <c r="AC49" s="146" t="str">
        <f>vlookup(U46, 'Week 3'!$A$2:$H$119, 8, False)</f>
        <v>#N/A</v>
      </c>
      <c r="AD49" s="148" t="str">
        <f t="shared" si="108"/>
        <v>#N/A</v>
      </c>
      <c r="AE49" s="145" t="s">
        <v>140</v>
      </c>
      <c r="AF49" s="4" t="str">
        <f t="shared" si="109"/>
        <v>Yes</v>
      </c>
      <c r="AG49" s="4" t="str">
        <f>if(AF49="Yes", vlookup(AE$1, 'Week 3'!$A$1:$H$119, 5, False), "")</f>
        <v>Loss</v>
      </c>
      <c r="AH49" s="146">
        <f>vlookup(AE46, 'Week 3'!$A$2:$H$119, 3, False)</f>
        <v>14</v>
      </c>
      <c r="AI49" s="146">
        <f>vlookup(AE46, 'Week 3'!$A$2:$H$119, 6, False)</f>
        <v>13</v>
      </c>
      <c r="AJ49" s="146">
        <f>vlookup(AE46, 'Week 3'!$A$2:$H$119, 7, False)</f>
        <v>0</v>
      </c>
      <c r="AK49" s="146">
        <f>vlookup(AE46, 'Week 3'!$A$2:$H$119, 4, False)</f>
        <v>1</v>
      </c>
      <c r="AL49" s="146">
        <f>vlookup(AE46, 'Week 3'!$A$2:$H$119, 5, False)</f>
        <v>0</v>
      </c>
      <c r="AM49" s="146">
        <f>vlookup(AE46, 'Week 3'!$A$2:$H$119, 8, False)</f>
        <v>27</v>
      </c>
      <c r="AN49" s="148">
        <f t="shared" si="110"/>
        <v>0.3414634146</v>
      </c>
      <c r="AO49" s="145" t="s">
        <v>140</v>
      </c>
      <c r="AP49" s="4" t="str">
        <f t="shared" si="111"/>
        <v>Yes</v>
      </c>
      <c r="AQ49" s="4" t="str">
        <f>if(AP49="Yes", vlookup(AO$1, 'Week 3'!$A$1:$H$119, 5, False), "")</f>
        <v>Loss</v>
      </c>
      <c r="AR49" s="146">
        <f>vlookup(AO46, 'Week 3'!$A$2:$H$119, 3, False)</f>
        <v>10</v>
      </c>
      <c r="AS49" s="146">
        <f>vlookup(AO46, 'Week 3'!$A$2:$H$119, 6, False)</f>
        <v>1</v>
      </c>
      <c r="AT49" s="146">
        <f>vlookup(AO46, 'Week 3'!$A$2:$H$119, 7, False)</f>
        <v>0</v>
      </c>
      <c r="AU49" s="146">
        <f>vlookup(AO46, 'Week 3'!$A$2:$H$119, 4, False)</f>
        <v>9</v>
      </c>
      <c r="AV49" s="146">
        <f>vlookup(AO46, 'Week 3'!$A$2:$H$119, 5, False)</f>
        <v>0</v>
      </c>
      <c r="AW49" s="146">
        <f>vlookup(AO46, 'Week 3'!$A$2:$H$119, 8, False)</f>
        <v>21</v>
      </c>
      <c r="AX49" s="148">
        <f t="shared" si="112"/>
        <v>0.3225806452</v>
      </c>
      <c r="AY49" s="145" t="s">
        <v>140</v>
      </c>
      <c r="AZ49" s="4" t="str">
        <f t="shared" si="113"/>
        <v>Yes</v>
      </c>
      <c r="BA49" s="4" t="str">
        <f>if(AZ49="Yes", vlookup(AY$1, 'Week 3'!$A$1:$H$119, 5, False), "")</f>
        <v>Win</v>
      </c>
      <c r="BB49" s="146">
        <f>vlookup(AY46, 'Week 3'!$A$2:$H$119, 3, False)</f>
        <v>11</v>
      </c>
      <c r="BC49" s="146">
        <f>vlookup(AY46, 'Week 3'!$A$2:$H$119, 6, False)</f>
        <v>4</v>
      </c>
      <c r="BD49" s="146">
        <f>vlookup(AY46, 'Week 3'!$A$2:$H$119, 7, False)</f>
        <v>2</v>
      </c>
      <c r="BE49" s="146">
        <f>vlookup(AY46, 'Week 3'!$A$2:$H$119, 4, False)</f>
        <v>4</v>
      </c>
      <c r="BF49" s="146">
        <f>vlookup(AY46, 'Week 3'!$A$2:$H$119, 5, False)</f>
        <v>1</v>
      </c>
      <c r="BG49" s="146">
        <f>vlookup(AY46, 'Week 3'!$A$2:$H$119, 8, False)</f>
        <v>26</v>
      </c>
      <c r="BH49" s="148">
        <f t="shared" si="114"/>
        <v>0.2972972973</v>
      </c>
      <c r="BI49" s="7"/>
      <c r="BJ49" s="7"/>
      <c r="BK49" s="7"/>
      <c r="BL49" s="7"/>
    </row>
    <row r="50">
      <c r="A50" s="145" t="s">
        <v>144</v>
      </c>
      <c r="B50" s="4" t="str">
        <f t="shared" si="103"/>
        <v>Yes</v>
      </c>
      <c r="C50" s="4" t="str">
        <f>if(B50="Yes", vlookup(A$1, 'Week 4'!$A$1:$H$119, 5, False), "")</f>
        <v>Win</v>
      </c>
      <c r="D50" s="146">
        <f>vlookup(A46, 'Week 4'!$A$2:$H$119, 3, False)</f>
        <v>9</v>
      </c>
      <c r="E50" s="146">
        <f>vlookup(A46, 'Week 4'!$A$2:$H$119, 6, False)</f>
        <v>4</v>
      </c>
      <c r="F50" s="146">
        <f>vlookup(A46, 'Week 4'!$A$2:$H$119, 7, False)</f>
        <v>1</v>
      </c>
      <c r="G50" s="146">
        <f>vlookup(A46, 'Week 4'!$A$2:$H$119, 4, False)</f>
        <v>4</v>
      </c>
      <c r="H50" s="146">
        <f>vlookup(A46, 'Week 4'!$A$2:$H$119, 5, False)</f>
        <v>0</v>
      </c>
      <c r="I50" s="146">
        <f>vlookup(A46, 'Week 4'!$A$2:$H$119, 8, False)</f>
        <v>29</v>
      </c>
      <c r="J50" s="148">
        <f t="shared" si="104"/>
        <v>0.2368421053</v>
      </c>
      <c r="K50" s="145" t="s">
        <v>144</v>
      </c>
      <c r="L50" s="4" t="str">
        <f t="shared" si="105"/>
        <v/>
      </c>
      <c r="M50" s="4" t="str">
        <f>if(L50="Yes", vlookup(K$1, 'Week 4'!$A$1:$H$119, 5, False), "")</f>
        <v/>
      </c>
      <c r="N50" s="146" t="str">
        <f>vlookup(K46, 'Week 4'!$A$2:$H$119, 3, False)</f>
        <v/>
      </c>
      <c r="O50" s="146" t="str">
        <f>vlookup(K46, 'Week 4'!$A$2:$H$119, 6, False)</f>
        <v/>
      </c>
      <c r="P50" s="146" t="str">
        <f>vlookup(K46, 'Week 4'!$A$2:$H$119, 7, False)</f>
        <v/>
      </c>
      <c r="Q50" s="146" t="str">
        <f>vlookup(K46, 'Week 4'!$A$2:$H$119, 4, False)</f>
        <v/>
      </c>
      <c r="R50" s="146" t="str">
        <f>vlookup(K46, 'Week 4'!$A$2:$H$119, 5, False)</f>
        <v/>
      </c>
      <c r="S50" s="146" t="str">
        <f>vlookup(K46, 'Week 4'!$A$2:$H$119, 8, False)</f>
        <v/>
      </c>
      <c r="T50" s="148" t="str">
        <f t="shared" si="106"/>
        <v>#DIV/0!</v>
      </c>
      <c r="U50" s="145" t="s">
        <v>144</v>
      </c>
      <c r="V50" s="4" t="str">
        <f t="shared" si="107"/>
        <v>#N/A</v>
      </c>
      <c r="W50" s="4" t="str">
        <f>if(V50="Yes", vlookup(U$1, 'Week 4'!$A$1:$H$119, 5, False), "")</f>
        <v>#N/A</v>
      </c>
      <c r="X50" s="146" t="str">
        <f>vlookup(U46, 'Week 4'!$A$2:$H$119, 3, False)</f>
        <v>#N/A</v>
      </c>
      <c r="Y50" s="146" t="str">
        <f>vlookup(U46, 'Week 4'!$A$2:$H$119, 6, False)</f>
        <v>#N/A</v>
      </c>
      <c r="Z50" s="146" t="str">
        <f>vlookup(U46, 'Week 4'!$A$2:$H$119, 7, False)</f>
        <v>#N/A</v>
      </c>
      <c r="AA50" s="146" t="str">
        <f>vlookup(U46, 'Week 4'!$A$2:$H$119, 4, False)</f>
        <v>#N/A</v>
      </c>
      <c r="AB50" s="146" t="str">
        <f>vlookup(U46, 'Week 4'!$A$2:$H$119, 5, False)</f>
        <v>#N/A</v>
      </c>
      <c r="AC50" s="146" t="str">
        <f>vlookup(U46, 'Week 4'!$A$2:$H$119, 8, False)</f>
        <v>#N/A</v>
      </c>
      <c r="AD50" s="148" t="str">
        <f t="shared" si="108"/>
        <v>#N/A</v>
      </c>
      <c r="AE50" s="145" t="s">
        <v>144</v>
      </c>
      <c r="AF50" s="4" t="str">
        <f t="shared" si="109"/>
        <v/>
      </c>
      <c r="AG50" s="4" t="str">
        <f>if(AF50="Yes", vlookup(AE$1, 'Week 4'!$A$1:$H$119, 5, False), "")</f>
        <v/>
      </c>
      <c r="AH50" s="146" t="str">
        <f>vlookup(AE46, 'Week 4'!$A$2:$H$119, 3, False)</f>
        <v/>
      </c>
      <c r="AI50" s="146" t="str">
        <f>vlookup(AE46, 'Week 4'!$A$2:$H$119, 6, False)</f>
        <v/>
      </c>
      <c r="AJ50" s="146" t="str">
        <f>vlookup(AE46, 'Week 4'!$A$2:$H$119, 7, False)</f>
        <v/>
      </c>
      <c r="AK50" s="146" t="str">
        <f>vlookup(AE46, 'Week 4'!$A$2:$H$119, 4, False)</f>
        <v/>
      </c>
      <c r="AL50" s="146" t="str">
        <f>vlookup(AE46, 'Week 4'!$A$2:$H$119, 5, False)</f>
        <v/>
      </c>
      <c r="AM50" s="146" t="str">
        <f>vlookup(AE46, 'Week 4'!$A$2:$H$119, 8, False)</f>
        <v/>
      </c>
      <c r="AN50" s="148" t="str">
        <f t="shared" si="110"/>
        <v>#DIV/0!</v>
      </c>
      <c r="AO50" s="145" t="s">
        <v>144</v>
      </c>
      <c r="AP50" s="4" t="str">
        <f t="shared" si="111"/>
        <v/>
      </c>
      <c r="AQ50" s="4" t="str">
        <f>if(AP50="Yes", vlookup(AO$1, 'Week 4'!$A$1:$H$119, 5, False), "")</f>
        <v/>
      </c>
      <c r="AR50" s="146" t="str">
        <f>vlookup(AO46, 'Week 4'!$A$2:$H$119, 3, False)</f>
        <v/>
      </c>
      <c r="AS50" s="146" t="str">
        <f>vlookup(AO46, 'Week 4'!$A$2:$H$119, 6, False)</f>
        <v/>
      </c>
      <c r="AT50" s="146" t="str">
        <f>vlookup(AO46, 'Week 4'!$A$2:$H$119, 7, False)</f>
        <v/>
      </c>
      <c r="AU50" s="146" t="str">
        <f>vlookup(AO46, 'Week 4'!$A$2:$H$119, 4, False)</f>
        <v/>
      </c>
      <c r="AV50" s="146" t="str">
        <f>vlookup(AO46, 'Week 4'!$A$2:$H$119, 5, False)</f>
        <v/>
      </c>
      <c r="AW50" s="146" t="str">
        <f>vlookup(AO46, 'Week 4'!$A$2:$H$119, 8, False)</f>
        <v/>
      </c>
      <c r="AX50" s="148" t="str">
        <f t="shared" si="112"/>
        <v>#DIV/0!</v>
      </c>
      <c r="AY50" s="145" t="s">
        <v>144</v>
      </c>
      <c r="AZ50" s="4" t="str">
        <f t="shared" si="113"/>
        <v>Yes</v>
      </c>
      <c r="BA50" s="4" t="str">
        <f>if(AZ50="Yes", vlookup(AY$1, 'Week 4'!$A$1:$H$119, 5, False), "")</f>
        <v>Loss</v>
      </c>
      <c r="BB50" s="146">
        <f>vlookup(AY46, 'Week 4'!$A$2:$H$119, 3, False)</f>
        <v>13</v>
      </c>
      <c r="BC50" s="146">
        <f>vlookup(AY46, 'Week 4'!$A$2:$H$119, 6, False)</f>
        <v>4</v>
      </c>
      <c r="BD50" s="146">
        <f>vlookup(AY46, 'Week 4'!$A$2:$H$119, 7, False)</f>
        <v>2</v>
      </c>
      <c r="BE50" s="146">
        <f>vlookup(AY46, 'Week 4'!$A$2:$H$119, 4, False)</f>
        <v>7</v>
      </c>
      <c r="BF50" s="146">
        <f>vlookup(AY46, 'Week 4'!$A$2:$H$119, 5, False)</f>
        <v>0</v>
      </c>
      <c r="BG50" s="146">
        <f>vlookup(AY46, 'Week 4'!$A$2:$H$119, 8, False)</f>
        <v>28</v>
      </c>
      <c r="BH50" s="148">
        <f t="shared" si="114"/>
        <v>0.3170731707</v>
      </c>
      <c r="BI50" s="7"/>
      <c r="BJ50" s="7"/>
      <c r="BK50" s="7"/>
      <c r="BL50" s="7"/>
    </row>
    <row r="51">
      <c r="A51" s="145" t="s">
        <v>146</v>
      </c>
      <c r="B51" s="4" t="str">
        <f t="shared" si="103"/>
        <v>Yes</v>
      </c>
      <c r="C51" s="4" t="str">
        <f>if(B51="Yes", vlookup(A$1, 'Week 5'!$A$1:$H$119, 5, False), "")</f>
        <v>Loss</v>
      </c>
      <c r="D51" s="146">
        <f>vlookup(A46, 'Week 5'!$A$2:$H$119, 3, False)</f>
        <v>10</v>
      </c>
      <c r="E51" s="146">
        <f>vlookup(A46, 'Week 5'!$A$2:$H$119, 6, False)</f>
        <v>4</v>
      </c>
      <c r="F51" s="146">
        <f>vlookup(A46, 'Week 5'!$A$2:$H$119, 7, False)</f>
        <v>0</v>
      </c>
      <c r="G51" s="146">
        <f>vlookup(A46, 'Week 5'!$A$2:$H$119, 4, False)</f>
        <v>6</v>
      </c>
      <c r="H51" s="146">
        <f>vlookup(A46, 'Week 5'!$A$2:$H$119, 5, False)</f>
        <v>0</v>
      </c>
      <c r="I51" s="146">
        <f>vlookup(A46, 'Week 5'!$A$2:$H$119, 8, False)</f>
        <v>28</v>
      </c>
      <c r="J51" s="148">
        <f t="shared" si="104"/>
        <v>0.2631578947</v>
      </c>
      <c r="K51" s="145" t="s">
        <v>146</v>
      </c>
      <c r="L51" s="4" t="str">
        <f t="shared" si="105"/>
        <v>Yes</v>
      </c>
      <c r="M51" s="4" t="str">
        <f>if(L51="Yes", vlookup(K$1, 'Week 5'!$A$1:$H$119, 5, False), "")</f>
        <v>Win</v>
      </c>
      <c r="N51" s="146">
        <f>vlookup(K46, 'Week 5'!$A$2:$H$119, 3, False)</f>
        <v>20</v>
      </c>
      <c r="O51" s="146">
        <f>vlookup(K46, 'Week 5'!$A$2:$H$119, 6, False)</f>
        <v>11</v>
      </c>
      <c r="P51" s="146">
        <f>vlookup(K46, 'Week 5'!$A$2:$H$119, 7, False)</f>
        <v>1</v>
      </c>
      <c r="Q51" s="146">
        <f>vlookup(K46, 'Week 5'!$A$2:$H$119, 4, False)</f>
        <v>7</v>
      </c>
      <c r="R51" s="146">
        <f>vlookup(K46, 'Week 5'!$A$2:$H$119, 5, False)</f>
        <v>1</v>
      </c>
      <c r="S51" s="146">
        <f>vlookup(K46, 'Week 5'!$A$2:$H$119, 8, False)</f>
        <v>21</v>
      </c>
      <c r="T51" s="148">
        <f t="shared" si="106"/>
        <v>0.487804878</v>
      </c>
      <c r="U51" s="145" t="s">
        <v>146</v>
      </c>
      <c r="V51" s="4" t="str">
        <f t="shared" si="107"/>
        <v>#N/A</v>
      </c>
      <c r="W51" s="4" t="str">
        <f>if(V51="Yes", vlookup(U$1, 'Week 5'!$A$1:$H$119, 5, False), "")</f>
        <v>#N/A</v>
      </c>
      <c r="X51" s="146" t="str">
        <f>vlookup(U46, 'Week 5'!$A$2:$H$119, 3, False)</f>
        <v>#N/A</v>
      </c>
      <c r="Y51" s="146" t="str">
        <f>vlookup(U46, 'Week 5'!$A$2:$H$119, 6, False)</f>
        <v>#N/A</v>
      </c>
      <c r="Z51" s="146" t="str">
        <f>vlookup(U46, 'Week 5'!$A$2:$H$119, 7, False)</f>
        <v>#N/A</v>
      </c>
      <c r="AA51" s="146" t="str">
        <f>vlookup(U46, 'Week 5'!$A$2:$H$119, 4, False)</f>
        <v>#N/A</v>
      </c>
      <c r="AB51" s="146" t="str">
        <f>vlookup(U46, 'Week 5'!$A$2:$H$119, 5, False)</f>
        <v>#N/A</v>
      </c>
      <c r="AC51" s="146" t="str">
        <f>vlookup(U46, 'Week 5'!$A$2:$H$119, 8, False)</f>
        <v>#N/A</v>
      </c>
      <c r="AD51" s="148" t="str">
        <f t="shared" si="108"/>
        <v>#N/A</v>
      </c>
      <c r="AE51" s="145" t="s">
        <v>146</v>
      </c>
      <c r="AF51" s="4" t="str">
        <f t="shared" si="109"/>
        <v/>
      </c>
      <c r="AG51" s="4" t="str">
        <f>if(AF51="Yes", vlookup(AE$1, 'Week 5'!$A$1:$H$119, 5, False), "")</f>
        <v/>
      </c>
      <c r="AH51" s="146" t="str">
        <f>vlookup(AE46, 'Week 5'!$A$2:$H$119, 3, False)</f>
        <v/>
      </c>
      <c r="AI51" s="146" t="str">
        <f>vlookup(AE46, 'Week 5'!$A$2:$H$119, 6, False)</f>
        <v/>
      </c>
      <c r="AJ51" s="146" t="str">
        <f>vlookup(AE46, 'Week 5'!$A$2:$H$119, 7, False)</f>
        <v/>
      </c>
      <c r="AK51" s="146" t="str">
        <f>vlookup(AE46, 'Week 5'!$A$2:$H$119, 4, False)</f>
        <v/>
      </c>
      <c r="AL51" s="146" t="str">
        <f>vlookup(AE46, 'Week 5'!$A$2:$H$119, 5, False)</f>
        <v/>
      </c>
      <c r="AM51" s="146" t="str">
        <f>vlookup(AE46, 'Week 5'!$A$2:$H$119, 8, False)</f>
        <v/>
      </c>
      <c r="AN51" s="148" t="str">
        <f t="shared" si="110"/>
        <v>#DIV/0!</v>
      </c>
      <c r="AO51" s="145" t="s">
        <v>146</v>
      </c>
      <c r="AP51" s="4" t="str">
        <f t="shared" si="111"/>
        <v/>
      </c>
      <c r="AQ51" s="4" t="str">
        <f>if(AP51="Yes", vlookup(AO$1, 'Week 5'!$A$1:$H$119, 5, False), "")</f>
        <v/>
      </c>
      <c r="AR51" s="146" t="str">
        <f>vlookup(AO46, 'Week 5'!$A$2:$H$119, 3, False)</f>
        <v/>
      </c>
      <c r="AS51" s="146" t="str">
        <f>vlookup(AO46, 'Week 5'!$A$2:$H$119, 6, False)</f>
        <v/>
      </c>
      <c r="AT51" s="146" t="str">
        <f>vlookup(AO46, 'Week 5'!$A$2:$H$119, 7, False)</f>
        <v/>
      </c>
      <c r="AU51" s="146" t="str">
        <f>vlookup(AO46, 'Week 5'!$A$2:$H$119, 4, False)</f>
        <v/>
      </c>
      <c r="AV51" s="146" t="str">
        <f>vlookup(AO46, 'Week 5'!$A$2:$H$119, 5, False)</f>
        <v/>
      </c>
      <c r="AW51" s="146" t="str">
        <f>vlookup(AO46, 'Week 5'!$A$2:$H$119, 8, False)</f>
        <v/>
      </c>
      <c r="AX51" s="148" t="str">
        <f t="shared" si="112"/>
        <v>#DIV/0!</v>
      </c>
      <c r="AY51" s="145" t="s">
        <v>146</v>
      </c>
      <c r="AZ51" s="4" t="str">
        <f t="shared" si="113"/>
        <v>Yes</v>
      </c>
      <c r="BA51" s="4" t="str">
        <f>if(AZ51="Yes", vlookup(AY$1, 'Week 5'!$A$1:$H$119, 5, False), "")</f>
        <v>Loss</v>
      </c>
      <c r="BB51" s="146">
        <f>vlookup(AY46, 'Week 5'!$A$2:$H$119, 3, False)</f>
        <v>14</v>
      </c>
      <c r="BC51" s="146">
        <f>vlookup(AY46, 'Week 5'!$A$2:$H$119, 6, False)</f>
        <v>5</v>
      </c>
      <c r="BD51" s="146">
        <f>vlookup(AY46, 'Week 5'!$A$2:$H$119, 7, False)</f>
        <v>1</v>
      </c>
      <c r="BE51" s="146">
        <f>vlookup(AY46, 'Week 5'!$A$2:$H$119, 4, False)</f>
        <v>5</v>
      </c>
      <c r="BF51" s="146">
        <f>vlookup(AY46, 'Week 5'!$A$2:$H$119, 5, False)</f>
        <v>3</v>
      </c>
      <c r="BG51" s="146">
        <f>vlookup(AY46, 'Week 5'!$A$2:$H$119, 8, False)</f>
        <v>33</v>
      </c>
      <c r="BH51" s="148">
        <f t="shared" si="114"/>
        <v>0.2978723404</v>
      </c>
      <c r="BI51" s="7"/>
      <c r="BJ51" s="7"/>
      <c r="BK51" s="7"/>
      <c r="BL51" s="7"/>
    </row>
    <row r="52">
      <c r="A52" s="145" t="s">
        <v>148</v>
      </c>
      <c r="B52" s="4" t="str">
        <f t="shared" si="103"/>
        <v>Yes</v>
      </c>
      <c r="C52" s="4" t="str">
        <f>if(B52="Yes", vlookup(A$1, 'Week 6'!$A$1:$H$119, 5, False), "")</f>
        <v>Loss</v>
      </c>
      <c r="D52" s="146">
        <f>vlookup(A46, 'Week 6'!$A$2:$H$119, 3, False)</f>
        <v>14</v>
      </c>
      <c r="E52" s="146">
        <f>vlookup(A46, 'Week 6'!$A$2:$H$119, 6, False)</f>
        <v>4</v>
      </c>
      <c r="F52" s="146">
        <f>vlookup(A46, 'Week 6'!$A$2:$H$119, 7, False)</f>
        <v>0</v>
      </c>
      <c r="G52" s="146">
        <f>vlookup(A46, 'Week 6'!$A$2:$H$119, 4, False)</f>
        <v>10</v>
      </c>
      <c r="H52" s="146">
        <f>vlookup(A46, 'Week 6'!$A$2:$H$119, 5, False)</f>
        <v>0</v>
      </c>
      <c r="I52" s="146">
        <f>vlookup(A46, 'Week 6'!$A$2:$H$119, 8, False)</f>
        <v>25</v>
      </c>
      <c r="J52" s="148">
        <f t="shared" si="104"/>
        <v>0.358974359</v>
      </c>
      <c r="K52" s="145" t="s">
        <v>148</v>
      </c>
      <c r="L52" s="4" t="str">
        <f t="shared" si="105"/>
        <v/>
      </c>
      <c r="M52" s="4" t="str">
        <f>if(L52="Yes", vlookup(K$1, 'Week 6'!$A$1:$H$119, 5, False), "")</f>
        <v/>
      </c>
      <c r="N52" s="146" t="str">
        <f>vlookup(K46, 'Week 6'!$A$2:$H$119, 3, False)</f>
        <v/>
      </c>
      <c r="O52" s="146" t="str">
        <f>vlookup(K46, 'Week 6'!$A$2:$H$119, 6, False)</f>
        <v/>
      </c>
      <c r="P52" s="146" t="str">
        <f>vlookup(K46, 'Week 6'!$A$2:$H$119, 7, False)</f>
        <v/>
      </c>
      <c r="Q52" s="146" t="str">
        <f>vlookup(K46, 'Week 6'!$A$2:$H$119, 4, False)</f>
        <v/>
      </c>
      <c r="R52" s="146" t="str">
        <f>vlookup(K46, 'Week 6'!$A$2:$H$119, 5, False)</f>
        <v/>
      </c>
      <c r="S52" s="146" t="str">
        <f>vlookup(K46, 'Week 6'!$A$2:$H$119, 8, False)</f>
        <v/>
      </c>
      <c r="T52" s="148" t="str">
        <f t="shared" si="106"/>
        <v>#DIV/0!</v>
      </c>
      <c r="U52" s="145" t="s">
        <v>148</v>
      </c>
      <c r="V52" s="4" t="str">
        <f t="shared" si="107"/>
        <v>#N/A</v>
      </c>
      <c r="W52" s="4" t="str">
        <f>if(V52="Yes", vlookup(U$1, 'Week 6'!$A$1:$H$119, 5, False), "")</f>
        <v>#N/A</v>
      </c>
      <c r="X52" s="146" t="str">
        <f>vlookup(U46, 'Week 6'!$A$2:$H$119, 3, False)</f>
        <v>#N/A</v>
      </c>
      <c r="Y52" s="146" t="str">
        <f>vlookup(U46, 'Week 6'!$A$2:$H$119, 6, False)</f>
        <v>#N/A</v>
      </c>
      <c r="Z52" s="146" t="str">
        <f>vlookup(U46, 'Week 6'!$A$2:$H$119, 7, False)</f>
        <v>#N/A</v>
      </c>
      <c r="AA52" s="146" t="str">
        <f>vlookup(U46, 'Week 6'!$A$2:$H$119, 4, False)</f>
        <v>#N/A</v>
      </c>
      <c r="AB52" s="146" t="str">
        <f>vlookup(U46, 'Week 6'!$A$2:$H$119, 5, False)</f>
        <v>#N/A</v>
      </c>
      <c r="AC52" s="146" t="str">
        <f>vlookup(U46, 'Week 6'!$A$2:$H$119, 8, False)</f>
        <v>#N/A</v>
      </c>
      <c r="AD52" s="148" t="str">
        <f t="shared" si="108"/>
        <v>#N/A</v>
      </c>
      <c r="AE52" s="145" t="s">
        <v>148</v>
      </c>
      <c r="AF52" s="4" t="str">
        <f t="shared" si="109"/>
        <v/>
      </c>
      <c r="AG52" s="4" t="str">
        <f>if(AF52="Yes", vlookup(AE$1, 'Week 6'!$A$1:$H$119, 5, False), "")</f>
        <v/>
      </c>
      <c r="AH52" s="4" t="str">
        <f>vlookup(AE46, 'Week 6'!$A$2:$H$119, 3, False)</f>
        <v/>
      </c>
      <c r="AI52" s="4" t="str">
        <f>vlookup(AE46, 'Week 6'!$A$2:$H$119, 6, False)</f>
        <v/>
      </c>
      <c r="AJ52" s="4" t="str">
        <f>vlookup(AE46, 'Week 6'!$A$2:$H$119, 7, False)</f>
        <v/>
      </c>
      <c r="AK52" s="4" t="str">
        <f>vlookup(AE46, 'Week 6'!$A$2:$H$119, 4, False)</f>
        <v/>
      </c>
      <c r="AL52" s="4" t="str">
        <f>vlookup(AE46, 'Week 6'!$A$2:$H$119, 5, False)</f>
        <v/>
      </c>
      <c r="AM52" s="4" t="str">
        <f>vlookup(AE46, 'Week 6'!$A$2:$H$119, 8, False)</f>
        <v/>
      </c>
      <c r="AN52" s="148" t="str">
        <f t="shared" si="110"/>
        <v>#DIV/0!</v>
      </c>
      <c r="AO52" s="145" t="s">
        <v>148</v>
      </c>
      <c r="AP52" s="4" t="str">
        <f t="shared" si="111"/>
        <v>Yes</v>
      </c>
      <c r="AQ52" s="4" t="str">
        <f>if(AP52="Yes", vlookup(AO$1, 'Week 6'!$A$1:$H$119, 5, False), "")</f>
        <v>Loss</v>
      </c>
      <c r="AR52" s="146">
        <f>vlookup(AO46, 'Week 6'!$A$2:$H$119, 3, False)</f>
        <v>20</v>
      </c>
      <c r="AS52" s="146">
        <f>vlookup(AO46, 'Week 6'!$A$2:$H$119, 6, False)</f>
        <v>11</v>
      </c>
      <c r="AT52" s="146">
        <f>vlookup(AO46, 'Week 6'!$A$2:$H$119, 7, False)</f>
        <v>0</v>
      </c>
      <c r="AU52" s="146">
        <f>vlookup(AO46, 'Week 6'!$A$2:$H$119, 4, False)</f>
        <v>8</v>
      </c>
      <c r="AV52" s="146">
        <f>vlookup(AO46, 'Week 6'!$A$2:$H$119, 5, False)</f>
        <v>1</v>
      </c>
      <c r="AW52" s="146">
        <f>vlookup(AO46, 'Week 6'!$A$2:$H$119, 8, False)</f>
        <v>31</v>
      </c>
      <c r="AX52" s="148">
        <f t="shared" si="112"/>
        <v>0.3921568627</v>
      </c>
      <c r="AY52" s="145" t="s">
        <v>148</v>
      </c>
      <c r="AZ52" s="4" t="str">
        <f t="shared" si="113"/>
        <v>Yes</v>
      </c>
      <c r="BA52" s="4" t="str">
        <f>if(AZ52="Yes", vlookup(AY$1, 'Week 6'!$A$1:$H$119, 5, False), "")</f>
        <v>Win</v>
      </c>
      <c r="BB52" s="146">
        <f>vlookup(AY46, 'Week 6'!$A$2:$H$119, 3, False)</f>
        <v>13</v>
      </c>
      <c r="BC52" s="146">
        <f>vlookup(AY46, 'Week 6'!$A$2:$H$119, 6, False)</f>
        <v>5</v>
      </c>
      <c r="BD52" s="146">
        <f>vlookup(AY46, 'Week 6'!$A$2:$H$119, 7, False)</f>
        <v>0</v>
      </c>
      <c r="BE52" s="146">
        <f>vlookup(AY46, 'Week 6'!$A$2:$H$119, 4, False)</f>
        <v>7</v>
      </c>
      <c r="BF52" s="146">
        <f>vlookup(AY46, 'Week 6'!$A$2:$H$119, 5, False)</f>
        <v>1</v>
      </c>
      <c r="BG52" s="146">
        <f>vlookup(AY46, 'Week 6'!$A$2:$H$119, 8, False)</f>
        <v>26</v>
      </c>
      <c r="BH52" s="148">
        <f t="shared" si="114"/>
        <v>0.3333333333</v>
      </c>
      <c r="BI52" s="7"/>
      <c r="BJ52" s="7"/>
      <c r="BK52" s="7"/>
      <c r="BL52" s="7"/>
    </row>
    <row r="53">
      <c r="A53" s="145" t="s">
        <v>154</v>
      </c>
      <c r="B53" s="4" t="str">
        <f t="shared" si="103"/>
        <v>Yes</v>
      </c>
      <c r="C53" s="4" t="str">
        <f>if(B53="Yes", vlookup(A$1, 'Week 7'!$A$1:$H$119, 5, False), "")</f>
        <v>Win</v>
      </c>
      <c r="D53" s="146">
        <f>vlookup(A46, 'Week 7'!$A$2:$H$119, 3, False)</f>
        <v>16</v>
      </c>
      <c r="E53" s="146">
        <f>vlookup(A46, 'Week 7'!$A$2:$H$119, 6, False)</f>
        <v>8</v>
      </c>
      <c r="F53" s="146">
        <f>vlookup(A46, 'Week 7'!$A$2:$H$119, 7, False)</f>
        <v>0</v>
      </c>
      <c r="G53" s="146">
        <f>vlookup(A46, 'Week 7'!$A$2:$H$119, 4, False)</f>
        <v>8</v>
      </c>
      <c r="H53" s="146">
        <f>vlookup(A46, 'Week 7'!$A$2:$H$119, 5, False)</f>
        <v>0</v>
      </c>
      <c r="I53" s="146">
        <f>vlookup(A46, 'Week 7'!$A$2:$H$119, 8, False)</f>
        <v>24</v>
      </c>
      <c r="J53" s="148">
        <f t="shared" si="104"/>
        <v>0.4</v>
      </c>
      <c r="K53" s="145" t="s">
        <v>154</v>
      </c>
      <c r="L53" s="4" t="str">
        <f t="shared" si="105"/>
        <v>Yes</v>
      </c>
      <c r="M53" s="4" t="str">
        <f>if(L53="Yes", vlookup(K$1, 'Week 7'!$A$1:$H$119, 5, False), "")</f>
        <v>Loss</v>
      </c>
      <c r="N53" s="146">
        <f>vlookup(K46, 'Week 7'!$A$2:$H$119, 3, False)</f>
        <v>24</v>
      </c>
      <c r="O53" s="146">
        <f>vlookup(K46, 'Week 7'!$A$2:$H$119, 6, False)</f>
        <v>13</v>
      </c>
      <c r="P53" s="146">
        <f>vlookup(K46, 'Week 7'!$A$2:$H$119, 7, False)</f>
        <v>2</v>
      </c>
      <c r="Q53" s="146">
        <f>vlookup(K46, 'Week 7'!$A$2:$H$119, 4, False)</f>
        <v>7</v>
      </c>
      <c r="R53" s="146">
        <f>vlookup(K46, 'Week 7'!$A$2:$H$119, 5, False)</f>
        <v>2</v>
      </c>
      <c r="S53" s="146">
        <f>vlookup(K46, 'Week 7'!$A$2:$H$119, 8, False)</f>
        <v>24</v>
      </c>
      <c r="T53" s="148">
        <f t="shared" si="106"/>
        <v>0.5</v>
      </c>
      <c r="U53" s="145" t="s">
        <v>154</v>
      </c>
      <c r="V53" s="4" t="str">
        <f t="shared" si="107"/>
        <v>#N/A</v>
      </c>
      <c r="W53" s="4" t="str">
        <f>if(V53="Yes", vlookup(U$1, 'Week 7'!$A$1:$H$119, 5, False), "")</f>
        <v>#N/A</v>
      </c>
      <c r="X53" s="146" t="str">
        <f>vlookup(U46, 'Week 7'!$A$2:$H$119, 3, False)</f>
        <v>#N/A</v>
      </c>
      <c r="Y53" s="146" t="str">
        <f>vlookup(U46, 'Week 7'!$A$2:$H$119, 6, False)</f>
        <v>#N/A</v>
      </c>
      <c r="Z53" s="146" t="str">
        <f>vlookup(U46, 'Week 7'!$A$2:$H$119, 7, False)</f>
        <v>#N/A</v>
      </c>
      <c r="AA53" s="146" t="str">
        <f>vlookup(U46, 'Week 7'!$A$2:$H$119, 4, False)</f>
        <v>#N/A</v>
      </c>
      <c r="AB53" s="146" t="str">
        <f>vlookup(U46, 'Week 7'!$A$2:$H$119, 5, False)</f>
        <v>#N/A</v>
      </c>
      <c r="AC53" s="146" t="str">
        <f>vlookup(U46, 'Week 7'!$A$2:$H$119, 8, False)</f>
        <v>#N/A</v>
      </c>
      <c r="AD53" s="148" t="str">
        <f t="shared" si="108"/>
        <v>#N/A</v>
      </c>
      <c r="AE53" s="145" t="s">
        <v>154</v>
      </c>
      <c r="AF53" s="4" t="str">
        <f t="shared" si="109"/>
        <v>Yes</v>
      </c>
      <c r="AG53" s="4" t="str">
        <f>if(AF53="Yes", vlookup(AE$1, 'Week 7'!$A$1:$H$119, 5, False), "")</f>
        <v>Loss</v>
      </c>
      <c r="AH53" s="146">
        <f>vlookup(AE46, 'Week 7'!$A$2:$H$119, 3, False)</f>
        <v>15</v>
      </c>
      <c r="AI53" s="146">
        <f>vlookup(AE46, 'Week 7'!$A$2:$H$119, 6, False)</f>
        <v>15</v>
      </c>
      <c r="AJ53" s="146">
        <f>vlookup(AE46, 'Week 7'!$A$2:$H$119, 7, False)</f>
        <v>0</v>
      </c>
      <c r="AK53" s="146">
        <f>vlookup(AE46, 'Week 7'!$A$2:$H$119, 4, False)</f>
        <v>0</v>
      </c>
      <c r="AL53" s="146">
        <f>vlookup(AE46, 'Week 7'!$A$2:$H$119, 5, False)</f>
        <v>0</v>
      </c>
      <c r="AM53" s="146">
        <f>vlookup(AE46, 'Week 7'!$A$2:$H$119, 8, False)</f>
        <v>32</v>
      </c>
      <c r="AN53" s="148">
        <f t="shared" si="110"/>
        <v>0.3191489362</v>
      </c>
      <c r="AO53" s="145" t="s">
        <v>154</v>
      </c>
      <c r="AP53" s="4" t="str">
        <f t="shared" si="111"/>
        <v/>
      </c>
      <c r="AQ53" s="4" t="str">
        <f>if(AP53="Yes", vlookup(AO$1, 'Week 7'!$A$1:$H$119, 5, False), "")</f>
        <v/>
      </c>
      <c r="AR53" s="146" t="str">
        <f>vlookup(AO46, 'Week 7'!$A$2:$H$119, 3, False)</f>
        <v/>
      </c>
      <c r="AS53" s="146" t="str">
        <f>vlookup(AO46, 'Week 7'!$A$2:$H$119, 6, False)</f>
        <v/>
      </c>
      <c r="AT53" s="146" t="str">
        <f>vlookup(AO46, 'Week 7'!$A$2:$H$119, 7, False)</f>
        <v/>
      </c>
      <c r="AU53" s="146" t="str">
        <f>vlookup(AO46, 'Week 7'!$A$2:$H$119, 4, False)</f>
        <v/>
      </c>
      <c r="AV53" s="146" t="str">
        <f>vlookup(AO46, 'Week 7'!$A$2:$H$119, 5, False)</f>
        <v/>
      </c>
      <c r="AW53" s="146" t="str">
        <f>vlookup(AO46, 'Week 7'!$A$2:$H$119, 8, False)</f>
        <v/>
      </c>
      <c r="AX53" s="148" t="str">
        <f t="shared" si="112"/>
        <v>#DIV/0!</v>
      </c>
      <c r="AY53" s="145" t="s">
        <v>154</v>
      </c>
      <c r="AZ53" s="4" t="str">
        <f t="shared" si="113"/>
        <v>Yes</v>
      </c>
      <c r="BA53" s="4" t="str">
        <f>if(AZ53="Yes", vlookup(AY$1, 'Week 7'!$A$1:$H$119, 5, False), "")</f>
        <v>Win</v>
      </c>
      <c r="BB53" s="146">
        <f>vlookup(AY46, 'Week 7'!$A$2:$H$119, 3, False)</f>
        <v>14</v>
      </c>
      <c r="BC53" s="146">
        <f>vlookup(AY46, 'Week 7'!$A$2:$H$119, 6, False)</f>
        <v>5</v>
      </c>
      <c r="BD53" s="146">
        <f>vlookup(AY46, 'Week 7'!$A$2:$H$119, 7, False)</f>
        <v>2</v>
      </c>
      <c r="BE53" s="146">
        <f>vlookup(AY46, 'Week 7'!$A$2:$H$119, 4, False)</f>
        <v>5</v>
      </c>
      <c r="BF53" s="146">
        <f>vlookup(AY46, 'Week 7'!$A$2:$H$119, 5, False)</f>
        <v>2</v>
      </c>
      <c r="BG53" s="146">
        <f>vlookup(AY46, 'Week 7'!$A$2:$H$119, 8, False)</f>
        <v>26</v>
      </c>
      <c r="BH53" s="148">
        <f t="shared" si="114"/>
        <v>0.35</v>
      </c>
      <c r="BI53" s="7"/>
      <c r="BJ53" s="7"/>
      <c r="BK53" s="7"/>
      <c r="BL53" s="7"/>
    </row>
    <row r="54">
      <c r="A54" s="145" t="s">
        <v>211</v>
      </c>
      <c r="B54" s="4" t="str">
        <f t="shared" si="103"/>
        <v/>
      </c>
      <c r="C54" s="4" t="str">
        <f>if(B54="Yes", vlookup(A$1, 'Week 1'!$A$1:$H$119, 5, False), "")</f>
        <v/>
      </c>
      <c r="D54" s="4"/>
      <c r="E54" s="4"/>
      <c r="F54" s="4"/>
      <c r="G54" s="4"/>
      <c r="H54" s="4"/>
      <c r="I54" s="4"/>
      <c r="J54" s="123"/>
      <c r="K54" s="145" t="s">
        <v>211</v>
      </c>
      <c r="L54" s="4" t="str">
        <f t="shared" si="105"/>
        <v/>
      </c>
      <c r="M54" s="4" t="str">
        <f>if(L54="Yes", vlookup(K$1, 'Week 1'!$A$1:$H$119, 5, False), "")</f>
        <v/>
      </c>
      <c r="N54" s="4"/>
      <c r="O54" s="4"/>
      <c r="P54" s="4"/>
      <c r="Q54" s="4"/>
      <c r="R54" s="4"/>
      <c r="S54" s="4"/>
      <c r="T54" s="123"/>
      <c r="U54" s="145" t="s">
        <v>211</v>
      </c>
      <c r="V54" s="4" t="str">
        <f t="shared" si="107"/>
        <v/>
      </c>
      <c r="W54" s="4" t="str">
        <f>if(V54="Yes", vlookup(U$1, 'Week 1'!$A$1:$H$119, 5, False), "")</f>
        <v/>
      </c>
      <c r="X54" s="4"/>
      <c r="Y54" s="4"/>
      <c r="Z54" s="4"/>
      <c r="AA54" s="4"/>
      <c r="AB54" s="4"/>
      <c r="AC54" s="4"/>
      <c r="AD54" s="123"/>
      <c r="AE54" s="145" t="s">
        <v>211</v>
      </c>
      <c r="AF54" s="4" t="str">
        <f t="shared" si="109"/>
        <v/>
      </c>
      <c r="AG54" s="4" t="str">
        <f>if(AF54="Yes", vlookup(AE$1, 'Week 1'!$A$1:$H$119, 5, False), "")</f>
        <v/>
      </c>
      <c r="AH54" s="4"/>
      <c r="AI54" s="4"/>
      <c r="AJ54" s="4"/>
      <c r="AK54" s="4"/>
      <c r="AL54" s="4"/>
      <c r="AM54" s="4"/>
      <c r="AN54" s="123"/>
      <c r="AO54" s="145" t="s">
        <v>211</v>
      </c>
      <c r="AP54" s="4" t="str">
        <f t="shared" si="111"/>
        <v/>
      </c>
      <c r="AQ54" s="4" t="str">
        <f>if(AP54="Yes", vlookup(AO$1, 'Week 1'!$A$1:$H$119, 5, False), "")</f>
        <v/>
      </c>
      <c r="AR54" s="4"/>
      <c r="AS54" s="4"/>
      <c r="AT54" s="4"/>
      <c r="AU54" s="4"/>
      <c r="AV54" s="4"/>
      <c r="AW54" s="4"/>
      <c r="AX54" s="123"/>
      <c r="AY54" s="145" t="s">
        <v>211</v>
      </c>
      <c r="AZ54" s="4" t="str">
        <f t="shared" si="113"/>
        <v/>
      </c>
      <c r="BA54" s="4" t="str">
        <f>if(AZ54="Yes", vlookup(AY$1, 'Week 1'!$A$1:$H$119, 5, False), "")</f>
        <v/>
      </c>
      <c r="BB54" s="4"/>
      <c r="BC54" s="4"/>
      <c r="BD54" s="4"/>
      <c r="BE54" s="4"/>
      <c r="BF54" s="4"/>
      <c r="BG54" s="4"/>
      <c r="BH54" s="123"/>
      <c r="BI54" s="7"/>
      <c r="BJ54" s="7"/>
      <c r="BK54" s="7"/>
      <c r="BL54" s="7"/>
    </row>
    <row r="55">
      <c r="A55" s="145" t="s">
        <v>212</v>
      </c>
      <c r="B55" s="4" t="str">
        <f t="shared" si="103"/>
        <v/>
      </c>
      <c r="C55" s="4" t="str">
        <f>if(B55="Yes", vlookup(A$1, 'Week 1'!$A$1:$H$119, 5, False), "")</f>
        <v/>
      </c>
      <c r="D55" s="4"/>
      <c r="E55" s="4"/>
      <c r="F55" s="4"/>
      <c r="G55" s="4"/>
      <c r="H55" s="4"/>
      <c r="I55" s="4"/>
      <c r="J55" s="123"/>
      <c r="K55" s="145" t="s">
        <v>212</v>
      </c>
      <c r="L55" s="4" t="str">
        <f t="shared" si="105"/>
        <v/>
      </c>
      <c r="M55" s="4" t="str">
        <f>if(L55="Yes", vlookup(K$1, 'Week 1'!$A$1:$H$119, 5, False), "")</f>
        <v/>
      </c>
      <c r="N55" s="4"/>
      <c r="O55" s="4"/>
      <c r="P55" s="4"/>
      <c r="Q55" s="4"/>
      <c r="R55" s="4"/>
      <c r="S55" s="4"/>
      <c r="T55" s="123"/>
      <c r="U55" s="145" t="s">
        <v>212</v>
      </c>
      <c r="V55" s="4" t="str">
        <f t="shared" si="107"/>
        <v/>
      </c>
      <c r="W55" s="4" t="str">
        <f>if(V55="Yes", vlookup(U$1, 'Week 1'!$A$1:$H$119, 5, False), "")</f>
        <v/>
      </c>
      <c r="X55" s="4"/>
      <c r="Y55" s="4"/>
      <c r="Z55" s="4"/>
      <c r="AA55" s="4"/>
      <c r="AB55" s="4"/>
      <c r="AC55" s="4"/>
      <c r="AD55" s="123"/>
      <c r="AE55" s="145" t="s">
        <v>212</v>
      </c>
      <c r="AF55" s="4" t="str">
        <f t="shared" si="109"/>
        <v/>
      </c>
      <c r="AG55" s="4" t="str">
        <f>if(AF55="Yes", vlookup(AE$1, 'Week 1'!$A$1:$H$119, 5, False), "")</f>
        <v/>
      </c>
      <c r="AH55" s="4"/>
      <c r="AI55" s="4"/>
      <c r="AJ55" s="4"/>
      <c r="AK55" s="4"/>
      <c r="AL55" s="4"/>
      <c r="AM55" s="4"/>
      <c r="AN55" s="123"/>
      <c r="AO55" s="145" t="s">
        <v>212</v>
      </c>
      <c r="AP55" s="4" t="str">
        <f t="shared" si="111"/>
        <v/>
      </c>
      <c r="AQ55" s="4" t="str">
        <f>if(AP55="Yes", vlookup(AO$1, 'Week 1'!$A$1:$H$119, 5, False), "")</f>
        <v/>
      </c>
      <c r="AR55" s="4"/>
      <c r="AS55" s="4"/>
      <c r="AT55" s="4"/>
      <c r="AU55" s="4"/>
      <c r="AV55" s="4"/>
      <c r="AW55" s="4"/>
      <c r="AX55" s="123"/>
      <c r="AY55" s="145" t="s">
        <v>212</v>
      </c>
      <c r="AZ55" s="4" t="str">
        <f t="shared" si="113"/>
        <v/>
      </c>
      <c r="BA55" s="4" t="str">
        <f>if(AZ55="Yes", vlookup(AY$1, 'Week 1'!$A$1:$H$119, 5, False), "")</f>
        <v/>
      </c>
      <c r="BB55" s="4"/>
      <c r="BC55" s="4"/>
      <c r="BD55" s="4"/>
      <c r="BE55" s="4"/>
      <c r="BF55" s="4"/>
      <c r="BG55" s="4"/>
      <c r="BH55" s="123"/>
      <c r="BI55" s="7"/>
      <c r="BJ55" s="7"/>
      <c r="BK55" s="7"/>
      <c r="BL55" s="7"/>
    </row>
    <row r="56">
      <c r="A56" s="2" t="s">
        <v>213</v>
      </c>
      <c r="B56" s="149">
        <f>countif(B47:B55, "Yes")</f>
        <v>7</v>
      </c>
      <c r="C56" s="150">
        <f>countif(C47:C55, "Win")/(countif(C47:C55, "Win")+countif(C47:C55, "Loss"))</f>
        <v>0.4285714286</v>
      </c>
      <c r="D56" s="151">
        <f t="shared" ref="D56:I56" si="115">average(D47:D55)</f>
        <v>12.57142857</v>
      </c>
      <c r="E56" s="151">
        <f t="shared" si="115"/>
        <v>4.428571429</v>
      </c>
      <c r="F56" s="151">
        <f t="shared" si="115"/>
        <v>0.4285714286</v>
      </c>
      <c r="G56" s="151">
        <f t="shared" si="115"/>
        <v>7.571428571</v>
      </c>
      <c r="H56" s="151">
        <f t="shared" si="115"/>
        <v>0.1428571429</v>
      </c>
      <c r="I56" s="152">
        <f t="shared" si="115"/>
        <v>26</v>
      </c>
      <c r="J56" s="153">
        <f>D56/(I56+D56)</f>
        <v>0.3259259259</v>
      </c>
      <c r="K56" s="2" t="s">
        <v>213</v>
      </c>
      <c r="L56" s="149">
        <f>countif(L47:L55, "Yes")</f>
        <v>5</v>
      </c>
      <c r="M56" s="150">
        <f>countif(M47:M55, "Win")/(countif(M47:M55, "Win")+countif(M47:M55, "Loss"))</f>
        <v>0.6</v>
      </c>
      <c r="N56" s="151">
        <f t="shared" ref="N56:S56" si="116">average(N47:N55)</f>
        <v>19.2</v>
      </c>
      <c r="O56" s="151">
        <f t="shared" si="116"/>
        <v>11</v>
      </c>
      <c r="P56" s="151">
        <f t="shared" si="116"/>
        <v>0.8</v>
      </c>
      <c r="Q56" s="151">
        <f t="shared" si="116"/>
        <v>6.6</v>
      </c>
      <c r="R56" s="151">
        <f t="shared" si="116"/>
        <v>0.8</v>
      </c>
      <c r="S56" s="152">
        <f t="shared" si="116"/>
        <v>23</v>
      </c>
      <c r="T56" s="153">
        <f>N56/(S56+N56)</f>
        <v>0.4549763033</v>
      </c>
      <c r="U56" s="2" t="s">
        <v>213</v>
      </c>
      <c r="V56" s="149">
        <f>countif(V47:V55, "Yes")</f>
        <v>0</v>
      </c>
      <c r="W56" s="150" t="str">
        <f>countif(W47:W55, "Win")/(countif(W47:W55, "Win")+countif(W47:W55, "Loss"))</f>
        <v>#DIV/0!</v>
      </c>
      <c r="X56" s="151" t="str">
        <f t="shared" ref="X56:AC56" si="117">average(X47:X55)</f>
        <v>#N/A</v>
      </c>
      <c r="Y56" s="151" t="str">
        <f t="shared" si="117"/>
        <v>#N/A</v>
      </c>
      <c r="Z56" s="151" t="str">
        <f t="shared" si="117"/>
        <v>#N/A</v>
      </c>
      <c r="AA56" s="151" t="str">
        <f t="shared" si="117"/>
        <v>#N/A</v>
      </c>
      <c r="AB56" s="151" t="str">
        <f t="shared" si="117"/>
        <v>#N/A</v>
      </c>
      <c r="AC56" s="152" t="str">
        <f t="shared" si="117"/>
        <v>#N/A</v>
      </c>
      <c r="AD56" s="153" t="str">
        <f>X56/(AC56+X56)</f>
        <v>#N/A</v>
      </c>
      <c r="AE56" s="2" t="s">
        <v>213</v>
      </c>
      <c r="AF56" s="149">
        <f>countif(AF47:AF55, "Yes")</f>
        <v>3</v>
      </c>
      <c r="AG56" s="150">
        <f>countif(AG47:AG55, "Win")/(countif(AG47:AG55, "Win")+countif(AG47:AG55, "Loss"))</f>
        <v>0.3333333333</v>
      </c>
      <c r="AH56" s="151">
        <f t="shared" ref="AH56:AM56" si="118">average(AH47:AH55)</f>
        <v>15.66666667</v>
      </c>
      <c r="AI56" s="151">
        <f t="shared" si="118"/>
        <v>14.66666667</v>
      </c>
      <c r="AJ56" s="151">
        <f t="shared" si="118"/>
        <v>0</v>
      </c>
      <c r="AK56" s="151">
        <f t="shared" si="118"/>
        <v>1</v>
      </c>
      <c r="AL56" s="151">
        <f t="shared" si="118"/>
        <v>0</v>
      </c>
      <c r="AM56" s="152">
        <f t="shared" si="118"/>
        <v>30.66666667</v>
      </c>
      <c r="AN56" s="153">
        <f>AH56/(AM56+AH56)</f>
        <v>0.3381294964</v>
      </c>
      <c r="AO56" s="2" t="s">
        <v>213</v>
      </c>
      <c r="AP56" s="149">
        <f>countif(AP47:AP55, "Yes")</f>
        <v>4</v>
      </c>
      <c r="AQ56" s="150">
        <f>countif(AQ47:AQ55, "Win")/(countif(AQ47:AQ55, "Win")+countif(AQ47:AQ55, "Loss"))</f>
        <v>0</v>
      </c>
      <c r="AR56" s="151">
        <f t="shared" ref="AR56:AW56" si="119">average(AR47:AR55)</f>
        <v>13.25</v>
      </c>
      <c r="AS56" s="151">
        <f t="shared" si="119"/>
        <v>6</v>
      </c>
      <c r="AT56" s="151">
        <f t="shared" si="119"/>
        <v>0</v>
      </c>
      <c r="AU56" s="151">
        <f t="shared" si="119"/>
        <v>7</v>
      </c>
      <c r="AV56" s="151">
        <f t="shared" si="119"/>
        <v>0.25</v>
      </c>
      <c r="AW56" s="152">
        <f t="shared" si="119"/>
        <v>30</v>
      </c>
      <c r="AX56" s="153">
        <f>AR56/(AW56+AR56)</f>
        <v>0.3063583815</v>
      </c>
      <c r="AY56" s="2" t="s">
        <v>213</v>
      </c>
      <c r="AZ56" s="149">
        <f>countif(AZ47:AZ55, "Yes")</f>
        <v>7</v>
      </c>
      <c r="BA56" s="150">
        <f>countif(BA47:BA55, "Win")/(countif(BA47:BA55, "Win")+countif(BA47:BA55, "Loss"))</f>
        <v>0.7142857143</v>
      </c>
      <c r="BB56" s="151">
        <f t="shared" ref="BB56:BG56" si="120">average(BB47:BB55)</f>
        <v>13.57142857</v>
      </c>
      <c r="BC56" s="151">
        <f t="shared" si="120"/>
        <v>5</v>
      </c>
      <c r="BD56" s="151">
        <f t="shared" si="120"/>
        <v>1.285714286</v>
      </c>
      <c r="BE56" s="151">
        <f t="shared" si="120"/>
        <v>5.428571429</v>
      </c>
      <c r="BF56" s="151">
        <f t="shared" si="120"/>
        <v>1.857142857</v>
      </c>
      <c r="BG56" s="152">
        <f t="shared" si="120"/>
        <v>28.42857143</v>
      </c>
      <c r="BH56" s="153">
        <f>BB56/(BG56+BB56)</f>
        <v>0.3231292517</v>
      </c>
      <c r="BI56" s="7"/>
      <c r="BJ56" s="7"/>
      <c r="BK56" s="7"/>
      <c r="BL56" s="7"/>
    </row>
    <row r="57">
      <c r="A57" s="154" t="str">
        <f>Draft!B50</f>
        <v>Emi</v>
      </c>
      <c r="B57" s="124">
        <f t="shared" ref="B57:J57" si="121">B67</f>
        <v>6</v>
      </c>
      <c r="C57" s="136">
        <f t="shared" si="121"/>
        <v>0.5</v>
      </c>
      <c r="D57" s="137">
        <f t="shared" si="121"/>
        <v>18.66666667</v>
      </c>
      <c r="E57" s="137">
        <f t="shared" si="121"/>
        <v>12</v>
      </c>
      <c r="F57" s="137">
        <f t="shared" si="121"/>
        <v>0.6666666667</v>
      </c>
      <c r="G57" s="137">
        <f t="shared" si="121"/>
        <v>5</v>
      </c>
      <c r="H57" s="137">
        <f t="shared" si="121"/>
        <v>1</v>
      </c>
      <c r="I57" s="138">
        <f t="shared" si="121"/>
        <v>24.66666667</v>
      </c>
      <c r="J57" s="139">
        <f t="shared" si="121"/>
        <v>0.4307692308</v>
      </c>
      <c r="K57" s="155" t="str">
        <f>Draft!C50</f>
        <v>Kevin Zhou</v>
      </c>
      <c r="L57" s="124">
        <f t="shared" ref="L57:T57" si="122">L67</f>
        <v>4</v>
      </c>
      <c r="M57" s="136">
        <f t="shared" si="122"/>
        <v>0.5</v>
      </c>
      <c r="N57" s="137">
        <f t="shared" si="122"/>
        <v>16.75</v>
      </c>
      <c r="O57" s="137">
        <f t="shared" si="122"/>
        <v>7.75</v>
      </c>
      <c r="P57" s="137">
        <f t="shared" si="122"/>
        <v>0.5</v>
      </c>
      <c r="Q57" s="137">
        <f t="shared" si="122"/>
        <v>10</v>
      </c>
      <c r="R57" s="137">
        <f t="shared" si="122"/>
        <v>0.5</v>
      </c>
      <c r="S57" s="138">
        <f t="shared" si="122"/>
        <v>23</v>
      </c>
      <c r="T57" s="139">
        <f t="shared" si="122"/>
        <v>0.4213836478</v>
      </c>
      <c r="U57" s="156" t="str">
        <f>Draft!D50</f>
        <v>Tripp</v>
      </c>
      <c r="V57" s="124">
        <f t="shared" ref="V57:AD57" si="123">V67</f>
        <v>2</v>
      </c>
      <c r="W57" s="136">
        <f t="shared" si="123"/>
        <v>0</v>
      </c>
      <c r="X57" s="137">
        <f t="shared" si="123"/>
        <v>10</v>
      </c>
      <c r="Y57" s="137">
        <f t="shared" si="123"/>
        <v>5.5</v>
      </c>
      <c r="Z57" s="137">
        <f t="shared" si="123"/>
        <v>0</v>
      </c>
      <c r="AA57" s="137">
        <f t="shared" si="123"/>
        <v>3.5</v>
      </c>
      <c r="AB57" s="137">
        <f t="shared" si="123"/>
        <v>1</v>
      </c>
      <c r="AC57" s="138">
        <f t="shared" si="123"/>
        <v>30</v>
      </c>
      <c r="AD57" s="139">
        <f t="shared" si="123"/>
        <v>0.25</v>
      </c>
      <c r="AE57" s="157" t="str">
        <f>Draft!E50</f>
        <v>Samos</v>
      </c>
      <c r="AF57" s="124">
        <f t="shared" ref="AF57:AN57" si="124">AF67</f>
        <v>6</v>
      </c>
      <c r="AG57" s="136">
        <f t="shared" si="124"/>
        <v>0.8333333333</v>
      </c>
      <c r="AH57" s="137">
        <f t="shared" si="124"/>
        <v>15.5</v>
      </c>
      <c r="AI57" s="137">
        <f t="shared" si="124"/>
        <v>9</v>
      </c>
      <c r="AJ57" s="137">
        <f t="shared" si="124"/>
        <v>1.333333333</v>
      </c>
      <c r="AK57" s="137">
        <f t="shared" si="124"/>
        <v>4.166666667</v>
      </c>
      <c r="AL57" s="137">
        <f t="shared" si="124"/>
        <v>1</v>
      </c>
      <c r="AM57" s="138">
        <f t="shared" si="124"/>
        <v>27.16666667</v>
      </c>
      <c r="AN57" s="139">
        <f t="shared" si="124"/>
        <v>0.36328125</v>
      </c>
      <c r="AO57" s="158" t="str">
        <f>Draft!F50</f>
        <v>Raymond</v>
      </c>
      <c r="AP57" s="124">
        <f t="shared" ref="AP57:AX57" si="125">AP67</f>
        <v>2</v>
      </c>
      <c r="AQ57" s="136">
        <f t="shared" si="125"/>
        <v>0</v>
      </c>
      <c r="AR57" s="137">
        <f t="shared" si="125"/>
        <v>12</v>
      </c>
      <c r="AS57" s="137">
        <f t="shared" si="125"/>
        <v>6</v>
      </c>
      <c r="AT57" s="137">
        <f t="shared" si="125"/>
        <v>0</v>
      </c>
      <c r="AU57" s="137">
        <f t="shared" si="125"/>
        <v>4.5</v>
      </c>
      <c r="AV57" s="137">
        <f t="shared" si="125"/>
        <v>1.5</v>
      </c>
      <c r="AW57" s="138">
        <f t="shared" si="125"/>
        <v>32.5</v>
      </c>
      <c r="AX57" s="139">
        <f t="shared" si="125"/>
        <v>0.2696629213</v>
      </c>
      <c r="AY57" s="19" t="str">
        <f>Draft!G50</f>
        <v>Hando</v>
      </c>
      <c r="AZ57" s="124">
        <f t="shared" ref="AZ57:BH57" si="126">AZ67</f>
        <v>6</v>
      </c>
      <c r="BA57" s="136">
        <f t="shared" si="126"/>
        <v>0.8333333333</v>
      </c>
      <c r="BB57" s="137">
        <f t="shared" si="126"/>
        <v>15.66666667</v>
      </c>
      <c r="BC57" s="137">
        <f t="shared" si="126"/>
        <v>6.5</v>
      </c>
      <c r="BD57" s="137">
        <f t="shared" si="126"/>
        <v>0.6666666667</v>
      </c>
      <c r="BE57" s="137">
        <f t="shared" si="126"/>
        <v>8.333333333</v>
      </c>
      <c r="BF57" s="137">
        <f t="shared" si="126"/>
        <v>0.1666666667</v>
      </c>
      <c r="BG57" s="138">
        <f t="shared" si="126"/>
        <v>26.33333333</v>
      </c>
      <c r="BH57" s="139">
        <f t="shared" si="126"/>
        <v>0.373015873</v>
      </c>
      <c r="BI57" s="7"/>
      <c r="BJ57" s="7"/>
      <c r="BK57" s="7"/>
      <c r="BL57" s="7"/>
    </row>
    <row r="58">
      <c r="A58" s="145" t="s">
        <v>133</v>
      </c>
      <c r="B58" s="4" t="str">
        <f t="shared" ref="B58:B66" si="127">if(I58&gt;0, "Yes", "")</f>
        <v>Yes</v>
      </c>
      <c r="C58" s="4" t="str">
        <f>if(B58="Yes", vlookup(A$1, 'Week 1'!$A$1:$H$119, 5, False), "")</f>
        <v>Loss</v>
      </c>
      <c r="D58" s="146">
        <f>vlookup(A57, 'Week 1'!$A$2:$H$119, 3, False)</f>
        <v>14</v>
      </c>
      <c r="E58" s="147">
        <f>vlookup(A57, 'Week 1'!$A$2:$H$119, 6, False)</f>
        <v>4</v>
      </c>
      <c r="F58" s="147">
        <f>vlookup(A57, 'Week 1'!$A$2:$H$119, 7, False)</f>
        <v>1</v>
      </c>
      <c r="G58" s="147">
        <f>vlookup(A57, 'Week 1'!$A$2:$H$119, 4, False)</f>
        <v>7</v>
      </c>
      <c r="H58" s="147">
        <f>vlookup(A57, 'Week 1'!$A$2:$H$119, 5, False)</f>
        <v>2</v>
      </c>
      <c r="I58" s="7">
        <f>vlookup(A57, 'Week 1'!$A$2:$H$119, 8, False)</f>
        <v>26</v>
      </c>
      <c r="J58" s="148">
        <f t="shared" ref="J58:J64" si="128">if(D58&gt;0, (D58/(D58+I58)), "")</f>
        <v>0.35</v>
      </c>
      <c r="K58" s="145" t="s">
        <v>133</v>
      </c>
      <c r="L58" s="4" t="str">
        <f t="shared" ref="L58:L66" si="129">if(S58&gt;0, "Yes", "")</f>
        <v>Yes</v>
      </c>
      <c r="M58" s="4" t="str">
        <f>if(L58="Yes", vlookup(K$1, 'Week 1'!$A$1:$H$119, 5, False), "")</f>
        <v>Win</v>
      </c>
      <c r="N58" s="146">
        <f>vlookup(K57, 'Week 1'!$A$2:$H$119, 3, False)</f>
        <v>15</v>
      </c>
      <c r="O58" s="147">
        <f>vlookup(K57, 'Week 1'!$A$2:$H$119, 6, False)</f>
        <v>3</v>
      </c>
      <c r="P58" s="147">
        <f>vlookup(K57, 'Week 1'!$A$2:$H$119, 7, False)</f>
        <v>2</v>
      </c>
      <c r="Q58" s="147">
        <f>vlookup(K57, 'Week 1'!$A$2:$H$119, 4, False)</f>
        <v>9</v>
      </c>
      <c r="R58" s="147">
        <f>vlookup(K57, 'Week 1'!$A$2:$H$119, 5, False)</f>
        <v>1</v>
      </c>
      <c r="S58" s="147">
        <f>vlookup(K57, 'Week 1'!$A$2:$H$119, 8, False)</f>
        <v>26</v>
      </c>
      <c r="T58" s="148">
        <f t="shared" ref="T58:T64" si="130">if(N58&gt;0, (N58/(N58+S58)), "")</f>
        <v>0.3658536585</v>
      </c>
      <c r="U58" s="145" t="s">
        <v>133</v>
      </c>
      <c r="V58" s="4" t="str">
        <f t="shared" ref="V58:V66" si="131">if(AC58&gt;0, "Yes", "")</f>
        <v>Yes</v>
      </c>
      <c r="W58" s="4" t="str">
        <f>if(V58="Yes", vlookup(U$1, 'Week 1'!$A$1:$H$119, 5, False), "")</f>
        <v>Loss</v>
      </c>
      <c r="X58" s="4">
        <f>vlookup(U57, 'Week 1'!$A$2:$H$119, 3, False)</f>
        <v>11</v>
      </c>
      <c r="Y58" s="7">
        <f>vlookup(U57, 'Week 1'!$A$2:$H$119, 6, False)</f>
        <v>7</v>
      </c>
      <c r="Z58" s="7">
        <f>vlookup(U57, 'Week 1'!$A$2:$H$119, 7, False)</f>
        <v>0</v>
      </c>
      <c r="AA58" s="7">
        <f>vlookup(U57, 'Week 1'!$A$2:$H$119, 4, False)</f>
        <v>4</v>
      </c>
      <c r="AB58" s="7">
        <f>vlookup(U57, 'Week 1'!$A$2:$H$119, 5, False)</f>
        <v>0</v>
      </c>
      <c r="AC58" s="7">
        <f>vlookup(U57, 'Week 1'!$A$2:$H$119, 8, False)</f>
        <v>26</v>
      </c>
      <c r="AD58" s="148">
        <f t="shared" ref="AD58:AD64" si="132">if(X58&gt;0, (X58/(X58+AC58)), "")</f>
        <v>0.2972972973</v>
      </c>
      <c r="AE58" s="145" t="s">
        <v>133</v>
      </c>
      <c r="AF58" s="4" t="str">
        <f t="shared" ref="AF58:AF66" si="133">if(AM58&gt;0, "Yes", "")</f>
        <v>Yes</v>
      </c>
      <c r="AG58" s="4" t="str">
        <f>if(AF58="Yes", vlookup(AE$1, 'Week 1'!$A$1:$H$119, 5, False), "")</f>
        <v>Win</v>
      </c>
      <c r="AH58" s="146">
        <f>vlookup(AE57, 'Week 1'!$A$2:$H$119, 3, False)</f>
        <v>16</v>
      </c>
      <c r="AI58" s="147">
        <f>vlookup(AE57, 'Week 1'!$A$2:$H$119, 6, False)</f>
        <v>9</v>
      </c>
      <c r="AJ58" s="147">
        <f>vlookup(AE57, 'Week 1'!$A$2:$H$119, 7, False)</f>
        <v>1</v>
      </c>
      <c r="AK58" s="147">
        <f>vlookup(AE57, 'Week 1'!$A$2:$H$119, 4, False)</f>
        <v>4</v>
      </c>
      <c r="AL58" s="147">
        <f>vlookup(AE57, 'Week 1'!$A$2:$H$119, 5, False)</f>
        <v>2</v>
      </c>
      <c r="AM58" s="147">
        <f>vlookup(AE57, 'Week 1'!$A$2:$H$119, 8, False)</f>
        <v>36</v>
      </c>
      <c r="AN58" s="148">
        <f t="shared" ref="AN58:AN64" si="134">if(AH58&gt;0, (AH58/(AH58+AM58)), "")</f>
        <v>0.3076923077</v>
      </c>
      <c r="AO58" s="145" t="s">
        <v>133</v>
      </c>
      <c r="AP58" s="4" t="str">
        <f t="shared" ref="AP58:AP66" si="135">if(AW58&gt;0, "Yes", "")</f>
        <v/>
      </c>
      <c r="AQ58" s="4" t="str">
        <f>if(AP58="Yes", vlookup(AO$1, 'Week 1'!$A$1:$H$119, 5, False), "")</f>
        <v/>
      </c>
      <c r="AR58" s="4" t="str">
        <f>vlookup(AO57, 'Week 1'!$A$2:$H$119, 3, False)</f>
        <v/>
      </c>
      <c r="AS58" s="7" t="str">
        <f>vlookup(AO57, 'Week 1'!$A$2:$H$119, 6, False)</f>
        <v/>
      </c>
      <c r="AT58" s="7" t="str">
        <f>vlookup(AO57, 'Week 1'!$A$2:$H$119, 7, False)</f>
        <v/>
      </c>
      <c r="AU58" s="7" t="str">
        <f>vlookup(AO57, 'Week 1'!$A$2:$H$119, 4, False)</f>
        <v/>
      </c>
      <c r="AV58" s="7" t="str">
        <f>vlookup(AO57, 'Week 1'!$A$2:$H$119, 5, False)</f>
        <v/>
      </c>
      <c r="AW58" s="7" t="str">
        <f>vlookup(AO57, 'Week 1'!$A$2:$H$119, 8, False)</f>
        <v/>
      </c>
      <c r="AX58" s="148" t="str">
        <f t="shared" ref="AX58:AX64" si="136">if(AR58&gt;0, (AR58/(AR58+AW58)), "")</f>
        <v>#DIV/0!</v>
      </c>
      <c r="AY58" s="145" t="s">
        <v>133</v>
      </c>
      <c r="AZ58" s="4" t="str">
        <f t="shared" ref="AZ58:AZ66" si="137">if(BG58&gt;0, "Yes", "")</f>
        <v>Yes</v>
      </c>
      <c r="BA58" s="4" t="str">
        <f>if(AZ58="Yes", vlookup(AY$1, 'Week 1'!$A$1:$H$119, 5, False), "")</f>
        <v>Win</v>
      </c>
      <c r="BB58" s="146">
        <f>vlookup(AY57, 'Week 1'!$A$2:$H$119, 3, False)</f>
        <v>11</v>
      </c>
      <c r="BC58" s="147">
        <f>vlookup(AY57, 'Week 1'!$A$2:$H$119, 6, False)</f>
        <v>4</v>
      </c>
      <c r="BD58" s="147">
        <f>vlookup(AY57, 'Week 1'!$A$2:$H$119, 7, False)</f>
        <v>1</v>
      </c>
      <c r="BE58" s="147">
        <f>vlookup(AY57, 'Week 1'!$A$2:$H$119, 4, False)</f>
        <v>6</v>
      </c>
      <c r="BF58" s="147">
        <f>vlookup(AY57, 'Week 1'!$A$2:$H$119, 5, False)</f>
        <v>0</v>
      </c>
      <c r="BG58" s="147">
        <f>vlookup(AY57, 'Week 1'!$A$2:$H$119, 8, False)</f>
        <v>27</v>
      </c>
      <c r="BH58" s="148">
        <f t="shared" ref="BH58:BH64" si="138">if(BB58&gt;0, (BB58/(BB58+BG58)), "")</f>
        <v>0.2894736842</v>
      </c>
      <c r="BI58" s="7"/>
      <c r="BJ58" s="7"/>
      <c r="BK58" s="7"/>
      <c r="BL58" s="7"/>
    </row>
    <row r="59">
      <c r="A59" s="145" t="s">
        <v>135</v>
      </c>
      <c r="B59" s="4" t="str">
        <f t="shared" si="127"/>
        <v/>
      </c>
      <c r="C59" s="4" t="str">
        <f>if(B59="Yes", vlookup(A$1, 'Week 2'!$A$1:$H$119, 5, False), "")</f>
        <v/>
      </c>
      <c r="D59" s="146" t="str">
        <f>vlookup(A57, 'Week 2'!$A$2:$H$119, 3, False)</f>
        <v/>
      </c>
      <c r="E59" s="146" t="str">
        <f>vlookup(A57, 'Week 2'!$A$2:$H$119, 6, False)</f>
        <v/>
      </c>
      <c r="F59" s="146" t="str">
        <f>vlookup(A57, 'Week 2'!$A$2:$H$119, 7, False)</f>
        <v/>
      </c>
      <c r="G59" s="146" t="str">
        <f>vlookup(A57, 'Week 2'!$A$2:$H$119, 4, False)</f>
        <v/>
      </c>
      <c r="H59" s="146" t="str">
        <f>vlookup(A57, 'Week 2'!$A$2:$H$119, 5, False)</f>
        <v/>
      </c>
      <c r="I59" s="146" t="str">
        <f>vlookup(A57, 'Week 2'!$A$2:$H$119, 8, False)</f>
        <v/>
      </c>
      <c r="J59" s="148" t="str">
        <f t="shared" si="128"/>
        <v>#DIV/0!</v>
      </c>
      <c r="K59" s="145" t="s">
        <v>135</v>
      </c>
      <c r="L59" s="4" t="str">
        <f t="shared" si="129"/>
        <v>Yes</v>
      </c>
      <c r="M59" s="4" t="str">
        <f>if(L59="Yes", vlookup(K$1, 'Week 2'!$A$1:$H$119, 5, False), "")</f>
        <v>Loss</v>
      </c>
      <c r="N59" s="146">
        <f>vlookup(K57, 'Week 2'!$A$2:$H$119, 3, False)</f>
        <v>9</v>
      </c>
      <c r="O59" s="146">
        <f>vlookup(K57, 'Week 2'!$A$2:$H$119, 6, False)</f>
        <v>7</v>
      </c>
      <c r="P59" s="146">
        <f>vlookup(K57, 'Week 2'!$A$2:$H$119, 7, False)</f>
        <v>0</v>
      </c>
      <c r="Q59" s="146" t="str">
        <f>vlookup(K57, 'Week 3'!$A$2:$H$119, 4, False)</f>
        <v/>
      </c>
      <c r="R59" s="146">
        <f>vlookup(K57, 'Week 2'!$A$2:$H$119, 5, False)</f>
        <v>0</v>
      </c>
      <c r="S59" s="146">
        <f>vlookup(K57, 'Week 2'!$A$2:$H$119, 8, False)</f>
        <v>22</v>
      </c>
      <c r="T59" s="148">
        <f t="shared" si="130"/>
        <v>0.2903225806</v>
      </c>
      <c r="U59" s="145" t="s">
        <v>135</v>
      </c>
      <c r="V59" s="4" t="str">
        <f t="shared" si="131"/>
        <v>Yes</v>
      </c>
      <c r="W59" s="4" t="str">
        <f>if(V59="Yes", vlookup(U$1, 'Week 2'!$A$1:$H$119, 5, False), "")</f>
        <v>Loss</v>
      </c>
      <c r="X59" s="146">
        <f>vlookup(U57, 'Week 2'!$A$2:$H$119, 3, False)</f>
        <v>9</v>
      </c>
      <c r="Y59" s="146">
        <f>vlookup(U57, 'Week 2'!$A$2:$H$119, 6, False)</f>
        <v>4</v>
      </c>
      <c r="Z59" s="146">
        <f>vlookup(U57, 'Week 2'!$A$2:$H$119, 7, False)</f>
        <v>0</v>
      </c>
      <c r="AA59" s="146">
        <f>vlookup(U57, 'Week 2'!$A$2:$H$119, 4, False)</f>
        <v>3</v>
      </c>
      <c r="AB59" s="146">
        <f>vlookup(U57, 'Week 2'!$A$2:$H$119, 5, False)</f>
        <v>2</v>
      </c>
      <c r="AC59" s="146">
        <f>vlookup(U57, 'Week 2'!$A$2:$H$119, 8, False)</f>
        <v>34</v>
      </c>
      <c r="AD59" s="148">
        <f t="shared" si="132"/>
        <v>0.2093023256</v>
      </c>
      <c r="AE59" s="145" t="s">
        <v>135</v>
      </c>
      <c r="AF59" s="4" t="str">
        <f t="shared" si="133"/>
        <v>Yes</v>
      </c>
      <c r="AG59" s="4" t="str">
        <f>if(AF59="Yes", vlookup(AE$1, 'Week 2'!$A$1:$H$119, 5, False), "")</f>
        <v>Win</v>
      </c>
      <c r="AH59" s="146">
        <f>vlookup(AE57, 'Week 2'!$A$2:$H$119, 3, False)</f>
        <v>15</v>
      </c>
      <c r="AI59" s="146">
        <f>vlookup(AE57, 'Week 2'!$A$2:$H$119, 6, False)</f>
        <v>9</v>
      </c>
      <c r="AJ59" s="146">
        <f>vlookup(AE57, 'Week 2'!$A$2:$H$119, 7, False)</f>
        <v>1</v>
      </c>
      <c r="AK59" s="146">
        <f>vlookup(AE57, 'Week 2'!$A$2:$H$119, 4, False)</f>
        <v>4</v>
      </c>
      <c r="AL59" s="146">
        <f>vlookup(AE57, 'Week 2'!$A$2:$H$119, 5, False)</f>
        <v>1</v>
      </c>
      <c r="AM59" s="146">
        <f>vlookup(AE57, 'Week 2'!$A$2:$H$119, 8, False)</f>
        <v>20</v>
      </c>
      <c r="AN59" s="148">
        <f t="shared" si="134"/>
        <v>0.4285714286</v>
      </c>
      <c r="AO59" s="145" t="s">
        <v>135</v>
      </c>
      <c r="AP59" s="4" t="str">
        <f t="shared" si="135"/>
        <v/>
      </c>
      <c r="AQ59" s="4" t="str">
        <f>if(AP59="Yes", vlookup(AO$1, 'Week 2'!$A$1:$H$119, 5, False), "")</f>
        <v/>
      </c>
      <c r="AR59" s="4" t="str">
        <f>vlookup(AO57, 'Week 2'!$A$2:$H$119, 3, False)</f>
        <v/>
      </c>
      <c r="AS59" s="4" t="str">
        <f>vlookup(AO57, 'Week 2'!$A$2:$H$119, 6, False)</f>
        <v/>
      </c>
      <c r="AT59" s="4" t="str">
        <f>vlookup(AO57, 'Week 2'!$A$2:$H$119, 7, False)</f>
        <v/>
      </c>
      <c r="AU59" s="4" t="str">
        <f>vlookup(AO57, 'Week 2'!$A$2:$H$119, 4, False)</f>
        <v/>
      </c>
      <c r="AV59" s="4" t="str">
        <f>vlookup(AO57, 'Week 2'!$A$2:$H$119, 5, False)</f>
        <v/>
      </c>
      <c r="AW59" s="4" t="str">
        <f>vlookup(AO57, 'Week 2'!$A$2:$H$119, 8, False)</f>
        <v/>
      </c>
      <c r="AX59" s="148" t="str">
        <f t="shared" si="136"/>
        <v>#DIV/0!</v>
      </c>
      <c r="AY59" s="145" t="s">
        <v>135</v>
      </c>
      <c r="AZ59" s="4" t="str">
        <f t="shared" si="137"/>
        <v>Yes</v>
      </c>
      <c r="BA59" s="4" t="str">
        <f>if(AZ59="Yes", vlookup(AY$1, 'Week 2'!$A$1:$H$119, 5, False), "")</f>
        <v>Win</v>
      </c>
      <c r="BB59" s="4">
        <f>vlookup(AY57, 'Week 2'!$A$2:$H$119, 3, False)</f>
        <v>15</v>
      </c>
      <c r="BC59" s="4">
        <f>vlookup(AY57, 'Week 2'!$A$2:$H$119, 6, False)</f>
        <v>5</v>
      </c>
      <c r="BD59" s="4">
        <f>vlookup(AY57, 'Week 2'!$A$2:$H$119, 7, False)</f>
        <v>0</v>
      </c>
      <c r="BE59" s="4">
        <f>vlookup(AY57, 'Week 2'!$A$2:$H$119, 4, False)</f>
        <v>9</v>
      </c>
      <c r="BF59" s="4">
        <f>vlookup(AY57, 'Week 2'!$A$2:$H$119, 5, False)</f>
        <v>1</v>
      </c>
      <c r="BG59" s="4">
        <f>vlookup(AY57, 'Week 2'!$A$2:$H$119, 8, False)</f>
        <v>34</v>
      </c>
      <c r="BH59" s="148">
        <f t="shared" si="138"/>
        <v>0.306122449</v>
      </c>
      <c r="BI59" s="7"/>
      <c r="BJ59" s="7"/>
      <c r="BK59" s="7"/>
      <c r="BL59" s="7"/>
    </row>
    <row r="60">
      <c r="A60" s="145" t="s">
        <v>140</v>
      </c>
      <c r="B60" s="4" t="str">
        <f t="shared" si="127"/>
        <v>Yes</v>
      </c>
      <c r="C60" s="4" t="str">
        <f>if(B60="Yes", vlookup(A$1, 'Week 3'!$A$1:$H$119, 5, False), "")</f>
        <v>Win</v>
      </c>
      <c r="D60" s="146">
        <f>vlookup(A57, 'Week 3'!$A$2:$H$119, 3, False)</f>
        <v>30</v>
      </c>
      <c r="E60" s="146">
        <f>vlookup(A57, 'Week 3'!$A$2:$H$119, 6, False)</f>
        <v>20</v>
      </c>
      <c r="F60" s="146">
        <f>vlookup(A57, 'Week 3'!$A$2:$H$119, 7, False)</f>
        <v>2</v>
      </c>
      <c r="G60" s="146">
        <f>vlookup(A57, 'Week 3'!$A$2:$H$119, 4, False)</f>
        <v>8</v>
      </c>
      <c r="H60" s="146">
        <f>vlookup(A57, 'Week 3'!$A$2:$H$119, 5, False)</f>
        <v>0</v>
      </c>
      <c r="I60" s="146">
        <f>vlookup(A57, 'Week 3'!$A$2:$H$119, 8, False)</f>
        <v>22</v>
      </c>
      <c r="J60" s="148">
        <f t="shared" si="128"/>
        <v>0.5769230769</v>
      </c>
      <c r="K60" s="145" t="s">
        <v>140</v>
      </c>
      <c r="L60" s="4" t="str">
        <f t="shared" si="129"/>
        <v/>
      </c>
      <c r="M60" s="4" t="str">
        <f>if(L60="Yes", vlookup(K$1, 'Week 3'!$A$1:$H$119, 5, False), "")</f>
        <v/>
      </c>
      <c r="N60" s="146" t="str">
        <f>vlookup(K57, 'Week 3'!$A$2:$H$119, 3, False)</f>
        <v/>
      </c>
      <c r="O60" s="146" t="str">
        <f>vlookup(K57, 'Week 3'!$A$2:$H$119, 6, False)</f>
        <v/>
      </c>
      <c r="P60" s="146" t="str">
        <f>vlookup(K57, 'Week 3'!$A$2:$H$119, 7, False)</f>
        <v/>
      </c>
      <c r="Q60" s="4"/>
      <c r="R60" s="146" t="str">
        <f>vlookup(K57, 'Week 3'!$A$2:$H$119, 5, False)</f>
        <v/>
      </c>
      <c r="S60" s="146" t="str">
        <f>vlookup(K57, 'Week 3'!$A$2:$H$119, 8, False)</f>
        <v/>
      </c>
      <c r="T60" s="148" t="str">
        <f t="shared" si="130"/>
        <v>#DIV/0!</v>
      </c>
      <c r="U60" s="145" t="s">
        <v>140</v>
      </c>
      <c r="V60" s="4" t="str">
        <f t="shared" si="131"/>
        <v/>
      </c>
      <c r="W60" s="4" t="str">
        <f>if(V60="Yes", vlookup(U$1, 'Week 3'!$A$1:$H$119, 5, False), "")</f>
        <v/>
      </c>
      <c r="X60" s="4" t="str">
        <f>vlookup(U57, 'Week 3'!$A$2:$H$119, 3, False)</f>
        <v/>
      </c>
      <c r="Y60" s="4" t="str">
        <f>vlookup(U57, 'Week 3'!$A$2:$H$119, 6, False)</f>
        <v/>
      </c>
      <c r="Z60" s="4" t="str">
        <f>vlookup(U57, 'Week 3'!$A$2:$H$119, 7, False)</f>
        <v/>
      </c>
      <c r="AA60" s="4" t="str">
        <f>vlookup(U57, 'Week 3'!$A$2:$H$119, 4, False)</f>
        <v/>
      </c>
      <c r="AB60" s="4" t="str">
        <f>vlookup(U57, 'Week 3'!$A$2:$H$119, 5, False)</f>
        <v/>
      </c>
      <c r="AC60" s="4" t="str">
        <f>vlookup(U57, 'Week 3'!$A$2:$H$119, 8, False)</f>
        <v/>
      </c>
      <c r="AD60" s="148" t="str">
        <f t="shared" si="132"/>
        <v>#DIV/0!</v>
      </c>
      <c r="AE60" s="145" t="s">
        <v>140</v>
      </c>
      <c r="AF60" s="4" t="str">
        <f t="shared" si="133"/>
        <v>Yes</v>
      </c>
      <c r="AG60" s="4" t="str">
        <f>if(AF60="Yes", vlookup(AE$1, 'Week 3'!$A$1:$H$119, 5, False), "")</f>
        <v>Loss</v>
      </c>
      <c r="AH60" s="146">
        <f>vlookup(AE57, 'Week 3'!$A$2:$H$119, 3, False)</f>
        <v>14</v>
      </c>
      <c r="AI60" s="146">
        <f>vlookup(AE57, 'Week 3'!$A$2:$H$119, 6, False)</f>
        <v>5</v>
      </c>
      <c r="AJ60" s="146">
        <f>vlookup(AE57, 'Week 3'!$A$2:$H$119, 7, False)</f>
        <v>0</v>
      </c>
      <c r="AK60" s="146">
        <f>vlookup(AE57, 'Week 3'!$A$2:$H$119, 4, False)</f>
        <v>9</v>
      </c>
      <c r="AL60" s="146">
        <f>vlookup(AE57, 'Week 3'!$A$2:$H$119, 5, False)</f>
        <v>0</v>
      </c>
      <c r="AM60" s="146">
        <f>vlookup(AE57, 'Week 3'!$A$2:$H$119, 8, False)</f>
        <v>25</v>
      </c>
      <c r="AN60" s="148">
        <f t="shared" si="134"/>
        <v>0.358974359</v>
      </c>
      <c r="AO60" s="145" t="s">
        <v>140</v>
      </c>
      <c r="AP60" s="4" t="str">
        <f t="shared" si="135"/>
        <v/>
      </c>
      <c r="AQ60" s="4" t="str">
        <f>if(AP60="Yes", vlookup(AO$1, 'Week 3'!$A$1:$H$119, 5, False), "")</f>
        <v/>
      </c>
      <c r="AR60" s="146" t="str">
        <f>vlookup(AO57, 'Week 3'!$A$2:$H$119, 3, False)</f>
        <v/>
      </c>
      <c r="AS60" s="146" t="str">
        <f>vlookup(AO57, 'Week 3'!$A$2:$H$119, 6, False)</f>
        <v/>
      </c>
      <c r="AT60" s="146" t="str">
        <f>vlookup(AO57, 'Week 3'!$A$2:$H$119, 7, False)</f>
        <v/>
      </c>
      <c r="AU60" s="146" t="str">
        <f>vlookup(AO57, 'Week 3'!$A$2:$H$119, 4, False)</f>
        <v/>
      </c>
      <c r="AV60" s="146" t="str">
        <f>vlookup(AO57, 'Week 3'!$A$2:$H$119, 5, False)</f>
        <v/>
      </c>
      <c r="AW60" s="146" t="str">
        <f>vlookup(AO57, 'Week 3'!$A$2:$H$119, 8, False)</f>
        <v/>
      </c>
      <c r="AX60" s="148" t="str">
        <f t="shared" si="136"/>
        <v>#DIV/0!</v>
      </c>
      <c r="AY60" s="145" t="s">
        <v>140</v>
      </c>
      <c r="AZ60" s="4" t="str">
        <f t="shared" si="137"/>
        <v>Yes</v>
      </c>
      <c r="BA60" s="4" t="str">
        <f>if(AZ60="Yes", vlookup(AY$1, 'Week 3'!$A$1:$H$119, 5, False), "")</f>
        <v>Win</v>
      </c>
      <c r="BB60" s="146">
        <f>vlookup(AY57, 'Week 3'!$A$2:$H$119, 3, False)</f>
        <v>19</v>
      </c>
      <c r="BC60" s="146">
        <f>vlookup(AY57, 'Week 3'!$A$2:$H$119, 6, False)</f>
        <v>8</v>
      </c>
      <c r="BD60" s="146">
        <f>vlookup(AY57, 'Week 3'!$A$2:$H$119, 7, False)</f>
        <v>0</v>
      </c>
      <c r="BE60" s="146">
        <f>vlookup(AY57, 'Week 3'!$A$2:$H$119, 4, False)</f>
        <v>11</v>
      </c>
      <c r="BF60" s="146">
        <f>vlookup(AY57, 'Week 3'!$A$2:$H$119, 5, False)</f>
        <v>0</v>
      </c>
      <c r="BG60" s="146">
        <f>vlookup(AY57, 'Week 3'!$A$2:$H$119, 8, False)</f>
        <v>24</v>
      </c>
      <c r="BH60" s="148">
        <f t="shared" si="138"/>
        <v>0.4418604651</v>
      </c>
      <c r="BI60" s="7"/>
      <c r="BJ60" s="7"/>
      <c r="BK60" s="7"/>
      <c r="BL60" s="7"/>
    </row>
    <row r="61">
      <c r="A61" s="145" t="s">
        <v>144</v>
      </c>
      <c r="B61" s="4" t="str">
        <f t="shared" si="127"/>
        <v>Yes</v>
      </c>
      <c r="C61" s="4" t="str">
        <f>if(B61="Yes", vlookup(A$1, 'Week 4'!$A$1:$H$119, 5, False), "")</f>
        <v>Win</v>
      </c>
      <c r="D61" s="146">
        <f>vlookup(A57, 'Week 4'!$A$2:$H$119, 3, False)</f>
        <v>22</v>
      </c>
      <c r="E61" s="146">
        <f>vlookup(A57, 'Week 4'!$A$2:$H$119, 6, False)</f>
        <v>17</v>
      </c>
      <c r="F61" s="146">
        <f>vlookup(A57, 'Week 4'!$A$2:$H$119, 7, False)</f>
        <v>0</v>
      </c>
      <c r="G61" s="146">
        <f>vlookup(A57, 'Week 4'!$A$2:$H$119, 4, False)</f>
        <v>3</v>
      </c>
      <c r="H61" s="146">
        <f>vlookup(A57, 'Week 4'!$A$2:$H$119, 5, False)</f>
        <v>2</v>
      </c>
      <c r="I61" s="146">
        <f>vlookup(A57, 'Week 4'!$A$2:$H$119, 8, False)</f>
        <v>24</v>
      </c>
      <c r="J61" s="148">
        <f t="shared" si="128"/>
        <v>0.4782608696</v>
      </c>
      <c r="K61" s="145" t="s">
        <v>144</v>
      </c>
      <c r="L61" s="4" t="str">
        <f t="shared" si="129"/>
        <v/>
      </c>
      <c r="M61" s="4" t="str">
        <f>if(L61="Yes", vlookup(K$1, 'Week 4'!$A$1:$H$119, 5, False), "")</f>
        <v/>
      </c>
      <c r="N61" s="146" t="str">
        <f>vlookup(K57, 'Week 4'!$A$2:$H$119, 3, False)</f>
        <v/>
      </c>
      <c r="O61" s="146" t="str">
        <f>vlookup(K57, 'Week 4'!$A$2:$H$119, 6, False)</f>
        <v/>
      </c>
      <c r="P61" s="146" t="str">
        <f>vlookup(K57, 'Week 4'!$A$2:$H$119, 7, False)</f>
        <v/>
      </c>
      <c r="Q61" s="146" t="str">
        <f>vlookup(K57, 'Week 4'!$A$2:$H$119, 4, False)</f>
        <v/>
      </c>
      <c r="R61" s="146" t="str">
        <f>vlookup(K57, 'Week 4'!$A$2:$H$119, 5, False)</f>
        <v/>
      </c>
      <c r="S61" s="146" t="str">
        <f>vlookup(K57, 'Week 4'!$A$2:$H$119, 8, False)</f>
        <v/>
      </c>
      <c r="T61" s="148" t="str">
        <f t="shared" si="130"/>
        <v>#DIV/0!</v>
      </c>
      <c r="U61" s="145" t="s">
        <v>144</v>
      </c>
      <c r="V61" s="4" t="str">
        <f t="shared" si="131"/>
        <v/>
      </c>
      <c r="W61" s="4" t="str">
        <f>if(V61="Yes", vlookup(U$1, 'Week 4'!$A$1:$H$119, 5, False), "")</f>
        <v/>
      </c>
      <c r="X61" s="4" t="str">
        <f>vlookup(U57, 'Week 4'!$A$2:$H$119, 3, False)</f>
        <v/>
      </c>
      <c r="Y61" s="4" t="str">
        <f>vlookup(U57, 'Week 4'!$A$2:$H$119, 6, False)</f>
        <v/>
      </c>
      <c r="Z61" s="4" t="str">
        <f>vlookup(U57, 'Week 4'!$A$2:$H$119, 7, False)</f>
        <v/>
      </c>
      <c r="AA61" s="4" t="str">
        <f>vlookup(U57, 'Week 4'!$A$2:$H$119, 4, False)</f>
        <v/>
      </c>
      <c r="AB61" s="4" t="str">
        <f>vlookup(U57, 'Week 4'!$A$2:$H$119, 5, False)</f>
        <v/>
      </c>
      <c r="AC61" s="4" t="str">
        <f>vlookup(U57, 'Week 4'!$A$2:$H$119, 8, False)</f>
        <v/>
      </c>
      <c r="AD61" s="148" t="str">
        <f t="shared" si="132"/>
        <v>#DIV/0!</v>
      </c>
      <c r="AE61" s="145" t="s">
        <v>144</v>
      </c>
      <c r="AF61" s="4" t="str">
        <f t="shared" si="133"/>
        <v>Yes</v>
      </c>
      <c r="AG61" s="4" t="str">
        <f>if(AF61="Yes", vlookup(AE$1, 'Week 4'!$A$1:$H$119, 5, False), "")</f>
        <v>Win</v>
      </c>
      <c r="AH61" s="146">
        <f>vlookup(AE57, 'Week 4'!$A$2:$H$119, 3, False)</f>
        <v>12</v>
      </c>
      <c r="AI61" s="146">
        <f>vlookup(AE57, 'Week 4'!$A$2:$H$119, 6, False)</f>
        <v>9</v>
      </c>
      <c r="AJ61" s="146">
        <f>vlookup(AE57, 'Week 4'!$A$2:$H$119, 7, False)</f>
        <v>2</v>
      </c>
      <c r="AK61" s="146">
        <f>vlookup(AE57, 'Week 4'!$A$2:$H$119, 4, False)</f>
        <v>1</v>
      </c>
      <c r="AL61" s="146">
        <f>vlookup(AE57, 'Week 4'!$A$2:$H$119, 5, False)</f>
        <v>0</v>
      </c>
      <c r="AM61" s="146">
        <f>vlookup(AE57, 'Week 4'!$A$2:$H$119, 8, False)</f>
        <v>28</v>
      </c>
      <c r="AN61" s="148">
        <f t="shared" si="134"/>
        <v>0.3</v>
      </c>
      <c r="AO61" s="145" t="s">
        <v>144</v>
      </c>
      <c r="AP61" s="4" t="str">
        <f t="shared" si="135"/>
        <v>Yes</v>
      </c>
      <c r="AQ61" s="4" t="str">
        <f>if(AP61="Yes", vlookup(AO$1, 'Week 4'!$A$1:$H$119, 5, False), "")</f>
        <v>Loss</v>
      </c>
      <c r="AR61" s="4">
        <f>vlookup(AO57, 'Week 4'!$A$2:$H$119, 3, False)</f>
        <v>16</v>
      </c>
      <c r="AS61" s="4">
        <f>vlookup(AO57, 'Week 4'!$A$2:$H$119, 6, False)</f>
        <v>9</v>
      </c>
      <c r="AT61" s="4">
        <f>vlookup(AO57, 'Week 4'!$A$2:$H$119, 7, False)</f>
        <v>0</v>
      </c>
      <c r="AU61" s="4">
        <f>vlookup(AO57, 'Week 4'!$A$2:$H$119, 4, False)</f>
        <v>7</v>
      </c>
      <c r="AV61" s="4">
        <f>vlookup(AO57, 'Week 4'!$A$2:$H$119, 5, False)</f>
        <v>0</v>
      </c>
      <c r="AW61" s="4">
        <f>vlookup(AO57, 'Week 4'!$A$2:$H$119, 8, False)</f>
        <v>30</v>
      </c>
      <c r="AX61" s="148">
        <f t="shared" si="136"/>
        <v>0.347826087</v>
      </c>
      <c r="AY61" s="145" t="s">
        <v>144</v>
      </c>
      <c r="AZ61" s="4" t="str">
        <f t="shared" si="137"/>
        <v>Yes</v>
      </c>
      <c r="BA61" s="4" t="str">
        <f>if(AZ61="Yes", vlookup(AY$1, 'Week 4'!$A$1:$H$119, 5, False), "")</f>
        <v>Loss</v>
      </c>
      <c r="BB61" s="4">
        <f>vlookup(AY57, 'Week 4'!$A$2:$H$119, 3, False)</f>
        <v>15</v>
      </c>
      <c r="BC61" s="4">
        <f>vlookup(AY57, 'Week 4'!$A$2:$H$119, 6, False)</f>
        <v>5</v>
      </c>
      <c r="BD61" s="4">
        <f>vlookup(AY57, 'Week 4'!$A$2:$H$119, 7, False)</f>
        <v>0</v>
      </c>
      <c r="BE61" s="4">
        <f>vlookup(AY57, 'Week 4'!$A$2:$H$119, 4, False)</f>
        <v>10</v>
      </c>
      <c r="BF61" s="4">
        <f>vlookup(AY57, 'Week 4'!$A$2:$H$119, 5, False)</f>
        <v>0</v>
      </c>
      <c r="BG61" s="4">
        <f>vlookup(AY57, 'Week 4'!$A$2:$H$119, 8, False)</f>
        <v>26</v>
      </c>
      <c r="BH61" s="148">
        <f t="shared" si="138"/>
        <v>0.3658536585</v>
      </c>
      <c r="BI61" s="7"/>
      <c r="BJ61" s="7"/>
      <c r="BK61" s="7"/>
      <c r="BL61" s="7"/>
    </row>
    <row r="62">
      <c r="A62" s="145" t="s">
        <v>146</v>
      </c>
      <c r="B62" s="4" t="str">
        <f t="shared" si="127"/>
        <v>Yes</v>
      </c>
      <c r="C62" s="4" t="str">
        <f>if(B62="Yes", vlookup(A$1, 'Week 5'!$A$1:$H$119, 5, False), "")</f>
        <v>Loss</v>
      </c>
      <c r="D62" s="4">
        <f>vlookup(A57, 'Week 5'!$A$2:$H$119, 3, False)</f>
        <v>14</v>
      </c>
      <c r="E62" s="4">
        <f>vlookup(A57, 'Week 5'!$A$2:$H$119, 6, False)</f>
        <v>8</v>
      </c>
      <c r="F62" s="4">
        <f>vlookup(A57, 'Week 5'!$A$2:$H$119, 7, False)</f>
        <v>1</v>
      </c>
      <c r="G62" s="4">
        <f>vlookup(A57, 'Week 5'!$A$2:$H$119, 4, False)</f>
        <v>5</v>
      </c>
      <c r="H62" s="4">
        <f>vlookup(A57, 'Week 5'!$A$2:$H$119, 5, False)</f>
        <v>0</v>
      </c>
      <c r="I62" s="4">
        <f>vlookup(A57, 'Week 5'!$A$2:$H$119, 8, False)</f>
        <v>26</v>
      </c>
      <c r="J62" s="148">
        <f t="shared" si="128"/>
        <v>0.35</v>
      </c>
      <c r="K62" s="145" t="s">
        <v>146</v>
      </c>
      <c r="L62" s="4" t="str">
        <f t="shared" si="129"/>
        <v>Yes</v>
      </c>
      <c r="M62" s="4" t="str">
        <f>if(L62="Yes", vlookup(K$1, 'Week 5'!$A$1:$H$119, 5, False), "")</f>
        <v>Win</v>
      </c>
      <c r="N62" s="146">
        <f>vlookup(K57, 'Week 5'!$A$2:$H$119, 3, False)</f>
        <v>23</v>
      </c>
      <c r="O62" s="146">
        <f>vlookup(K57, 'Week 5'!$A$2:$H$119, 6, False)</f>
        <v>8</v>
      </c>
      <c r="P62" s="146">
        <f>vlookup(K57, 'Week 5'!$A$2:$H$119, 7, False)</f>
        <v>0</v>
      </c>
      <c r="Q62" s="146">
        <f>vlookup(K57, 'Week 5'!$A$2:$H$119, 4, False)</f>
        <v>14</v>
      </c>
      <c r="R62" s="146">
        <f>vlookup(K57, 'Week 5'!$A$2:$H$119, 5, False)</f>
        <v>1</v>
      </c>
      <c r="S62" s="146">
        <f>vlookup(K57, 'Week 5'!$A$2:$H$119, 8, False)</f>
        <v>20</v>
      </c>
      <c r="T62" s="148">
        <f t="shared" si="130"/>
        <v>0.5348837209</v>
      </c>
      <c r="U62" s="145" t="s">
        <v>146</v>
      </c>
      <c r="V62" s="4" t="str">
        <f t="shared" si="131"/>
        <v/>
      </c>
      <c r="W62" s="4" t="str">
        <f>if(V62="Yes", vlookup(U$1, 'Week 5'!$A$1:$H$119, 5, False), "")</f>
        <v/>
      </c>
      <c r="X62" s="4" t="str">
        <f>vlookup(U57, 'Week 5'!$A$2:$H$119, 3, False)</f>
        <v/>
      </c>
      <c r="Y62" s="4" t="str">
        <f>vlookup(U57, 'Week 5'!$A$2:$H$119, 6, False)</f>
        <v/>
      </c>
      <c r="Z62" s="4" t="str">
        <f>vlookup(U57, 'Week 5'!$A$2:$H$119, 7, False)</f>
        <v/>
      </c>
      <c r="AA62" s="4" t="str">
        <f>vlookup(U57, 'Week 5'!$A$2:$H$119, 4, False)</f>
        <v/>
      </c>
      <c r="AB62" s="4" t="str">
        <f>vlookup(U57, 'Week 5'!$A$2:$H$119, 5, False)</f>
        <v/>
      </c>
      <c r="AC62" s="4" t="str">
        <f>vlookup(U57, 'Week 5'!$A$2:$H$119, 8, False)</f>
        <v/>
      </c>
      <c r="AD62" s="148" t="str">
        <f t="shared" si="132"/>
        <v>#DIV/0!</v>
      </c>
      <c r="AE62" s="145" t="s">
        <v>146</v>
      </c>
      <c r="AF62" s="4" t="str">
        <f t="shared" si="133"/>
        <v>Yes</v>
      </c>
      <c r="AG62" s="4" t="str">
        <f>if(AF62="Yes", vlookup(AE$1, 'Week 5'!$A$1:$H$119, 5, False), "")</f>
        <v>Win</v>
      </c>
      <c r="AH62" s="146">
        <f>vlookup(AE57, 'Week 5'!$A$2:$H$119, 3, False)</f>
        <v>18</v>
      </c>
      <c r="AI62" s="146">
        <f>vlookup(AE57, 'Week 5'!$A$2:$H$119, 6, False)</f>
        <v>11</v>
      </c>
      <c r="AJ62" s="146">
        <f>vlookup(AE57, 'Week 5'!$A$2:$H$119, 7, False)</f>
        <v>2</v>
      </c>
      <c r="AK62" s="146">
        <f>vlookup(AE57, 'Week 5'!$A$2:$H$119, 4, False)</f>
        <v>4</v>
      </c>
      <c r="AL62" s="146">
        <f>vlookup(AE57, 'Week 5'!$A$2:$H$119, 5, False)</f>
        <v>1</v>
      </c>
      <c r="AM62" s="146">
        <f>vlookup(AE57, 'Week 5'!$A$2:$H$119, 8, False)</f>
        <v>31</v>
      </c>
      <c r="AN62" s="148">
        <f t="shared" si="134"/>
        <v>0.3673469388</v>
      </c>
      <c r="AO62" s="145" t="s">
        <v>146</v>
      </c>
      <c r="AP62" s="4" t="str">
        <f t="shared" si="135"/>
        <v/>
      </c>
      <c r="AQ62" s="4" t="str">
        <f>if(AP62="Yes", vlookup(AO$1, 'Week 5'!$A$1:$H$119, 5, False), "")</f>
        <v/>
      </c>
      <c r="AR62" s="146" t="str">
        <f>vlookup(AO57, 'Week 5'!$A$2:$H$119, 3, False)</f>
        <v/>
      </c>
      <c r="AS62" s="146" t="str">
        <f>vlookup(AO57, 'Week 5'!$A$2:$H$119, 6, False)</f>
        <v/>
      </c>
      <c r="AT62" s="146" t="str">
        <f>vlookup(AO57, 'Week 5'!$A$2:$H$119, 7, False)</f>
        <v/>
      </c>
      <c r="AU62" s="146" t="str">
        <f>vlookup(AO57, 'Week 5'!$A$2:$H$119, 4, False)</f>
        <v/>
      </c>
      <c r="AV62" s="146" t="str">
        <f>vlookup(AO57, 'Week 5'!$A$2:$H$119, 5, False)</f>
        <v/>
      </c>
      <c r="AW62" s="146" t="str">
        <f>vlookup(AO57, 'Week 5'!$A$2:$H$119, 8, False)</f>
        <v/>
      </c>
      <c r="AX62" s="148" t="str">
        <f t="shared" si="136"/>
        <v>#DIV/0!</v>
      </c>
      <c r="AY62" s="145" t="s">
        <v>146</v>
      </c>
      <c r="AZ62" s="4" t="str">
        <f t="shared" si="137"/>
        <v/>
      </c>
      <c r="BA62" s="4" t="str">
        <f>if(AZ62="Yes", vlookup(AY$1, 'Week 5'!$A$1:$H$119, 5, False), "")</f>
        <v/>
      </c>
      <c r="BB62" s="4" t="str">
        <f>vlookup(AY57, 'Week 5'!$A$2:$H$119, 3, False)</f>
        <v/>
      </c>
      <c r="BC62" s="4" t="str">
        <f>vlookup(AY57, 'Week 5'!$A$2:$H$119, 6, False)</f>
        <v/>
      </c>
      <c r="BD62" s="4" t="str">
        <f>vlookup(AY57, 'Week 5'!$A$2:$H$119, 7, False)</f>
        <v/>
      </c>
      <c r="BE62" s="4" t="str">
        <f>vlookup(AY57, 'Week 5'!$A$2:$H$119, 4, False)</f>
        <v/>
      </c>
      <c r="BF62" s="4" t="str">
        <f>vlookup(AY57, 'Week 5'!$A$2:$H$119, 5, False)</f>
        <v/>
      </c>
      <c r="BG62" s="4" t="str">
        <f>vlookup(AY57, 'Week 5'!$A$2:$H$119, 8, False)</f>
        <v/>
      </c>
      <c r="BH62" s="148" t="str">
        <f t="shared" si="138"/>
        <v>#DIV/0!</v>
      </c>
      <c r="BI62" s="7"/>
      <c r="BJ62" s="7"/>
      <c r="BK62" s="7"/>
      <c r="BL62" s="7"/>
    </row>
    <row r="63">
      <c r="A63" s="145" t="s">
        <v>148</v>
      </c>
      <c r="B63" s="4" t="str">
        <f t="shared" si="127"/>
        <v>Yes</v>
      </c>
      <c r="C63" s="4" t="str">
        <f>if(B63="Yes", vlookup(A$1, 'Week 6'!$A$1:$H$119, 5, False), "")</f>
        <v>Loss</v>
      </c>
      <c r="D63" s="146">
        <f>vlookup(A57, 'Week 6'!$A$2:$H$119, 3, False)</f>
        <v>16</v>
      </c>
      <c r="E63" s="146">
        <f>vlookup(A57, 'Week 6'!$A$2:$H$119, 6, False)</f>
        <v>11</v>
      </c>
      <c r="F63" s="146">
        <f>vlookup(A57, 'Week 6'!$A$2:$H$119, 7, False)</f>
        <v>0</v>
      </c>
      <c r="G63" s="146">
        <f>vlookup(A57, 'Week 6'!$A$2:$H$119, 4, False)</f>
        <v>5</v>
      </c>
      <c r="H63" s="146">
        <f>vlookup(A57, 'Week 6'!$A$2:$H$119, 5, False)</f>
        <v>0</v>
      </c>
      <c r="I63" s="146">
        <f>vlookup(A57, 'Week 6'!$A$2:$H$119, 8, False)</f>
        <v>24</v>
      </c>
      <c r="J63" s="148">
        <f t="shared" si="128"/>
        <v>0.4</v>
      </c>
      <c r="K63" s="145" t="s">
        <v>148</v>
      </c>
      <c r="L63" s="4" t="str">
        <f t="shared" si="129"/>
        <v>Yes</v>
      </c>
      <c r="M63" s="4" t="str">
        <f>if(L63="Yes", vlookup(K$1, 'Week 6'!$A$1:$H$119, 5, False), "")</f>
        <v>Loss</v>
      </c>
      <c r="N63" s="146">
        <f>vlookup(K57, 'Week 6'!$A$2:$H$119, 3, False)</f>
        <v>20</v>
      </c>
      <c r="O63" s="146">
        <f>vlookup(K57, 'Week 6'!$A$2:$H$119, 6, False)</f>
        <v>13</v>
      </c>
      <c r="P63" s="146">
        <f>vlookup(K57, 'Week 6'!$A$2:$H$119, 7, False)</f>
        <v>0</v>
      </c>
      <c r="Q63" s="146">
        <f>vlookup(K57, 'Week 6'!$A$2:$H$119, 4, False)</f>
        <v>7</v>
      </c>
      <c r="R63" s="146">
        <f>vlookup(K57, 'Week 6'!$A$2:$H$119, 5, False)</f>
        <v>0</v>
      </c>
      <c r="S63" s="146">
        <f>vlookup(K57, 'Week 6'!$A$2:$H$119, 8, False)</f>
        <v>24</v>
      </c>
      <c r="T63" s="148">
        <f t="shared" si="130"/>
        <v>0.4545454545</v>
      </c>
      <c r="U63" s="145" t="s">
        <v>148</v>
      </c>
      <c r="V63" s="4" t="str">
        <f t="shared" si="131"/>
        <v/>
      </c>
      <c r="W63" s="4" t="str">
        <f>if(V63="Yes", vlookup(U$1, 'Week 6'!$A$1:$H$119, 5, False), "")</f>
        <v/>
      </c>
      <c r="X63" s="4" t="str">
        <f>vlookup(U57, 'Week 6'!$A$2:$H$119, 3, False)</f>
        <v/>
      </c>
      <c r="Y63" s="4" t="str">
        <f>vlookup(U57, 'Week 6'!$A$2:$H$119, 6, False)</f>
        <v/>
      </c>
      <c r="Z63" s="4" t="str">
        <f>vlookup(U57, 'Week 6'!$A$2:$H$119, 7, False)</f>
        <v/>
      </c>
      <c r="AA63" s="4" t="str">
        <f>vlookup(U57, 'Week 6'!$A$2:$H$119, 4, False)</f>
        <v/>
      </c>
      <c r="AB63" s="4" t="str">
        <f>vlookup(U57, 'Week 6'!$A$2:$H$119, 5, False)</f>
        <v/>
      </c>
      <c r="AC63" s="4" t="str">
        <f>vlookup(U57, 'Week 6'!$A$2:$H$119, 8, False)</f>
        <v/>
      </c>
      <c r="AD63" s="148" t="str">
        <f t="shared" si="132"/>
        <v>#DIV/0!</v>
      </c>
      <c r="AE63" s="145" t="s">
        <v>148</v>
      </c>
      <c r="AF63" s="4" t="str">
        <f t="shared" si="133"/>
        <v>Yes</v>
      </c>
      <c r="AG63" s="4" t="str">
        <f>if(AF63="Yes", vlookup(AE$1, 'Week 6'!$A$1:$H$119, 5, False), "")</f>
        <v>Win</v>
      </c>
      <c r="AH63" s="146">
        <f>vlookup(AE57, 'Week 6'!$A$2:$H$119, 3, False)</f>
        <v>18</v>
      </c>
      <c r="AI63" s="146">
        <f>vlookup(AE57, 'Week 6'!$A$2:$H$119, 6, False)</f>
        <v>11</v>
      </c>
      <c r="AJ63" s="146">
        <f>vlookup(AE57, 'Week 6'!$A$2:$H$119, 7, False)</f>
        <v>2</v>
      </c>
      <c r="AK63" s="146">
        <f>vlookup(AE57, 'Week 6'!$A$2:$H$119, 4, False)</f>
        <v>3</v>
      </c>
      <c r="AL63" s="146">
        <f>vlookup(AE57, 'Week 6'!$A$2:$H$119, 5, False)</f>
        <v>2</v>
      </c>
      <c r="AM63" s="146">
        <f>vlookup(AE57, 'Week 6'!$A$2:$H$119, 8, False)</f>
        <v>23</v>
      </c>
      <c r="AN63" s="148">
        <f t="shared" si="134"/>
        <v>0.4390243902</v>
      </c>
      <c r="AO63" s="145" t="s">
        <v>148</v>
      </c>
      <c r="AP63" s="4" t="str">
        <f t="shared" si="135"/>
        <v>Yes</v>
      </c>
      <c r="AQ63" s="4" t="str">
        <f>if(AP63="Yes", vlookup(AO$1, 'Week 6'!$A$1:$H$119, 5, False), "")</f>
        <v>Loss</v>
      </c>
      <c r="AR63" s="4">
        <f>vlookup(AO57, 'Week 6'!$A$2:$H$119, 3, False)</f>
        <v>8</v>
      </c>
      <c r="AS63" s="4">
        <f>vlookup(AO57, 'Week 6'!$A$2:$H$119, 6, False)</f>
        <v>3</v>
      </c>
      <c r="AT63" s="4">
        <f>vlookup(AO57, 'Week 6'!$A$2:$H$119, 7, False)</f>
        <v>0</v>
      </c>
      <c r="AU63" s="4">
        <f>vlookup(AO57, 'Week 6'!$A$2:$H$119, 4, False)</f>
        <v>2</v>
      </c>
      <c r="AV63" s="4">
        <f>vlookup(AO57, 'Week 6'!$A$2:$H$119, 5, False)</f>
        <v>3</v>
      </c>
      <c r="AW63" s="4">
        <f>vlookup(AO57, 'Week 6'!$A$2:$H$119, 8, False)</f>
        <v>35</v>
      </c>
      <c r="AX63" s="148">
        <f t="shared" si="136"/>
        <v>0.1860465116</v>
      </c>
      <c r="AY63" s="145" t="s">
        <v>148</v>
      </c>
      <c r="AZ63" s="4" t="str">
        <f t="shared" si="137"/>
        <v>Yes</v>
      </c>
      <c r="BA63" s="4" t="str">
        <f>if(AZ63="Yes", vlookup(AY$1, 'Week 6'!$A$1:$H$119, 5, False), "")</f>
        <v>Win</v>
      </c>
      <c r="BB63" s="4">
        <f>vlookup(AY57, 'Week 6'!$A$2:$H$119, 3, False)</f>
        <v>18</v>
      </c>
      <c r="BC63" s="4">
        <f>vlookup(AY57, 'Week 6'!$A$2:$H$119, 6, False)</f>
        <v>8</v>
      </c>
      <c r="BD63" s="4">
        <f>vlookup(AY57, 'Week 6'!$A$2:$H$119, 7, False)</f>
        <v>1</v>
      </c>
      <c r="BE63" s="4">
        <f>vlookup(AY57, 'Week 6'!$A$2:$H$119, 4, False)</f>
        <v>9</v>
      </c>
      <c r="BF63" s="4">
        <f>vlookup(AY57, 'Week 6'!$A$2:$H$119, 5, False)</f>
        <v>0</v>
      </c>
      <c r="BG63" s="4">
        <f>vlookup(AY57, 'Week 6'!$A$2:$H$119, 8, False)</f>
        <v>22</v>
      </c>
      <c r="BH63" s="148">
        <f t="shared" si="138"/>
        <v>0.45</v>
      </c>
      <c r="BI63" s="7"/>
      <c r="BJ63" s="7"/>
      <c r="BK63" s="7"/>
      <c r="BL63" s="7"/>
    </row>
    <row r="64">
      <c r="A64" s="145" t="s">
        <v>154</v>
      </c>
      <c r="B64" s="4" t="str">
        <f t="shared" si="127"/>
        <v>Yes</v>
      </c>
      <c r="C64" s="4" t="str">
        <f>if(B64="Yes", vlookup(A$1, 'Week 7'!$A$1:$H$119, 5, False), "")</f>
        <v>Win</v>
      </c>
      <c r="D64" s="146">
        <f>vlookup(A57, 'Week 7'!$A$2:$H$119, 3, False)</f>
        <v>16</v>
      </c>
      <c r="E64" s="146">
        <f>vlookup(A57, 'Week 7'!$A$2:$H$119, 6, False)</f>
        <v>12</v>
      </c>
      <c r="F64" s="146">
        <f>vlookup(A57, 'Week 7'!$A$2:$H$119, 7, False)</f>
        <v>0</v>
      </c>
      <c r="G64" s="146">
        <f>vlookup(A57, 'Week 7'!$A$2:$H$119, 4, False)</f>
        <v>2</v>
      </c>
      <c r="H64" s="146">
        <f>vlookup(A57, 'Week 7'!$A$2:$H$119, 5, False)</f>
        <v>2</v>
      </c>
      <c r="I64" s="146">
        <f>vlookup(A57, 'Week 7'!$A$2:$H$119, 8, False)</f>
        <v>26</v>
      </c>
      <c r="J64" s="148">
        <f t="shared" si="128"/>
        <v>0.380952381</v>
      </c>
      <c r="K64" s="145" t="s">
        <v>154</v>
      </c>
      <c r="L64" s="4" t="str">
        <f t="shared" si="129"/>
        <v/>
      </c>
      <c r="M64" s="4" t="str">
        <f>if(L64="Yes", vlookup(K$1, 'Week 7'!$A$1:$H$119, 5, False), "")</f>
        <v/>
      </c>
      <c r="N64" s="146" t="str">
        <f>vlookup(K57, 'Week 7'!$A$2:$H$119, 3, False)</f>
        <v/>
      </c>
      <c r="O64" s="146" t="str">
        <f>vlookup(K57, 'Week 7'!$A$2:$H$119, 6, False)</f>
        <v/>
      </c>
      <c r="P64" s="146" t="str">
        <f>vlookup(K57, 'Week 7'!$A$2:$H$119, 7, False)</f>
        <v/>
      </c>
      <c r="Q64" s="146" t="str">
        <f>vlookup(K57, 'Week 7'!$A$2:$H$119, 4, False)</f>
        <v/>
      </c>
      <c r="R64" s="146" t="str">
        <f>vlookup(K57, 'Week 7'!$A$2:$H$119, 5, False)</f>
        <v/>
      </c>
      <c r="S64" s="146" t="str">
        <f>vlookup(K57, 'Week 7'!$A$2:$H$119, 8, False)</f>
        <v/>
      </c>
      <c r="T64" s="148" t="str">
        <f t="shared" si="130"/>
        <v>#DIV/0!</v>
      </c>
      <c r="U64" s="145" t="s">
        <v>154</v>
      </c>
      <c r="V64" s="4" t="str">
        <f t="shared" si="131"/>
        <v/>
      </c>
      <c r="W64" s="4" t="str">
        <f>if(V64="Yes", vlookup(U$1, 'Week 7'!$A$1:$H$119, 5, False), "")</f>
        <v/>
      </c>
      <c r="X64" s="146" t="str">
        <f>vlookup(U57, 'Week 7'!$A$2:$H$119, 3, False)</f>
        <v/>
      </c>
      <c r="Y64" s="146" t="str">
        <f>vlookup(U57, 'Week 7'!$A$2:$H$119, 6, False)</f>
        <v/>
      </c>
      <c r="Z64" s="146" t="str">
        <f>vlookup(U57, 'Week 7'!$A$2:$H$119, 7, False)</f>
        <v/>
      </c>
      <c r="AA64" s="146" t="str">
        <f>vlookup(U57, 'Week 7'!$A$2:$H$119, 4, False)</f>
        <v/>
      </c>
      <c r="AB64" s="146" t="str">
        <f>vlookup(U57, 'Week 7'!$A$2:$H$119, 5, False)</f>
        <v/>
      </c>
      <c r="AC64" s="146" t="str">
        <f>vlookup(U57, 'Week 7'!$A$2:$H$119, 8, False)</f>
        <v/>
      </c>
      <c r="AD64" s="148" t="str">
        <f t="shared" si="132"/>
        <v>#DIV/0!</v>
      </c>
      <c r="AE64" s="145" t="s">
        <v>154</v>
      </c>
      <c r="AF64" s="4" t="str">
        <f t="shared" si="133"/>
        <v/>
      </c>
      <c r="AG64" s="4" t="str">
        <f>if(AF64="Yes", vlookup(AE$1, 'Week 7'!$A$1:$H$119, 5, False), "")</f>
        <v/>
      </c>
      <c r="AH64" s="146" t="str">
        <f>vlookup(AE57, 'Week 7'!$A$2:$H$119, 3, False)</f>
        <v/>
      </c>
      <c r="AI64" s="146" t="str">
        <f>vlookup(AE57, 'Week 7'!$A$2:$H$119, 6, False)</f>
        <v/>
      </c>
      <c r="AJ64" s="146" t="str">
        <f>vlookup(AE57, 'Week 7'!$A$2:$H$119, 7, False)</f>
        <v/>
      </c>
      <c r="AK64" s="146" t="str">
        <f>vlookup(AE57, 'Week 7'!$A$2:$H$119, 4, False)</f>
        <v/>
      </c>
      <c r="AL64" s="146" t="str">
        <f>vlookup(AE57, 'Week 7'!$A$2:$H$119, 5, False)</f>
        <v/>
      </c>
      <c r="AM64" s="146" t="str">
        <f>vlookup(AE57, 'Week 7'!$A$2:$H$119, 8, False)</f>
        <v/>
      </c>
      <c r="AN64" s="148" t="str">
        <f t="shared" si="134"/>
        <v>#DIV/0!</v>
      </c>
      <c r="AO64" s="145" t="s">
        <v>154</v>
      </c>
      <c r="AP64" s="4" t="str">
        <f t="shared" si="135"/>
        <v/>
      </c>
      <c r="AQ64" s="4" t="str">
        <f>if(AP64="Yes", vlookup(AO$1, 'Week 7'!$A$1:$H$119, 5, False), "")</f>
        <v/>
      </c>
      <c r="AR64" s="4" t="str">
        <f>vlookup(AO57, 'Week 7'!$A$2:$H$119, 3, False)</f>
        <v/>
      </c>
      <c r="AS64" s="4" t="str">
        <f>vlookup(AO57, 'Week 7'!$A$2:$H$119, 6, False)</f>
        <v/>
      </c>
      <c r="AT64" s="4" t="str">
        <f>vlookup(AO57, 'Week 7'!$A$2:$H$119, 7, False)</f>
        <v/>
      </c>
      <c r="AU64" s="4" t="str">
        <f>vlookup(AO57, 'Week 7'!$A$2:$H$119, 4, False)</f>
        <v/>
      </c>
      <c r="AV64" s="4" t="str">
        <f>vlookup(AO57, 'Week 7'!$A$2:$H$119, 5, False)</f>
        <v/>
      </c>
      <c r="AW64" s="4" t="str">
        <f>vlookup(AO57, 'Week 7'!$A$2:$H$119, 8, False)</f>
        <v/>
      </c>
      <c r="AX64" s="148" t="str">
        <f t="shared" si="136"/>
        <v>#DIV/0!</v>
      </c>
      <c r="AY64" s="145" t="s">
        <v>154</v>
      </c>
      <c r="AZ64" s="4" t="str">
        <f t="shared" si="137"/>
        <v>Yes</v>
      </c>
      <c r="BA64" s="4" t="str">
        <f>if(AZ64="Yes", vlookup(AY$1, 'Week 7'!$A$1:$H$119, 5, False), "")</f>
        <v>Win</v>
      </c>
      <c r="BB64" s="4">
        <f>vlookup(AY57, 'Week 7'!$A$2:$H$119, 3, False)</f>
        <v>16</v>
      </c>
      <c r="BC64" s="4">
        <f>vlookup(AY57, 'Week 7'!$A$2:$H$119, 6, False)</f>
        <v>9</v>
      </c>
      <c r="BD64" s="4">
        <f>vlookup(AY57, 'Week 7'!$A$2:$H$119, 7, False)</f>
        <v>2</v>
      </c>
      <c r="BE64" s="4">
        <f>vlookup(AY57, 'Week 7'!$A$2:$H$119, 4, False)</f>
        <v>5</v>
      </c>
      <c r="BF64" s="4">
        <f>vlookup(AY57, 'Week 7'!$A$2:$H$119, 5, False)</f>
        <v>0</v>
      </c>
      <c r="BG64" s="4">
        <f>vlookup(AY57, 'Week 7'!$A$2:$H$119, 8, False)</f>
        <v>25</v>
      </c>
      <c r="BH64" s="148">
        <f t="shared" si="138"/>
        <v>0.3902439024</v>
      </c>
      <c r="BI64" s="7"/>
      <c r="BJ64" s="7"/>
      <c r="BK64" s="7"/>
      <c r="BL64" s="7"/>
    </row>
    <row r="65">
      <c r="A65" s="145" t="s">
        <v>211</v>
      </c>
      <c r="B65" s="4" t="str">
        <f t="shared" si="127"/>
        <v/>
      </c>
      <c r="C65" s="4" t="str">
        <f>if(B65="Yes", vlookup(A$1, 'Week 1'!$A$1:$H$119, 5, False), "")</f>
        <v/>
      </c>
      <c r="D65" s="4"/>
      <c r="E65" s="4"/>
      <c r="F65" s="4"/>
      <c r="G65" s="4"/>
      <c r="H65" s="4"/>
      <c r="I65" s="4"/>
      <c r="J65" s="123"/>
      <c r="K65" s="145" t="s">
        <v>211</v>
      </c>
      <c r="L65" s="4" t="str">
        <f t="shared" si="129"/>
        <v/>
      </c>
      <c r="M65" s="4" t="str">
        <f>if(L65="Yes", vlookup(K$1, 'Week 1'!$A$1:$H$119, 5, False), "")</f>
        <v/>
      </c>
      <c r="N65" s="4"/>
      <c r="O65" s="4"/>
      <c r="P65" s="4"/>
      <c r="Q65" s="4"/>
      <c r="R65" s="4"/>
      <c r="S65" s="4"/>
      <c r="T65" s="123"/>
      <c r="U65" s="145" t="s">
        <v>211</v>
      </c>
      <c r="V65" s="4" t="str">
        <f t="shared" si="131"/>
        <v/>
      </c>
      <c r="W65" s="4" t="str">
        <f>if(V65="Yes", vlookup(U$1, 'Week 1'!$A$1:$H$119, 5, False), "")</f>
        <v/>
      </c>
      <c r="X65" s="4"/>
      <c r="Y65" s="4"/>
      <c r="Z65" s="4"/>
      <c r="AA65" s="4"/>
      <c r="AB65" s="4"/>
      <c r="AC65" s="4"/>
      <c r="AD65" s="123"/>
      <c r="AE65" s="145" t="s">
        <v>211</v>
      </c>
      <c r="AF65" s="4" t="str">
        <f t="shared" si="133"/>
        <v/>
      </c>
      <c r="AG65" s="4" t="str">
        <f>if(AF65="Yes", vlookup(AE$1, 'Week 1'!$A$1:$H$119, 5, False), "")</f>
        <v/>
      </c>
      <c r="AH65" s="4"/>
      <c r="AI65" s="4"/>
      <c r="AJ65" s="4"/>
      <c r="AK65" s="4"/>
      <c r="AL65" s="4"/>
      <c r="AM65" s="4"/>
      <c r="AN65" s="123"/>
      <c r="AO65" s="145" t="s">
        <v>211</v>
      </c>
      <c r="AP65" s="4" t="str">
        <f t="shared" si="135"/>
        <v/>
      </c>
      <c r="AQ65" s="4" t="str">
        <f>if(AP65="Yes", vlookup(AO$1, 'Week 1'!$A$1:$H$119, 5, False), "")</f>
        <v/>
      </c>
      <c r="AR65" s="4"/>
      <c r="AS65" s="4"/>
      <c r="AT65" s="4"/>
      <c r="AU65" s="4"/>
      <c r="AV65" s="4"/>
      <c r="AW65" s="4"/>
      <c r="AX65" s="123"/>
      <c r="AY65" s="145" t="s">
        <v>211</v>
      </c>
      <c r="AZ65" s="4" t="str">
        <f t="shared" si="137"/>
        <v/>
      </c>
      <c r="BA65" s="4" t="str">
        <f>if(AZ65="Yes", vlookup(AY$1, 'Week 1'!$A$1:$H$119, 5, False), "")</f>
        <v/>
      </c>
      <c r="BB65" s="4"/>
      <c r="BC65" s="4"/>
      <c r="BD65" s="4"/>
      <c r="BE65" s="4"/>
      <c r="BF65" s="4"/>
      <c r="BG65" s="4"/>
      <c r="BH65" s="123"/>
      <c r="BI65" s="7"/>
      <c r="BJ65" s="7"/>
      <c r="BK65" s="7"/>
      <c r="BL65" s="7"/>
    </row>
    <row r="66">
      <c r="A66" s="145" t="s">
        <v>212</v>
      </c>
      <c r="B66" s="4" t="str">
        <f t="shared" si="127"/>
        <v/>
      </c>
      <c r="C66" s="4" t="str">
        <f>if(B66="Yes", vlookup(A$1, 'Week 1'!$A$1:$H$119, 5, False), "")</f>
        <v/>
      </c>
      <c r="D66" s="4"/>
      <c r="E66" s="4"/>
      <c r="F66" s="4"/>
      <c r="G66" s="4"/>
      <c r="H66" s="4"/>
      <c r="I66" s="4"/>
      <c r="J66" s="123"/>
      <c r="K66" s="145" t="s">
        <v>212</v>
      </c>
      <c r="L66" s="4" t="str">
        <f t="shared" si="129"/>
        <v/>
      </c>
      <c r="M66" s="4" t="str">
        <f>if(L66="Yes", vlookup(K$1, 'Week 1'!$A$1:$H$119, 5, False), "")</f>
        <v/>
      </c>
      <c r="N66" s="4"/>
      <c r="O66" s="4"/>
      <c r="P66" s="4"/>
      <c r="Q66" s="4"/>
      <c r="R66" s="4"/>
      <c r="S66" s="4"/>
      <c r="T66" s="123"/>
      <c r="U66" s="145" t="s">
        <v>212</v>
      </c>
      <c r="V66" s="4" t="str">
        <f t="shared" si="131"/>
        <v/>
      </c>
      <c r="W66" s="4" t="str">
        <f>if(V66="Yes", vlookup(U$1, 'Week 1'!$A$1:$H$119, 5, False), "")</f>
        <v/>
      </c>
      <c r="X66" s="4"/>
      <c r="Y66" s="4"/>
      <c r="Z66" s="4"/>
      <c r="AA66" s="4"/>
      <c r="AB66" s="4"/>
      <c r="AC66" s="4"/>
      <c r="AD66" s="123"/>
      <c r="AE66" s="145" t="s">
        <v>212</v>
      </c>
      <c r="AF66" s="4" t="str">
        <f t="shared" si="133"/>
        <v/>
      </c>
      <c r="AG66" s="4" t="str">
        <f>if(AF66="Yes", vlookup(AE$1, 'Week 1'!$A$1:$H$119, 5, False), "")</f>
        <v/>
      </c>
      <c r="AH66" s="4"/>
      <c r="AI66" s="4"/>
      <c r="AJ66" s="4"/>
      <c r="AK66" s="4"/>
      <c r="AL66" s="4"/>
      <c r="AM66" s="4"/>
      <c r="AN66" s="123"/>
      <c r="AO66" s="145" t="s">
        <v>212</v>
      </c>
      <c r="AP66" s="4" t="str">
        <f t="shared" si="135"/>
        <v/>
      </c>
      <c r="AQ66" s="4" t="str">
        <f>if(AP66="Yes", vlookup(AO$1, 'Week 1'!$A$1:$H$119, 5, False), "")</f>
        <v/>
      </c>
      <c r="AR66" s="4"/>
      <c r="AS66" s="4"/>
      <c r="AT66" s="4"/>
      <c r="AU66" s="4"/>
      <c r="AV66" s="4"/>
      <c r="AW66" s="4"/>
      <c r="AX66" s="123"/>
      <c r="AY66" s="145" t="s">
        <v>212</v>
      </c>
      <c r="AZ66" s="4" t="str">
        <f t="shared" si="137"/>
        <v/>
      </c>
      <c r="BA66" s="4" t="str">
        <f>if(AZ66="Yes", vlookup(AY$1, 'Week 1'!$A$1:$H$119, 5, False), "")</f>
        <v/>
      </c>
      <c r="BB66" s="4"/>
      <c r="BC66" s="4"/>
      <c r="BD66" s="4"/>
      <c r="BE66" s="4"/>
      <c r="BF66" s="4"/>
      <c r="BG66" s="4"/>
      <c r="BH66" s="123"/>
      <c r="BI66" s="7"/>
      <c r="BJ66" s="7"/>
      <c r="BK66" s="7"/>
      <c r="BL66" s="7"/>
    </row>
    <row r="67">
      <c r="A67" s="2" t="s">
        <v>213</v>
      </c>
      <c r="B67" s="149">
        <f>countif(B58:B66, "Yes")</f>
        <v>6</v>
      </c>
      <c r="C67" s="150">
        <f>countif(C58:C66, "Win")/(countif(C58:C66, "Win")+countif(C58:C66, "Loss"))</f>
        <v>0.5</v>
      </c>
      <c r="D67" s="151">
        <f t="shared" ref="D67:I67" si="139">average(D58:D66)</f>
        <v>18.66666667</v>
      </c>
      <c r="E67" s="151">
        <f t="shared" si="139"/>
        <v>12</v>
      </c>
      <c r="F67" s="151">
        <f t="shared" si="139"/>
        <v>0.6666666667</v>
      </c>
      <c r="G67" s="151">
        <f t="shared" si="139"/>
        <v>5</v>
      </c>
      <c r="H67" s="151">
        <f t="shared" si="139"/>
        <v>1</v>
      </c>
      <c r="I67" s="152">
        <f t="shared" si="139"/>
        <v>24.66666667</v>
      </c>
      <c r="J67" s="153">
        <f>D67/(I67+D67)</f>
        <v>0.4307692308</v>
      </c>
      <c r="K67" s="2" t="s">
        <v>213</v>
      </c>
      <c r="L67" s="149">
        <f>countif(L58:L66, "Yes")</f>
        <v>4</v>
      </c>
      <c r="M67" s="150">
        <f>countif(M58:M66, "Win")/(countif(M58:M66, "Win")+countif(M58:M66, "Loss"))</f>
        <v>0.5</v>
      </c>
      <c r="N67" s="151">
        <f t="shared" ref="N67:S67" si="140">average(N58:N66)</f>
        <v>16.75</v>
      </c>
      <c r="O67" s="151">
        <f t="shared" si="140"/>
        <v>7.75</v>
      </c>
      <c r="P67" s="151">
        <f t="shared" si="140"/>
        <v>0.5</v>
      </c>
      <c r="Q67" s="151">
        <f t="shared" si="140"/>
        <v>10</v>
      </c>
      <c r="R67" s="151">
        <f t="shared" si="140"/>
        <v>0.5</v>
      </c>
      <c r="S67" s="152">
        <f t="shared" si="140"/>
        <v>23</v>
      </c>
      <c r="T67" s="153">
        <f>N67/(S67+N67)</f>
        <v>0.4213836478</v>
      </c>
      <c r="U67" s="2" t="s">
        <v>213</v>
      </c>
      <c r="V67" s="149">
        <f>countif(V58:V66, "Yes")</f>
        <v>2</v>
      </c>
      <c r="W67" s="150">
        <f>countif(W58:W66, "Win")/(countif(W58:W66, "Win")+countif(W58:W66, "Loss"))</f>
        <v>0</v>
      </c>
      <c r="X67" s="151">
        <f t="shared" ref="X67:AC67" si="141">average(X58:X66)</f>
        <v>10</v>
      </c>
      <c r="Y67" s="151">
        <f t="shared" si="141"/>
        <v>5.5</v>
      </c>
      <c r="Z67" s="151">
        <f t="shared" si="141"/>
        <v>0</v>
      </c>
      <c r="AA67" s="151">
        <f t="shared" si="141"/>
        <v>3.5</v>
      </c>
      <c r="AB67" s="151">
        <f t="shared" si="141"/>
        <v>1</v>
      </c>
      <c r="AC67" s="152">
        <f t="shared" si="141"/>
        <v>30</v>
      </c>
      <c r="AD67" s="153">
        <f>X67/(AC67+X67)</f>
        <v>0.25</v>
      </c>
      <c r="AE67" s="2" t="s">
        <v>213</v>
      </c>
      <c r="AF67" s="149">
        <f>countif(AF58:AF66, "Yes")</f>
        <v>6</v>
      </c>
      <c r="AG67" s="150">
        <f>countif(AG58:AG66, "Win")/(countif(AG58:AG66, "Win")+countif(AG58:AG66, "Loss"))</f>
        <v>0.8333333333</v>
      </c>
      <c r="AH67" s="151">
        <f t="shared" ref="AH67:AM67" si="142">average(AH58:AH66)</f>
        <v>15.5</v>
      </c>
      <c r="AI67" s="151">
        <f t="shared" si="142"/>
        <v>9</v>
      </c>
      <c r="AJ67" s="151">
        <f t="shared" si="142"/>
        <v>1.333333333</v>
      </c>
      <c r="AK67" s="151">
        <f t="shared" si="142"/>
        <v>4.166666667</v>
      </c>
      <c r="AL67" s="151">
        <f t="shared" si="142"/>
        <v>1</v>
      </c>
      <c r="AM67" s="152">
        <f t="shared" si="142"/>
        <v>27.16666667</v>
      </c>
      <c r="AN67" s="153">
        <f>AH67/(AM67+AH67)</f>
        <v>0.36328125</v>
      </c>
      <c r="AO67" s="2" t="s">
        <v>213</v>
      </c>
      <c r="AP67" s="149">
        <f>countif(AP58:AP66, "Yes")</f>
        <v>2</v>
      </c>
      <c r="AQ67" s="150">
        <f>countif(AQ58:AQ66, "Win")/(countif(AQ58:AQ66, "Win")+countif(AQ58:AQ66, "Loss"))</f>
        <v>0</v>
      </c>
      <c r="AR67" s="151">
        <f t="shared" ref="AR67:AW67" si="143">average(AR58:AR66)</f>
        <v>12</v>
      </c>
      <c r="AS67" s="151">
        <f t="shared" si="143"/>
        <v>6</v>
      </c>
      <c r="AT67" s="151">
        <f t="shared" si="143"/>
        <v>0</v>
      </c>
      <c r="AU67" s="151">
        <f t="shared" si="143"/>
        <v>4.5</v>
      </c>
      <c r="AV67" s="151">
        <f t="shared" si="143"/>
        <v>1.5</v>
      </c>
      <c r="AW67" s="152">
        <f t="shared" si="143"/>
        <v>32.5</v>
      </c>
      <c r="AX67" s="153">
        <f>AR67/(AW67+AR67)</f>
        <v>0.2696629213</v>
      </c>
      <c r="AY67" s="2" t="s">
        <v>213</v>
      </c>
      <c r="AZ67" s="149">
        <f>countif(AZ58:AZ66, "Yes")</f>
        <v>6</v>
      </c>
      <c r="BA67" s="150">
        <f>countif(BA58:BA66, "Win")/(countif(BA58:BA66, "Win")+countif(BA58:BA66, "Loss"))</f>
        <v>0.8333333333</v>
      </c>
      <c r="BB67" s="151">
        <f t="shared" ref="BB67:BG67" si="144">average(BB58:BB66)</f>
        <v>15.66666667</v>
      </c>
      <c r="BC67" s="151">
        <f t="shared" si="144"/>
        <v>6.5</v>
      </c>
      <c r="BD67" s="151">
        <f t="shared" si="144"/>
        <v>0.6666666667</v>
      </c>
      <c r="BE67" s="151">
        <f t="shared" si="144"/>
        <v>8.333333333</v>
      </c>
      <c r="BF67" s="151">
        <f t="shared" si="144"/>
        <v>0.1666666667</v>
      </c>
      <c r="BG67" s="152">
        <f t="shared" si="144"/>
        <v>26.33333333</v>
      </c>
      <c r="BH67" s="153">
        <f>BB67/(BG67+BB67)</f>
        <v>0.373015873</v>
      </c>
      <c r="BI67" s="7"/>
      <c r="BJ67" s="7"/>
      <c r="BK67" s="7"/>
      <c r="BL67" s="7"/>
    </row>
    <row r="68">
      <c r="A68" s="154" t="str">
        <f>Draft!B51</f>
        <v>SoHo</v>
      </c>
      <c r="B68" s="124">
        <f t="shared" ref="B68:J68" si="145">B78</f>
        <v>4</v>
      </c>
      <c r="C68" s="136">
        <f t="shared" si="145"/>
        <v>0.5</v>
      </c>
      <c r="D68" s="137">
        <f t="shared" si="145"/>
        <v>16.5</v>
      </c>
      <c r="E68" s="137">
        <f t="shared" si="145"/>
        <v>5.25</v>
      </c>
      <c r="F68" s="137">
        <f t="shared" si="145"/>
        <v>0.75</v>
      </c>
      <c r="G68" s="137">
        <f t="shared" si="145"/>
        <v>10.5</v>
      </c>
      <c r="H68" s="137">
        <f t="shared" si="145"/>
        <v>0</v>
      </c>
      <c r="I68" s="138">
        <f t="shared" si="145"/>
        <v>27.75</v>
      </c>
      <c r="J68" s="139">
        <f t="shared" si="145"/>
        <v>0.3728813559</v>
      </c>
      <c r="K68" s="155" t="str">
        <f>Draft!C51</f>
        <v>Somil</v>
      </c>
      <c r="L68" s="124">
        <f t="shared" ref="L68:T68" si="146">L78</f>
        <v>3</v>
      </c>
      <c r="M68" s="136">
        <f t="shared" si="146"/>
        <v>0.6666666667</v>
      </c>
      <c r="N68" s="137">
        <f t="shared" si="146"/>
        <v>13.66666667</v>
      </c>
      <c r="O68" s="137">
        <f t="shared" si="146"/>
        <v>7</v>
      </c>
      <c r="P68" s="137">
        <f t="shared" si="146"/>
        <v>0.6666666667</v>
      </c>
      <c r="Q68" s="137">
        <f t="shared" si="146"/>
        <v>5.666666667</v>
      </c>
      <c r="R68" s="137">
        <f t="shared" si="146"/>
        <v>0.3333333333</v>
      </c>
      <c r="S68" s="138">
        <f t="shared" si="146"/>
        <v>25</v>
      </c>
      <c r="T68" s="139">
        <f t="shared" si="146"/>
        <v>0.3534482759</v>
      </c>
      <c r="U68" s="156" t="str">
        <f>Draft!D51</f>
        <v>Lulu</v>
      </c>
      <c r="V68" s="124">
        <f t="shared" ref="V68:AD68" si="147">V78</f>
        <v>3</v>
      </c>
      <c r="W68" s="136">
        <f t="shared" si="147"/>
        <v>0.3333333333</v>
      </c>
      <c r="X68" s="137">
        <f t="shared" si="147"/>
        <v>14.66666667</v>
      </c>
      <c r="Y68" s="137">
        <f t="shared" si="147"/>
        <v>6.333333333</v>
      </c>
      <c r="Z68" s="137">
        <f t="shared" si="147"/>
        <v>0</v>
      </c>
      <c r="AA68" s="137">
        <f t="shared" si="147"/>
        <v>8</v>
      </c>
      <c r="AB68" s="137">
        <f t="shared" si="147"/>
        <v>0.3333333333</v>
      </c>
      <c r="AC68" s="138">
        <f t="shared" si="147"/>
        <v>28.33333333</v>
      </c>
      <c r="AD68" s="139">
        <f t="shared" si="147"/>
        <v>0.3410852713</v>
      </c>
      <c r="AE68" s="157" t="str">
        <f>Draft!E51</f>
        <v>Kyi</v>
      </c>
      <c r="AF68" s="124">
        <f t="shared" ref="AF68:AN68" si="148">AF78</f>
        <v>1</v>
      </c>
      <c r="AG68" s="136">
        <f t="shared" si="148"/>
        <v>1</v>
      </c>
      <c r="AH68" s="137">
        <f t="shared" si="148"/>
        <v>15</v>
      </c>
      <c r="AI68" s="137">
        <f t="shared" si="148"/>
        <v>12</v>
      </c>
      <c r="AJ68" s="137">
        <f t="shared" si="148"/>
        <v>0</v>
      </c>
      <c r="AK68" s="137">
        <f t="shared" si="148"/>
        <v>3</v>
      </c>
      <c r="AL68" s="137">
        <f t="shared" si="148"/>
        <v>0</v>
      </c>
      <c r="AM68" s="138">
        <f t="shared" si="148"/>
        <v>29</v>
      </c>
      <c r="AN68" s="139">
        <f t="shared" si="148"/>
        <v>0.3409090909</v>
      </c>
      <c r="AO68" s="158" t="str">
        <f>Draft!F51</f>
        <v>Derek</v>
      </c>
      <c r="AP68" s="124">
        <f t="shared" ref="AP68:AX68" si="149">AP78</f>
        <v>5</v>
      </c>
      <c r="AQ68" s="136">
        <f t="shared" si="149"/>
        <v>0.2</v>
      </c>
      <c r="AR68" s="137">
        <f t="shared" si="149"/>
        <v>15.6</v>
      </c>
      <c r="AS68" s="137">
        <f t="shared" si="149"/>
        <v>10.6</v>
      </c>
      <c r="AT68" s="137">
        <f t="shared" si="149"/>
        <v>0.8</v>
      </c>
      <c r="AU68" s="137">
        <f t="shared" si="149"/>
        <v>4</v>
      </c>
      <c r="AV68" s="137">
        <f t="shared" si="149"/>
        <v>0.2</v>
      </c>
      <c r="AW68" s="138">
        <f t="shared" si="149"/>
        <v>28.6</v>
      </c>
      <c r="AX68" s="139">
        <f t="shared" si="149"/>
        <v>0.3529411765</v>
      </c>
      <c r="AY68" s="19" t="str">
        <f>Draft!G51</f>
        <v>Petric</v>
      </c>
      <c r="AZ68" s="124">
        <f t="shared" ref="AZ68:BH68" si="150">AZ78</f>
        <v>2</v>
      </c>
      <c r="BA68" s="136">
        <f t="shared" si="150"/>
        <v>0.5</v>
      </c>
      <c r="BB68" s="137">
        <f t="shared" si="150"/>
        <v>12.5</v>
      </c>
      <c r="BC68" s="137">
        <f t="shared" si="150"/>
        <v>9.5</v>
      </c>
      <c r="BD68" s="137">
        <f t="shared" si="150"/>
        <v>0</v>
      </c>
      <c r="BE68" s="137">
        <f t="shared" si="150"/>
        <v>3</v>
      </c>
      <c r="BF68" s="137">
        <f t="shared" si="150"/>
        <v>0</v>
      </c>
      <c r="BG68" s="138">
        <f t="shared" si="150"/>
        <v>25.5</v>
      </c>
      <c r="BH68" s="139">
        <f t="shared" si="150"/>
        <v>0.3289473684</v>
      </c>
      <c r="BI68" s="7"/>
      <c r="BJ68" s="7"/>
      <c r="BK68" s="7"/>
      <c r="BL68" s="7"/>
    </row>
    <row r="69">
      <c r="A69" s="145" t="s">
        <v>133</v>
      </c>
      <c r="B69" s="4" t="str">
        <f t="shared" ref="B69:B77" si="151">if(I69&gt;0, "Yes", "")</f>
        <v/>
      </c>
      <c r="C69" s="4" t="str">
        <f>if(B69="Yes", vlookup(A$1, 'Week 1'!$A$1:$H$119, 5, False), "")</f>
        <v/>
      </c>
      <c r="D69" s="146" t="str">
        <f>vlookup(A68, 'Week 1'!$A$2:$H$119, 3, False)</f>
        <v/>
      </c>
      <c r="E69" s="147" t="str">
        <f>vlookup(A68, 'Week 1'!$A$2:$H$119, 6, False)</f>
        <v/>
      </c>
      <c r="F69" s="147" t="str">
        <f>vlookup(A68, 'Week 1'!$A$2:$H$119, 7, False)</f>
        <v/>
      </c>
      <c r="G69" s="147" t="str">
        <f>vlookup(A68, 'Week 1'!$A$2:$H$119, 4, False)</f>
        <v/>
      </c>
      <c r="H69" s="147" t="str">
        <f>vlookup(A68, 'Week 1'!$A$2:$H$119, 5, False)</f>
        <v/>
      </c>
      <c r="I69" s="147" t="str">
        <f>vlookup(A68, 'Week 1'!$A$2:$H$119, 8, False)</f>
        <v/>
      </c>
      <c r="J69" s="148" t="str">
        <f t="shared" ref="J69:J75" si="152">if(D69&gt;0, (D69/(D69+I69)), "")</f>
        <v>#DIV/0!</v>
      </c>
      <c r="K69" s="145" t="s">
        <v>133</v>
      </c>
      <c r="L69" s="4" t="str">
        <f t="shared" ref="L69:L77" si="153">if(S69&gt;0, "Yes", "")</f>
        <v>Yes</v>
      </c>
      <c r="M69" s="4" t="str">
        <f>if(L69="Yes", vlookup(K$1, 'Week 1'!$A$1:$H$119, 5, False), "")</f>
        <v>Win</v>
      </c>
      <c r="N69" s="4">
        <f>vlookup(K68, 'Week 1'!$A$2:$H$119, 3, False)</f>
        <v>17</v>
      </c>
      <c r="O69" s="7">
        <f>vlookup(K68, 'Week 1'!$A$2:$H$119, 6, False)</f>
        <v>11</v>
      </c>
      <c r="P69" s="7">
        <f>vlookup(K68, 'Week 1'!$A$2:$H$119, 7, False)</f>
        <v>2</v>
      </c>
      <c r="Q69" s="7">
        <f>vlookup(K68, 'Week 1'!$A$2:$H$119, 4, False)</f>
        <v>4</v>
      </c>
      <c r="R69" s="7">
        <f>vlookup(K68, 'Week 1'!$A$2:$H$119, 5, False)</f>
        <v>0</v>
      </c>
      <c r="S69" s="7">
        <f>vlookup(K68, 'Week 1'!$A$2:$H$119, 8, False)</f>
        <v>26</v>
      </c>
      <c r="T69" s="148">
        <f t="shared" ref="T69:T75" si="154">if(N69&gt;0, (N69/(N69+S69)), "")</f>
        <v>0.3953488372</v>
      </c>
      <c r="U69" s="145" t="s">
        <v>133</v>
      </c>
      <c r="V69" s="4" t="str">
        <f t="shared" ref="V69:V77" si="155">if(AC69&gt;0, "Yes", "")</f>
        <v/>
      </c>
      <c r="W69" s="4" t="str">
        <f>if(V69="Yes", vlookup(U$1, 'Week 1'!$A$1:$H$119, 5, False), "")</f>
        <v/>
      </c>
      <c r="X69" s="146" t="str">
        <f>vlookup(U68, 'Week 1'!$A$2:$H$119, 3, False)</f>
        <v/>
      </c>
      <c r="Y69" s="147" t="str">
        <f>vlookup(U68, 'Week 1'!$A$2:$H$119, 6, False)</f>
        <v/>
      </c>
      <c r="Z69" s="147" t="str">
        <f>vlookup(U68, 'Week 1'!$A$2:$H$119, 7, False)</f>
        <v/>
      </c>
      <c r="AA69" s="147" t="str">
        <f>vlookup(U68, 'Week 1'!$A$2:$H$119, 4, False)</f>
        <v/>
      </c>
      <c r="AB69" s="147" t="str">
        <f>vlookup(U68, 'Week 1'!$A$2:$H$119, 5, False)</f>
        <v/>
      </c>
      <c r="AC69" s="147" t="str">
        <f>vlookup(U68, 'Week 1'!$A$2:$H$119, 8, False)</f>
        <v/>
      </c>
      <c r="AD69" s="148" t="str">
        <f t="shared" ref="AD69:AD75" si="156">if(X69&gt;0, (X69/(X69+AC69)), "")</f>
        <v>#DIV/0!</v>
      </c>
      <c r="AE69" s="145" t="s">
        <v>133</v>
      </c>
      <c r="AF69" s="4" t="str">
        <f t="shared" ref="AF69:AF77" si="157">if(AM69&gt;0, "Yes", "")</f>
        <v/>
      </c>
      <c r="AG69" s="4" t="str">
        <f>if(AF69="Yes", vlookup(AE$1, 'Week 1'!$A$1:$H$119, 5, False), "")</f>
        <v/>
      </c>
      <c r="AH69" s="146" t="str">
        <f>vlookup(AE68, 'Week 1'!$A$2:$H$119, 3, False)</f>
        <v/>
      </c>
      <c r="AI69" s="147" t="str">
        <f>vlookup(AE68, 'Week 1'!$A$2:$H$119, 6, False)</f>
        <v/>
      </c>
      <c r="AJ69" s="147" t="str">
        <f>vlookup(AE68, 'Week 1'!$A$2:$H$119, 7, False)</f>
        <v/>
      </c>
      <c r="AK69" s="147" t="str">
        <f>vlookup(AE68, 'Week 1'!$A$2:$H$119, 4, False)</f>
        <v/>
      </c>
      <c r="AL69" s="147" t="str">
        <f>vlookup(AE68, 'Week 1'!$A$2:$H$119, 5, False)</f>
        <v/>
      </c>
      <c r="AM69" s="147" t="str">
        <f>vlookup(AE68, 'Week 1'!$A$2:$H$119, 8, False)</f>
        <v/>
      </c>
      <c r="AN69" s="148" t="str">
        <f t="shared" ref="AN69:AN75" si="158">if(AH69&gt;0, (AH69/(AH69+AM69)), "")</f>
        <v>#DIV/0!</v>
      </c>
      <c r="AO69" s="145" t="s">
        <v>133</v>
      </c>
      <c r="AP69" s="4" t="str">
        <f t="shared" ref="AP69:AP77" si="159">if(AW69&gt;0, "Yes", "")</f>
        <v>Yes</v>
      </c>
      <c r="AQ69" s="4" t="str">
        <f>if(AP69="Yes", vlookup(AO$1, 'Week 1'!$A$1:$H$119, 5, False), "")</f>
        <v>Loss</v>
      </c>
      <c r="AR69" s="146">
        <f>vlookup(AO68, 'Week 1'!$A$2:$H$119, 3, False)</f>
        <v>14</v>
      </c>
      <c r="AS69" s="147">
        <f>vlookup(AO68, 'Week 1'!$A$2:$H$119, 6, False)</f>
        <v>10</v>
      </c>
      <c r="AT69" s="147">
        <f>vlookup(AO68, 'Week 1'!$A$2:$H$119, 7, False)</f>
        <v>2</v>
      </c>
      <c r="AU69" s="147">
        <f>vlookup(AO68, 'Week 1'!$A$2:$H$119, 4, False)</f>
        <v>2</v>
      </c>
      <c r="AV69" s="147">
        <f>vlookup(AO68, 'Week 1'!$A$2:$H$119, 5, False)</f>
        <v>0</v>
      </c>
      <c r="AW69" s="147">
        <f>vlookup(AO68, 'Week 1'!$A$2:$H$119, 8, False)</f>
        <v>35</v>
      </c>
      <c r="AX69" s="148">
        <f t="shared" ref="AX69:AX75" si="160">if(AR69&gt;0, (AR69/(AR69+AW69)), "")</f>
        <v>0.2857142857</v>
      </c>
      <c r="AY69" s="145" t="s">
        <v>133</v>
      </c>
      <c r="AZ69" s="4" t="str">
        <f t="shared" ref="AZ69:AZ77" si="161">if(BG69&gt;0, "Yes", "")</f>
        <v/>
      </c>
      <c r="BA69" s="4" t="str">
        <f>if(AZ69="Yes", vlookup(AY$1, 'Week 1'!$A$1:$H$119, 5, False), "")</f>
        <v/>
      </c>
      <c r="BB69" s="4" t="str">
        <f>vlookup(AY68, 'Week 1'!$A$2:$H$119, 3, False)</f>
        <v/>
      </c>
      <c r="BC69" s="7" t="str">
        <f>vlookup(AY68, 'Week 1'!$A$2:$H$119, 6, False)</f>
        <v/>
      </c>
      <c r="BD69" s="7" t="str">
        <f>vlookup(AY68, 'Week 1'!$A$2:$H$119, 7, False)</f>
        <v/>
      </c>
      <c r="BE69" s="7" t="str">
        <f>vlookup(AY68, 'Week 1'!$A$2:$H$119, 4, False)</f>
        <v/>
      </c>
      <c r="BF69" s="7" t="str">
        <f>vlookup(AY68, 'Week 1'!$A$2:$H$119, 5, False)</f>
        <v/>
      </c>
      <c r="BG69" s="7" t="str">
        <f>vlookup(AY68, 'Week 1'!$A$2:$H$119, 8, False)</f>
        <v/>
      </c>
      <c r="BH69" s="148" t="str">
        <f t="shared" ref="BH69:BH75" si="162">if(BB69&gt;0, (BB69/(BB69+BG69)), "")</f>
        <v>#DIV/0!</v>
      </c>
      <c r="BI69" s="7"/>
      <c r="BJ69" s="7"/>
      <c r="BK69" s="7"/>
      <c r="BL69" s="7"/>
    </row>
    <row r="70">
      <c r="A70" s="145" t="s">
        <v>135</v>
      </c>
      <c r="B70" s="4" t="str">
        <f t="shared" si="151"/>
        <v>Yes</v>
      </c>
      <c r="C70" s="4" t="str">
        <f>if(B70="Yes", vlookup(A$1, 'Week 2'!$A$1:$H$119, 5, False), "")</f>
        <v>Loss</v>
      </c>
      <c r="D70" s="146">
        <f>vlookup(A68, 'Week 2'!$A$2:$H$119, 3, False)</f>
        <v>16</v>
      </c>
      <c r="E70" s="146">
        <f>vlookup(A68, 'Week 2'!$A$2:$H$119, 6, False)</f>
        <v>8</v>
      </c>
      <c r="F70" s="146">
        <f>vlookup(A68, 'Week 2'!$A$2:$H$119, 7, False)</f>
        <v>0</v>
      </c>
      <c r="G70" s="146">
        <f>vlookup(A68, 'Week 2'!$A$2:$H$119, 4, False)</f>
        <v>8</v>
      </c>
      <c r="H70" s="146">
        <f>vlookup(A68, 'Week 2'!$A$2:$H$119, 5, False)</f>
        <v>0</v>
      </c>
      <c r="I70" s="146">
        <f>vlookup(A68, 'Week 2'!$A$2:$H$119, 8, False)</f>
        <v>28</v>
      </c>
      <c r="J70" s="148">
        <f t="shared" si="152"/>
        <v>0.3636363636</v>
      </c>
      <c r="K70" s="145" t="s">
        <v>135</v>
      </c>
      <c r="L70" s="4" t="str">
        <f t="shared" si="153"/>
        <v/>
      </c>
      <c r="M70" s="4" t="str">
        <f>if(L70="Yes", vlookup(K$1, 'Week 2'!$A$1:$H$119, 5, False), "")</f>
        <v/>
      </c>
      <c r="N70" s="146" t="str">
        <f>vlookup(K68, 'Week 2'!$A$2:$H$119, 3, False)</f>
        <v/>
      </c>
      <c r="O70" s="146" t="str">
        <f>vlookup(K68, 'Week 2'!$A$2:$H$119, 6, False)</f>
        <v/>
      </c>
      <c r="P70" s="146" t="str">
        <f>vlookup(K68, 'Week 2'!$A$2:$H$119, 7, False)</f>
        <v/>
      </c>
      <c r="Q70" s="146" t="str">
        <f>vlookup(K68, 'Week 2'!$A$2:$H$119, 4, False)</f>
        <v/>
      </c>
      <c r="R70" s="146" t="str">
        <f>vlookup(K68, 'Week 2'!$A$2:$H$119, 5, False)</f>
        <v/>
      </c>
      <c r="S70" s="146" t="str">
        <f>vlookup(K68, 'Week 2'!$A$2:$H$119, 8, False)</f>
        <v/>
      </c>
      <c r="T70" s="148" t="str">
        <f t="shared" si="154"/>
        <v>#DIV/0!</v>
      </c>
      <c r="U70" s="145" t="s">
        <v>135</v>
      </c>
      <c r="V70" s="4" t="str">
        <f t="shared" si="155"/>
        <v/>
      </c>
      <c r="W70" s="4" t="str">
        <f>if(V70="Yes", vlookup(U$1, 'Week 2'!$A$1:$H$119, 5, False), "")</f>
        <v/>
      </c>
      <c r="X70" s="4" t="str">
        <f>vlookup(U68, 'Week 2'!$A$2:$H$119, 3, False)</f>
        <v/>
      </c>
      <c r="Y70" s="4" t="str">
        <f>vlookup(U68, 'Week 2'!$A$2:$H$119, 6, False)</f>
        <v/>
      </c>
      <c r="Z70" s="4" t="str">
        <f>vlookup(U68, 'Week 2'!$A$2:$H$119, 7, False)</f>
        <v/>
      </c>
      <c r="AA70" s="4" t="str">
        <f>vlookup(U68, 'Week 2'!$A$2:$H$119, 4, False)</f>
        <v/>
      </c>
      <c r="AB70" s="4" t="str">
        <f>vlookup(U68, 'Week 2'!$A$2:$H$119, 5, False)</f>
        <v/>
      </c>
      <c r="AC70" s="4" t="str">
        <f>vlookup(U68, 'Week 2'!$A$2:$H$119, 8, False)</f>
        <v/>
      </c>
      <c r="AD70" s="148" t="str">
        <f t="shared" si="156"/>
        <v>#DIV/0!</v>
      </c>
      <c r="AE70" s="145" t="s">
        <v>135</v>
      </c>
      <c r="AF70" s="4" t="str">
        <f t="shared" si="157"/>
        <v/>
      </c>
      <c r="AG70" s="4" t="str">
        <f>if(AF70="Yes", vlookup(AE$1, 'Week 2'!$A$1:$H$119, 5, False), "")</f>
        <v/>
      </c>
      <c r="AH70" s="4" t="str">
        <f>vlookup(AE68, 'Week 2'!$A$2:$H$119, 3, False)</f>
        <v/>
      </c>
      <c r="AI70" s="4" t="str">
        <f>vlookup(AE68, 'Week 2'!$A$2:$H$119, 6, False)</f>
        <v/>
      </c>
      <c r="AJ70" s="4" t="str">
        <f>vlookup(AE68, 'Week 2'!$A$2:$H$119, 7, False)</f>
        <v/>
      </c>
      <c r="AK70" s="4" t="str">
        <f>vlookup(AE68, 'Week 2'!$A$2:$H$119, 4, False)</f>
        <v/>
      </c>
      <c r="AL70" s="4" t="str">
        <f>vlookup(AE68, 'Week 2'!$A$2:$H$119, 5, False)</f>
        <v/>
      </c>
      <c r="AM70" s="4" t="str">
        <f>vlookup(AE68, 'Week 2'!$A$2:$H$119, 8, False)</f>
        <v/>
      </c>
      <c r="AN70" s="148" t="str">
        <f t="shared" si="158"/>
        <v>#DIV/0!</v>
      </c>
      <c r="AO70" s="145" t="s">
        <v>135</v>
      </c>
      <c r="AP70" s="4" t="str">
        <f t="shared" si="159"/>
        <v>Yes</v>
      </c>
      <c r="AQ70" s="4" t="str">
        <f>if(AP70="Yes", vlookup(AO$1, 'Week 2'!$A$1:$H$119, 5, False), "")</f>
        <v>Loss</v>
      </c>
      <c r="AR70" s="146">
        <f>vlookup(AO68, 'Week 2'!$A$2:$H$119, 3, False)</f>
        <v>18</v>
      </c>
      <c r="AS70" s="146">
        <f>vlookup(AO68, 'Week 2'!$A$2:$H$119, 6, False)</f>
        <v>13</v>
      </c>
      <c r="AT70" s="146">
        <f>vlookup(AO68, 'Week 2'!$A$2:$H$119, 7, False)</f>
        <v>0</v>
      </c>
      <c r="AU70" s="146">
        <f>vlookup(AO68, 'Week 2'!$A$2:$H$119, 4, False)</f>
        <v>5</v>
      </c>
      <c r="AV70" s="146">
        <f>vlookup(AO68, 'Week 2'!$A$2:$H$119, 5, False)</f>
        <v>0</v>
      </c>
      <c r="AW70" s="146">
        <f>vlookup(AO68, 'Week 2'!$A$2:$H$119, 8, False)</f>
        <v>29</v>
      </c>
      <c r="AX70" s="148">
        <f t="shared" si="160"/>
        <v>0.3829787234</v>
      </c>
      <c r="AY70" s="145" t="s">
        <v>135</v>
      </c>
      <c r="AZ70" s="4" t="str">
        <f t="shared" si="161"/>
        <v/>
      </c>
      <c r="BA70" s="4" t="str">
        <f>if(AZ70="Yes", vlookup(AY$1, 'Week 2'!$A$1:$H$119, 5, False), "")</f>
        <v/>
      </c>
      <c r="BB70" s="4" t="str">
        <f>vlookup(AY68, 'Week 2'!$A$2:$H$119, 3, False)</f>
        <v/>
      </c>
      <c r="BC70" s="4" t="str">
        <f>vlookup(AY68, 'Week 2'!$A$2:$H$119, 6, False)</f>
        <v/>
      </c>
      <c r="BD70" s="4" t="str">
        <f>vlookup(AY68, 'Week 2'!$A$2:$H$119, 7, False)</f>
        <v/>
      </c>
      <c r="BE70" s="4" t="str">
        <f>vlookup(AY68, 'Week 2'!$A$2:$H$119, 4, False)</f>
        <v/>
      </c>
      <c r="BF70" s="4" t="str">
        <f>vlookup(AY68, 'Week 2'!$A$2:$H$119, 5, False)</f>
        <v/>
      </c>
      <c r="BG70" s="4" t="str">
        <f>vlookup(AY68, 'Week 2'!$A$2:$H$119, 8, False)</f>
        <v/>
      </c>
      <c r="BH70" s="148" t="str">
        <f t="shared" si="162"/>
        <v>#DIV/0!</v>
      </c>
      <c r="BI70" s="7"/>
      <c r="BJ70" s="7"/>
      <c r="BK70" s="7"/>
      <c r="BL70" s="7"/>
    </row>
    <row r="71">
      <c r="A71" s="145" t="s">
        <v>140</v>
      </c>
      <c r="B71" s="4" t="str">
        <f t="shared" si="151"/>
        <v/>
      </c>
      <c r="C71" s="4" t="str">
        <f>if(B71="Yes", vlookup(A$1, 'Week 3'!$A$1:$H$119, 5, False), "")</f>
        <v/>
      </c>
      <c r="D71" s="146" t="str">
        <f>vlookup(A68, 'Week 3'!$A$2:$H$119, 3, False)</f>
        <v/>
      </c>
      <c r="E71" s="146" t="str">
        <f>vlookup(A68, 'Week 3'!$A$2:$H$119, 6, False)</f>
        <v/>
      </c>
      <c r="F71" s="146" t="str">
        <f>vlookup(A68, 'Week 3'!$A$2:$H$119, 7, False)</f>
        <v/>
      </c>
      <c r="G71" s="146" t="str">
        <f>vlookup(A68, 'Week 3'!$A$2:$H$119, 4, False)</f>
        <v/>
      </c>
      <c r="H71" s="146" t="str">
        <f>vlookup(A68, 'Week 3'!$A$2:$H$119, 5, False)</f>
        <v/>
      </c>
      <c r="I71" s="146" t="str">
        <f>vlookup(A68, 'Week 3'!$A$2:$H$119, 8, False)</f>
        <v/>
      </c>
      <c r="J71" s="148" t="str">
        <f t="shared" si="152"/>
        <v>#DIV/0!</v>
      </c>
      <c r="K71" s="145" t="s">
        <v>140</v>
      </c>
      <c r="L71" s="4" t="str">
        <f t="shared" si="153"/>
        <v>Yes</v>
      </c>
      <c r="M71" s="4" t="str">
        <f>if(L71="Yes", vlookup(K$1, 'Week 3'!$A$1:$H$119, 5, False), "")</f>
        <v>Win</v>
      </c>
      <c r="N71" s="146">
        <f>vlookup(K68, 'Week 3'!$A$2:$H$119, 3, False)</f>
        <v>10</v>
      </c>
      <c r="O71" s="146">
        <f>vlookup(K68, 'Week 3'!$A$2:$H$119, 6, False)</f>
        <v>6</v>
      </c>
      <c r="P71" s="146">
        <f>vlookup(K68, 'Week 3'!$A$2:$H$119, 7, False)</f>
        <v>0</v>
      </c>
      <c r="Q71" s="146">
        <f>vlookup(K68, 'Week 3'!$A$2:$H$119, 4, False)</f>
        <v>4</v>
      </c>
      <c r="R71" s="146">
        <f>vlookup(K68, 'Week 3'!$A$2:$H$119, 5, False)</f>
        <v>0</v>
      </c>
      <c r="S71" s="146">
        <f>vlookup(K68, 'Week 3'!$A$2:$H$119, 8, False)</f>
        <v>24</v>
      </c>
      <c r="T71" s="148">
        <f t="shared" si="154"/>
        <v>0.2941176471</v>
      </c>
      <c r="U71" s="145" t="s">
        <v>140</v>
      </c>
      <c r="V71" s="4" t="str">
        <f t="shared" si="155"/>
        <v>Yes</v>
      </c>
      <c r="W71" s="4" t="str">
        <f>if(V71="Yes", vlookup(U$1, 'Week 3'!$A$1:$H$119, 5, False), "")</f>
        <v>Loss</v>
      </c>
      <c r="X71" s="4">
        <f>vlookup(U68, 'Week 3'!$A$2:$H$119, 3, False)</f>
        <v>17</v>
      </c>
      <c r="Y71" s="4">
        <f>vlookup(U68, 'Week 3'!$A$2:$H$119, 6, False)</f>
        <v>7</v>
      </c>
      <c r="Z71" s="4">
        <f>vlookup(U68, 'Week 3'!$A$2:$H$119, 7, False)</f>
        <v>0</v>
      </c>
      <c r="AA71" s="4">
        <f>vlookup(U68, 'Week 3'!$A$2:$H$119, 4, False)</f>
        <v>9</v>
      </c>
      <c r="AB71" s="4">
        <f>vlookup(U68, 'Week 3'!$A$2:$H$119, 5, False)</f>
        <v>1</v>
      </c>
      <c r="AC71" s="4">
        <f>vlookup(U68, 'Week 3'!$A$2:$H$119, 8, False)</f>
        <v>22</v>
      </c>
      <c r="AD71" s="148">
        <f t="shared" si="156"/>
        <v>0.4358974359</v>
      </c>
      <c r="AE71" s="145" t="s">
        <v>140</v>
      </c>
      <c r="AF71" s="4" t="str">
        <f t="shared" si="157"/>
        <v/>
      </c>
      <c r="AG71" s="4" t="str">
        <f>if(AF71="Yes", vlookup(AE$1, 'Week 3'!$A$1:$H$119, 5, False), "")</f>
        <v/>
      </c>
      <c r="AH71" s="146" t="str">
        <f>vlookup(AE68, 'Week 3'!$A$2:$H$119, 3, False)</f>
        <v/>
      </c>
      <c r="AI71" s="146" t="str">
        <f>vlookup(AE68, 'Week 3'!$A$2:$H$119, 6, False)</f>
        <v/>
      </c>
      <c r="AJ71" s="146" t="str">
        <f>vlookup(AE68, 'Week 3'!$A$2:$H$119, 7, False)</f>
        <v/>
      </c>
      <c r="AK71" s="146" t="str">
        <f>vlookup(AE68, 'Week 3'!$A$2:$H$119, 4, False)</f>
        <v/>
      </c>
      <c r="AL71" s="146" t="str">
        <f>vlookup(AE68, 'Week 3'!$A$2:$H$119, 5, False)</f>
        <v/>
      </c>
      <c r="AM71" s="146" t="str">
        <f>vlookup(AE68, 'Week 3'!$A$2:$H$119, 8, False)</f>
        <v/>
      </c>
      <c r="AN71" s="148" t="str">
        <f t="shared" si="158"/>
        <v>#DIV/0!</v>
      </c>
      <c r="AO71" s="145" t="s">
        <v>140</v>
      </c>
      <c r="AP71" s="4" t="str">
        <f t="shared" si="159"/>
        <v>Yes</v>
      </c>
      <c r="AQ71" s="4" t="str">
        <f>if(AP71="Yes", vlookup(AO$1, 'Week 3'!$A$1:$H$119, 5, False), "")</f>
        <v>Loss</v>
      </c>
      <c r="AR71" s="4">
        <f>vlookup(AO68, 'Week 3'!$A$2:$H$119, 3, False)</f>
        <v>12</v>
      </c>
      <c r="AS71" s="4">
        <f>vlookup(AO68, 'Week 3'!$A$2:$H$119, 6, False)</f>
        <v>9</v>
      </c>
      <c r="AT71" s="4">
        <f>vlookup(AO68, 'Week 3'!$A$2:$H$119, 7, False)</f>
        <v>1</v>
      </c>
      <c r="AU71" s="4">
        <f>vlookup(AO68, 'Week 3'!$A$2:$H$119, 4, False)</f>
        <v>2</v>
      </c>
      <c r="AV71" s="4">
        <f>vlookup(AO68, 'Week 3'!$A$2:$H$119, 5, False)</f>
        <v>0</v>
      </c>
      <c r="AW71" s="4">
        <f>vlookup(AO68, 'Week 3'!$A$2:$H$119, 8, False)</f>
        <v>24</v>
      </c>
      <c r="AX71" s="148">
        <f t="shared" si="160"/>
        <v>0.3333333333</v>
      </c>
      <c r="AY71" s="145" t="s">
        <v>140</v>
      </c>
      <c r="AZ71" s="4" t="str">
        <f t="shared" si="161"/>
        <v/>
      </c>
      <c r="BA71" s="4" t="str">
        <f>if(AZ71="Yes", vlookup(AY$1, 'Week 3'!$A$1:$H$119, 5, False), "")</f>
        <v/>
      </c>
      <c r="BB71" s="4" t="str">
        <f>vlookup(AY68, 'Week 3'!$A$2:$H$119, 3, False)</f>
        <v/>
      </c>
      <c r="BC71" s="4" t="str">
        <f>vlookup(AY68, 'Week 3'!$A$2:$H$119, 6, False)</f>
        <v/>
      </c>
      <c r="BD71" s="4" t="str">
        <f>vlookup(AY68, 'Week 3'!$A$2:$H$119, 7, False)</f>
        <v/>
      </c>
      <c r="BE71" s="4" t="str">
        <f>vlookup(AY68, 'Week 3'!$A$2:$H$119, 4, False)</f>
        <v/>
      </c>
      <c r="BF71" s="4" t="str">
        <f>vlookup(AY68, 'Week 3'!$A$2:$H$119, 5, False)</f>
        <v/>
      </c>
      <c r="BG71" s="4" t="str">
        <f>vlookup(AY68, 'Week 3'!$A$2:$H$119, 8, False)</f>
        <v/>
      </c>
      <c r="BH71" s="148" t="str">
        <f t="shared" si="162"/>
        <v>#DIV/0!</v>
      </c>
      <c r="BI71" s="7"/>
      <c r="BJ71" s="7"/>
      <c r="BK71" s="7"/>
      <c r="BL71" s="7"/>
    </row>
    <row r="72">
      <c r="A72" s="145" t="s">
        <v>144</v>
      </c>
      <c r="B72" s="4" t="str">
        <f t="shared" si="151"/>
        <v>Yes</v>
      </c>
      <c r="C72" s="4" t="str">
        <f>if(B72="Yes", vlookup(A$1, 'Week 4'!$A$1:$H$119, 5, False), "")</f>
        <v>Win</v>
      </c>
      <c r="D72" s="146">
        <f>vlookup(A68, 'Week 4'!$A$2:$H$119, 3, False)</f>
        <v>20</v>
      </c>
      <c r="E72" s="146">
        <f>vlookup(A68, 'Week 4'!$A$2:$H$119, 6, False)</f>
        <v>4</v>
      </c>
      <c r="F72" s="146">
        <f>vlookup(A68, 'Week 4'!$A$2:$H$119, 7, False)</f>
        <v>0</v>
      </c>
      <c r="G72" s="146">
        <f>vlookup(A68, 'Week 4'!$A$2:$H$119, 4, False)</f>
        <v>16</v>
      </c>
      <c r="H72" s="146">
        <f>vlookup(A68, 'Week 4'!$A$2:$H$119, 5, False)</f>
        <v>0</v>
      </c>
      <c r="I72" s="146">
        <f>vlookup(A68, 'Week 4'!$A$2:$H$119, 8, False)</f>
        <v>27</v>
      </c>
      <c r="J72" s="148">
        <f t="shared" si="152"/>
        <v>0.4255319149</v>
      </c>
      <c r="K72" s="145" t="s">
        <v>144</v>
      </c>
      <c r="L72" s="4" t="str">
        <f t="shared" si="153"/>
        <v/>
      </c>
      <c r="M72" s="4" t="str">
        <f>if(L72="Yes", vlookup(K$1, 'Week 4'!$A$1:$H$119, 5, False), "")</f>
        <v/>
      </c>
      <c r="N72" s="4" t="str">
        <f>vlookup(K68, 'Week 4'!$A$2:$H$119, 3, False)</f>
        <v/>
      </c>
      <c r="O72" s="4" t="str">
        <f>vlookup(K68, 'Week 4'!$A$2:$H$119, 6, False)</f>
        <v/>
      </c>
      <c r="P72" s="4" t="str">
        <f>vlookup(K68, 'Week 4'!$A$2:$H$119, 7, False)</f>
        <v/>
      </c>
      <c r="Q72" s="4" t="str">
        <f>vlookup(K68, 'Week 4'!$A$2:$H$119, 4, False)</f>
        <v/>
      </c>
      <c r="R72" s="4" t="str">
        <f>vlookup(K68, 'Week 4'!$A$2:$H$119, 5, False)</f>
        <v/>
      </c>
      <c r="S72" s="4" t="str">
        <f>vlookup(K68, 'Week 4'!$A$2:$H$119, 8, False)</f>
        <v/>
      </c>
      <c r="T72" s="148" t="str">
        <f t="shared" si="154"/>
        <v>#DIV/0!</v>
      </c>
      <c r="U72" s="145" t="s">
        <v>144</v>
      </c>
      <c r="V72" s="4" t="str">
        <f t="shared" si="155"/>
        <v>Yes</v>
      </c>
      <c r="W72" s="4" t="str">
        <f>if(V72="Yes", vlookup(U$1, 'Week 4'!$A$1:$H$119, 5, False), "")</f>
        <v>Loss</v>
      </c>
      <c r="X72" s="4">
        <f>vlookup(U68, 'Week 4'!$A$2:$H$119, 3, False)</f>
        <v>13</v>
      </c>
      <c r="Y72" s="4">
        <f>vlookup(U68, 'Week 4'!$A$2:$H$119, 6, False)</f>
        <v>6</v>
      </c>
      <c r="Z72" s="4">
        <f>vlookup(U68, 'Week 4'!$A$2:$H$119, 7, False)</f>
        <v>0</v>
      </c>
      <c r="AA72" s="4">
        <f>vlookup(U68, 'Week 4'!$A$2:$H$119, 4, False)</f>
        <v>7</v>
      </c>
      <c r="AB72" s="4">
        <f>vlookup(U68, 'Week 4'!$A$2:$H$119, 5, False)</f>
        <v>0</v>
      </c>
      <c r="AC72" s="4">
        <f>vlookup(U68, 'Week 4'!$A$2:$H$119, 8, False)</f>
        <v>28</v>
      </c>
      <c r="AD72" s="148">
        <f t="shared" si="156"/>
        <v>0.3170731707</v>
      </c>
      <c r="AE72" s="145" t="s">
        <v>144</v>
      </c>
      <c r="AF72" s="4" t="str">
        <f t="shared" si="157"/>
        <v>Yes</v>
      </c>
      <c r="AG72" s="4" t="str">
        <f>if(AF72="Yes", vlookup(AE$1, 'Week 4'!$A$1:$H$119, 5, False), "")</f>
        <v>Win</v>
      </c>
      <c r="AH72" s="146">
        <f>vlookup(AE68, 'Week 4'!$A$2:$H$119, 3, False)</f>
        <v>15</v>
      </c>
      <c r="AI72" s="146">
        <f>vlookup(AE68, 'Week 4'!$A$2:$H$119, 6, False)</f>
        <v>12</v>
      </c>
      <c r="AJ72" s="146">
        <f>vlookup(AE68, 'Week 4'!$A$2:$H$119, 7, False)</f>
        <v>0</v>
      </c>
      <c r="AK72" s="146">
        <f>vlookup(AE68, 'Week 4'!$A$2:$H$119, 4, False)</f>
        <v>3</v>
      </c>
      <c r="AL72" s="146">
        <f>vlookup(AE68, 'Week 4'!$A$2:$H$119, 5, False)</f>
        <v>0</v>
      </c>
      <c r="AM72" s="146">
        <f>vlookup(AE68, 'Week 4'!$A$2:$H$119, 8, False)</f>
        <v>29</v>
      </c>
      <c r="AN72" s="148">
        <f t="shared" si="158"/>
        <v>0.3409090909</v>
      </c>
      <c r="AO72" s="145" t="s">
        <v>144</v>
      </c>
      <c r="AP72" s="4" t="str">
        <f t="shared" si="159"/>
        <v>Yes</v>
      </c>
      <c r="AQ72" s="4" t="str">
        <f>if(AP72="Yes", vlookup(AO$1, 'Week 4'!$A$1:$H$119, 5, False), "")</f>
        <v>Loss</v>
      </c>
      <c r="AR72" s="4">
        <f>vlookup(AO68, 'Week 4'!$A$2:$H$119, 3, False)</f>
        <v>16</v>
      </c>
      <c r="AS72" s="4">
        <f>vlookup(AO68, 'Week 4'!$A$2:$H$119, 6, False)</f>
        <v>8</v>
      </c>
      <c r="AT72" s="4">
        <f>vlookup(AO68, 'Week 4'!$A$2:$H$119, 7, False)</f>
        <v>1</v>
      </c>
      <c r="AU72" s="4">
        <f>vlookup(AO68, 'Week 4'!$A$2:$H$119, 4, False)</f>
        <v>6</v>
      </c>
      <c r="AV72" s="4">
        <f>vlookup(AO68, 'Week 4'!$A$2:$H$119, 5, False)</f>
        <v>1</v>
      </c>
      <c r="AW72" s="4">
        <f>vlookup(AO68, 'Week 4'!$A$2:$H$119, 8, False)</f>
        <v>30</v>
      </c>
      <c r="AX72" s="148">
        <f t="shared" si="160"/>
        <v>0.347826087</v>
      </c>
      <c r="AY72" s="145" t="s">
        <v>144</v>
      </c>
      <c r="AZ72" s="4" t="str">
        <f t="shared" si="161"/>
        <v>Yes</v>
      </c>
      <c r="BA72" s="4" t="str">
        <f>if(AZ72="Yes", vlookup(AY$1, 'Week 4'!$A$1:$H$119, 5, False), "")</f>
        <v>Loss</v>
      </c>
      <c r="BB72" s="4">
        <f>vlookup(AY68, 'Week 4'!$A$2:$H$119, 3, False)</f>
        <v>11</v>
      </c>
      <c r="BC72" s="4">
        <f>vlookup(AY68, 'Week 4'!$A$2:$H$119, 6, False)</f>
        <v>6</v>
      </c>
      <c r="BD72" s="4">
        <f>vlookup(AY68, 'Week 4'!$A$2:$H$119, 7, False)</f>
        <v>0</v>
      </c>
      <c r="BE72" s="4">
        <f>vlookup(AY68, 'Week 4'!$A$2:$H$119, 4, False)</f>
        <v>5</v>
      </c>
      <c r="BF72" s="4">
        <f>vlookup(AY68, 'Week 4'!$A$2:$H$119, 5, False)</f>
        <v>0</v>
      </c>
      <c r="BG72" s="4">
        <f>vlookup(AY68, 'Week 4'!$A$2:$H$119, 8, False)</f>
        <v>27</v>
      </c>
      <c r="BH72" s="148">
        <f t="shared" si="162"/>
        <v>0.2894736842</v>
      </c>
      <c r="BI72" s="7"/>
      <c r="BJ72" s="7"/>
      <c r="BK72" s="7"/>
      <c r="BL72" s="7"/>
    </row>
    <row r="73">
      <c r="A73" s="145" t="s">
        <v>146</v>
      </c>
      <c r="B73" s="4" t="str">
        <f t="shared" si="151"/>
        <v>Yes</v>
      </c>
      <c r="C73" s="4" t="str">
        <f>if(B73="Yes", vlookup(A$1, 'Week 5'!$A$1:$H$119, 5, False), "")</f>
        <v>Loss</v>
      </c>
      <c r="D73" s="146">
        <f>vlookup(A68, 'Week 5'!$A$2:$H$119, 3, False)</f>
        <v>14</v>
      </c>
      <c r="E73" s="146">
        <f>vlookup(A68, 'Week 5'!$A$2:$H$119, 6, False)</f>
        <v>5</v>
      </c>
      <c r="F73" s="146">
        <f>vlookup(A68, 'Week 5'!$A$2:$H$119, 7, False)</f>
        <v>0</v>
      </c>
      <c r="G73" s="146">
        <f>vlookup(A68, 'Week 5'!$A$2:$H$119, 4, False)</f>
        <v>9</v>
      </c>
      <c r="H73" s="146">
        <f>vlookup(A68, 'Week 5'!$A$2:$H$119, 5, False)</f>
        <v>0</v>
      </c>
      <c r="I73" s="146">
        <f>vlookup(A68, 'Week 5'!$A$2:$H$119, 8, False)</f>
        <v>28</v>
      </c>
      <c r="J73" s="148">
        <f t="shared" si="152"/>
        <v>0.3333333333</v>
      </c>
      <c r="K73" s="145" t="s">
        <v>146</v>
      </c>
      <c r="L73" s="4" t="str">
        <f t="shared" si="153"/>
        <v/>
      </c>
      <c r="M73" s="4" t="str">
        <f>if(L73="Yes", vlookup(K$1, 'Week 5'!$A$1:$H$119, 5, False), "")</f>
        <v/>
      </c>
      <c r="N73" s="146" t="str">
        <f>vlookup(K68, 'Week 5'!$A$2:$H$119, 3, False)</f>
        <v/>
      </c>
      <c r="O73" s="146" t="str">
        <f>vlookup(K68, 'Week 5'!$A$2:$H$119, 6, False)</f>
        <v/>
      </c>
      <c r="P73" s="146" t="str">
        <f>vlookup(K68, 'Week 5'!$A$2:$H$119, 7, False)</f>
        <v/>
      </c>
      <c r="Q73" s="146" t="str">
        <f>vlookup(K68, 'Week 5'!$A$2:$H$119, 4, False)</f>
        <v/>
      </c>
      <c r="R73" s="146" t="str">
        <f>vlookup(K68, 'Week 5'!$A$2:$H$119, 5, False)</f>
        <v/>
      </c>
      <c r="S73" s="146" t="str">
        <f>vlookup(K68, 'Week 5'!$A$2:$H$119, 8, False)</f>
        <v/>
      </c>
      <c r="T73" s="148" t="str">
        <f t="shared" si="154"/>
        <v>#DIV/0!</v>
      </c>
      <c r="U73" s="145" t="s">
        <v>146</v>
      </c>
      <c r="V73" s="4" t="str">
        <f t="shared" si="155"/>
        <v/>
      </c>
      <c r="W73" s="4" t="str">
        <f>if(V73="Yes", vlookup(U$1, 'Week 5'!$A$1:$H$119, 5, False), "")</f>
        <v/>
      </c>
      <c r="X73" s="4" t="str">
        <f>vlookup(U68, 'Week 5'!$A$2:$H$119, 3, False)</f>
        <v/>
      </c>
      <c r="Y73" s="4" t="str">
        <f>vlookup(U68, 'Week 5'!$A$2:$H$119, 6, False)</f>
        <v/>
      </c>
      <c r="Z73" s="4" t="str">
        <f>vlookup(U68, 'Week 5'!$A$2:$H$119, 7, False)</f>
        <v/>
      </c>
      <c r="AA73" s="4" t="str">
        <f>vlookup(U68, 'Week 5'!$A$2:$H$119, 4, False)</f>
        <v/>
      </c>
      <c r="AB73" s="4" t="str">
        <f>vlookup(U68, 'Week 5'!$A$2:$H$119, 5, False)</f>
        <v/>
      </c>
      <c r="AC73" s="4" t="str">
        <f>vlookup(U68, 'Week 5'!$A$2:$H$119, 8, False)</f>
        <v/>
      </c>
      <c r="AD73" s="148" t="str">
        <f t="shared" si="156"/>
        <v>#DIV/0!</v>
      </c>
      <c r="AE73" s="145" t="s">
        <v>146</v>
      </c>
      <c r="AF73" s="4" t="str">
        <f t="shared" si="157"/>
        <v/>
      </c>
      <c r="AG73" s="4" t="str">
        <f>if(AF73="Yes", vlookup(AE$1, 'Week 5'!$A$1:$H$119, 5, False), "")</f>
        <v/>
      </c>
      <c r="AH73" s="4" t="str">
        <f>vlookup(AE68, 'Week 5'!$A$2:$H$119, 3, False)</f>
        <v/>
      </c>
      <c r="AI73" s="4" t="str">
        <f>vlookup(AE68, 'Week 5'!$A$2:$H$119, 6, False)</f>
        <v/>
      </c>
      <c r="AJ73" s="4" t="str">
        <f>vlookup(AE68, 'Week 5'!$A$2:$H$119, 7, False)</f>
        <v/>
      </c>
      <c r="AK73" s="4" t="str">
        <f>vlookup(AE68, 'Week 5'!$A$2:$H$119, 4, False)</f>
        <v/>
      </c>
      <c r="AL73" s="4" t="str">
        <f>vlookup(AE68, 'Week 5'!$A$2:$H$119, 5, False)</f>
        <v/>
      </c>
      <c r="AM73" s="4" t="str">
        <f>vlookup(AE68, 'Week 5'!$A$2:$H$119, 8, False)</f>
        <v/>
      </c>
      <c r="AN73" s="148" t="str">
        <f t="shared" si="158"/>
        <v>#DIV/0!</v>
      </c>
      <c r="AO73" s="145" t="s">
        <v>146</v>
      </c>
      <c r="AP73" s="4" t="str">
        <f t="shared" si="159"/>
        <v>Yes</v>
      </c>
      <c r="AQ73" s="4" t="str">
        <f>if(AP73="Yes", vlookup(AO$1, 'Week 5'!$A$1:$H$119, 5, False), "")</f>
        <v>Win</v>
      </c>
      <c r="AR73" s="4">
        <f>vlookup(AO68, 'Week 5'!$A$2:$H$119, 3, False)</f>
        <v>18</v>
      </c>
      <c r="AS73" s="4">
        <f>vlookup(AO68, 'Week 5'!$A$2:$H$119, 6, False)</f>
        <v>13</v>
      </c>
      <c r="AT73" s="4">
        <f>vlookup(AO68, 'Week 5'!$A$2:$H$119, 7, False)</f>
        <v>0</v>
      </c>
      <c r="AU73" s="4">
        <f>vlookup(AO68, 'Week 5'!$A$2:$H$119, 4, False)</f>
        <v>5</v>
      </c>
      <c r="AV73" s="4">
        <f>vlookup(AO68, 'Week 5'!$A$2:$H$119, 5, False)</f>
        <v>0</v>
      </c>
      <c r="AW73" s="4">
        <f>vlookup(AO68, 'Week 5'!$A$2:$H$119, 8, False)</f>
        <v>25</v>
      </c>
      <c r="AX73" s="148">
        <f t="shared" si="160"/>
        <v>0.4186046512</v>
      </c>
      <c r="AY73" s="145" t="s">
        <v>146</v>
      </c>
      <c r="AZ73" s="4" t="str">
        <f t="shared" si="161"/>
        <v/>
      </c>
      <c r="BA73" s="4" t="str">
        <f>if(AZ73="Yes", vlookup(AY$1, 'Week 5'!$A$1:$H$119, 5, False), "")</f>
        <v/>
      </c>
      <c r="BB73" s="4" t="str">
        <f>vlookup(AY68, 'Week 5'!$A$2:$H$119, 3, False)</f>
        <v/>
      </c>
      <c r="BC73" s="4" t="str">
        <f>vlookup(AY68, 'Week 5'!$A$2:$H$119, 6, False)</f>
        <v/>
      </c>
      <c r="BD73" s="4" t="str">
        <f>vlookup(AY68, 'Week 5'!$A$2:$H$119, 7, False)</f>
        <v/>
      </c>
      <c r="BE73" s="4" t="str">
        <f>vlookup(AY68, 'Week 5'!$A$2:$H$119, 4, False)</f>
        <v/>
      </c>
      <c r="BF73" s="4" t="str">
        <f>vlookup(AY68, 'Week 5'!$A$2:$H$119, 5, False)</f>
        <v/>
      </c>
      <c r="BG73" s="4" t="str">
        <f>vlookup(AY68, 'Week 5'!$A$2:$H$119, 8, False)</f>
        <v/>
      </c>
      <c r="BH73" s="148" t="str">
        <f t="shared" si="162"/>
        <v>#DIV/0!</v>
      </c>
      <c r="BI73" s="7"/>
      <c r="BJ73" s="7"/>
      <c r="BK73" s="7"/>
      <c r="BL73" s="7"/>
    </row>
    <row r="74">
      <c r="A74" s="145" t="s">
        <v>148</v>
      </c>
      <c r="B74" s="4" t="str">
        <f t="shared" si="151"/>
        <v/>
      </c>
      <c r="C74" s="4" t="str">
        <f>if(B74="Yes", vlookup(A$1, 'Week 6'!$A$1:$H$119, 5, False), "")</f>
        <v/>
      </c>
      <c r="D74" s="146" t="str">
        <f>vlookup(A68, 'Week 6'!$A$2:$H$119, 3, False)</f>
        <v/>
      </c>
      <c r="E74" s="146" t="str">
        <f>vlookup(A68, 'Week 6'!$A$2:$H$119, 6, False)</f>
        <v/>
      </c>
      <c r="F74" s="146" t="str">
        <f>vlookup(A68, 'Week 6'!$A$2:$H$119, 7, False)</f>
        <v/>
      </c>
      <c r="G74" s="146" t="str">
        <f>vlookup(A68, 'Week 6'!$A$2:$H$119, 4, False)</f>
        <v/>
      </c>
      <c r="H74" s="146" t="str">
        <f>vlookup(A68, 'Week 6'!$A$2:$H$119, 5, False)</f>
        <v/>
      </c>
      <c r="I74" s="146" t="str">
        <f>vlookup(A68, 'Week 6'!$A$2:$H$119, 8, False)</f>
        <v/>
      </c>
      <c r="J74" s="148" t="str">
        <f t="shared" si="152"/>
        <v>#DIV/0!</v>
      </c>
      <c r="K74" s="145" t="s">
        <v>148</v>
      </c>
      <c r="L74" s="4" t="str">
        <f t="shared" si="153"/>
        <v>Yes</v>
      </c>
      <c r="M74" s="4" t="str">
        <f>if(L74="Yes", vlookup(K$1, 'Week 6'!$A$1:$H$119, 5, False), "")</f>
        <v>Loss</v>
      </c>
      <c r="N74" s="4">
        <f>vlookup(K68, 'Week 6'!$A$2:$H$119, 3, False)</f>
        <v>14</v>
      </c>
      <c r="O74" s="4">
        <f>vlookup(K68, 'Week 6'!$A$2:$H$119, 6, False)</f>
        <v>4</v>
      </c>
      <c r="P74" s="4">
        <f>vlookup(K68, 'Week 6'!$A$2:$H$119, 7, False)</f>
        <v>0</v>
      </c>
      <c r="Q74" s="4">
        <f>vlookup(K68, 'Week 6'!$A$2:$H$119, 4, False)</f>
        <v>9</v>
      </c>
      <c r="R74" s="4">
        <f>vlookup(K68, 'Week 6'!$A$2:$H$119, 5, False)</f>
        <v>1</v>
      </c>
      <c r="S74" s="4">
        <f>vlookup(K68, 'Week 6'!$A$2:$H$119, 8, False)</f>
        <v>25</v>
      </c>
      <c r="T74" s="148">
        <f t="shared" si="154"/>
        <v>0.358974359</v>
      </c>
      <c r="U74" s="145" t="s">
        <v>148</v>
      </c>
      <c r="V74" s="4" t="str">
        <f t="shared" si="155"/>
        <v>Yes</v>
      </c>
      <c r="W74" s="4" t="str">
        <f>if(V74="Yes", vlookup(U$1, 'Week 6'!$A$1:$H$119, 5, False), "")</f>
        <v>Win</v>
      </c>
      <c r="X74" s="4">
        <f>vlookup(U68, 'Week 6'!$A$2:$H$119, 3, False)</f>
        <v>14</v>
      </c>
      <c r="Y74" s="4">
        <f>vlookup(U68, 'Week 6'!$A$2:$H$119, 6, False)</f>
        <v>6</v>
      </c>
      <c r="Z74" s="4">
        <f>vlookup(U68, 'Week 6'!$A$2:$H$119, 7, False)</f>
        <v>0</v>
      </c>
      <c r="AA74" s="4">
        <f>vlookup(U68, 'Week 6'!$A$2:$H$119, 4, False)</f>
        <v>8</v>
      </c>
      <c r="AB74" s="4">
        <f>vlookup(U68, 'Week 6'!$A$2:$H$119, 5, False)</f>
        <v>0</v>
      </c>
      <c r="AC74" s="4">
        <f>vlookup(U68, 'Week 6'!$A$2:$H$119, 8, False)</f>
        <v>35</v>
      </c>
      <c r="AD74" s="148">
        <f t="shared" si="156"/>
        <v>0.2857142857</v>
      </c>
      <c r="AE74" s="145" t="s">
        <v>148</v>
      </c>
      <c r="AF74" s="4" t="str">
        <f t="shared" si="157"/>
        <v/>
      </c>
      <c r="AG74" s="4" t="str">
        <f>if(AF74="Yes", vlookup(AE$1, 'Week 6'!$A$1:$H$119, 5, False), "")</f>
        <v/>
      </c>
      <c r="AH74" s="146" t="str">
        <f>vlookup(AE68, 'Week 6'!$A$2:$H$119, 3, False)</f>
        <v/>
      </c>
      <c r="AI74" s="146" t="str">
        <f>vlookup(AE68, 'Week 6'!$A$2:$H$119, 6, False)</f>
        <v/>
      </c>
      <c r="AJ74" s="146" t="str">
        <f>vlookup(AE68, 'Week 6'!$A$2:$H$119, 7, False)</f>
        <v/>
      </c>
      <c r="AK74" s="146" t="str">
        <f>vlookup(AE68, 'Week 6'!$A$2:$H$119, 4, False)</f>
        <v/>
      </c>
      <c r="AL74" s="146" t="str">
        <f>vlookup(AE68, 'Week 6'!$A$2:$H$119, 5, False)</f>
        <v/>
      </c>
      <c r="AM74" s="146" t="str">
        <f>vlookup(AE68, 'Week 6'!$A$2:$H$119, 8, False)</f>
        <v/>
      </c>
      <c r="AN74" s="148" t="str">
        <f t="shared" si="158"/>
        <v>#DIV/0!</v>
      </c>
      <c r="AO74" s="145" t="s">
        <v>148</v>
      </c>
      <c r="AP74" s="4" t="str">
        <f t="shared" si="159"/>
        <v/>
      </c>
      <c r="AQ74" s="4" t="str">
        <f>if(AP74="Yes", vlookup(AO$1, 'Week 6'!$A$1:$H$119, 5, False), "")</f>
        <v/>
      </c>
      <c r="AR74" s="4" t="str">
        <f>vlookup(AO68, 'Week 6'!$A$2:$H$119, 3, False)</f>
        <v/>
      </c>
      <c r="AS74" s="4" t="str">
        <f>vlookup(AO68, 'Week 6'!$A$2:$H$119, 6, False)</f>
        <v/>
      </c>
      <c r="AT74" s="4" t="str">
        <f>vlookup(AO68, 'Week 6'!$A$2:$H$119, 7, False)</f>
        <v/>
      </c>
      <c r="AU74" s="4" t="str">
        <f>vlookup(AO68, 'Week 6'!$A$2:$H$119, 4, False)</f>
        <v/>
      </c>
      <c r="AV74" s="4" t="str">
        <f>vlookup(AO68, 'Week 6'!$A$2:$H$119, 5, False)</f>
        <v/>
      </c>
      <c r="AW74" s="4" t="str">
        <f>vlookup(AO68, 'Week 6'!$A$2:$H$119, 8, False)</f>
        <v/>
      </c>
      <c r="AX74" s="148" t="str">
        <f t="shared" si="160"/>
        <v>#DIV/0!</v>
      </c>
      <c r="AY74" s="145" t="s">
        <v>148</v>
      </c>
      <c r="AZ74" s="4" t="str">
        <f t="shared" si="161"/>
        <v/>
      </c>
      <c r="BA74" s="4" t="str">
        <f>if(AZ74="Yes", vlookup(AY$1, 'Week 6'!$A$1:$H$119, 5, False), "")</f>
        <v/>
      </c>
      <c r="BB74" s="146" t="str">
        <f>vlookup(AY68, 'Week 6'!$A$2:$H$119, 3, False)</f>
        <v/>
      </c>
      <c r="BC74" s="146" t="str">
        <f>vlookup(AY68, 'Week 6'!$A$2:$H$119, 6, False)</f>
        <v/>
      </c>
      <c r="BD74" s="146" t="str">
        <f>vlookup(AY68, 'Week 6'!$A$2:$H$119, 7, False)</f>
        <v/>
      </c>
      <c r="BE74" s="146" t="str">
        <f>vlookup(AY68, 'Week 6'!$A$2:$H$119, 4, False)</f>
        <v/>
      </c>
      <c r="BF74" s="146" t="str">
        <f>vlookup(AY68, 'Week 6'!$A$2:$H$119, 5, False)</f>
        <v/>
      </c>
      <c r="BG74" s="146" t="str">
        <f>vlookup(AY68, 'Week 6'!$A$2:$H$119, 8, False)</f>
        <v/>
      </c>
      <c r="BH74" s="148" t="str">
        <f t="shared" si="162"/>
        <v>#DIV/0!</v>
      </c>
      <c r="BI74" s="7"/>
      <c r="BJ74" s="7"/>
      <c r="BK74" s="7"/>
      <c r="BL74" s="7"/>
    </row>
    <row r="75">
      <c r="A75" s="145" t="s">
        <v>154</v>
      </c>
      <c r="B75" s="4" t="str">
        <f t="shared" si="151"/>
        <v>Yes</v>
      </c>
      <c r="C75" s="4" t="str">
        <f>if(B75="Yes", vlookup(A$1, 'Week 7'!$A$1:$H$119, 5, False), "")</f>
        <v>Win</v>
      </c>
      <c r="D75" s="146">
        <f>vlookup(A68, 'Week 7'!$A$2:$H$119, 3, False)</f>
        <v>16</v>
      </c>
      <c r="E75" s="146">
        <f>vlookup(A68, 'Week 7'!$A$2:$H$119, 6, False)</f>
        <v>4</v>
      </c>
      <c r="F75" s="146">
        <f>vlookup(A68, 'Week 7'!$A$2:$H$119, 7, False)</f>
        <v>3</v>
      </c>
      <c r="G75" s="146">
        <f>vlookup(A68, 'Week 7'!$A$2:$H$119, 4, False)</f>
        <v>9</v>
      </c>
      <c r="H75" s="146">
        <f>vlookup(A68, 'Week 7'!$A$2:$H$119, 5, False)</f>
        <v>0</v>
      </c>
      <c r="I75" s="146">
        <f>vlookup(A68, 'Week 7'!$A$2:$H$119, 8, False)</f>
        <v>28</v>
      </c>
      <c r="J75" s="148">
        <f t="shared" si="152"/>
        <v>0.3636363636</v>
      </c>
      <c r="K75" s="145" t="s">
        <v>154</v>
      </c>
      <c r="L75" s="4" t="str">
        <f t="shared" si="153"/>
        <v/>
      </c>
      <c r="M75" s="4" t="str">
        <f>if(L75="Yes", vlookup(AO$1, 'Week 7'!$A$1:$H$119, 5, False), "")</f>
        <v/>
      </c>
      <c r="N75" s="146" t="str">
        <f>vlookup(K68, 'Week 7'!$A$2:$H$119, 3, False)</f>
        <v/>
      </c>
      <c r="O75" s="146" t="str">
        <f>vlookup(K68, 'Week 7'!$A$2:$H$119, 6, False)</f>
        <v/>
      </c>
      <c r="P75" s="146" t="str">
        <f>vlookup(K68, 'Week 7'!$A$2:$H$119, 7, False)</f>
        <v/>
      </c>
      <c r="Q75" s="146" t="str">
        <f>vlookup(K68, 'Week 7'!$A$2:$H$119, 4, False)</f>
        <v/>
      </c>
      <c r="R75" s="146" t="str">
        <f>vlookup(K68, 'Week 7'!$A$2:$H$119, 5, False)</f>
        <v/>
      </c>
      <c r="S75" s="146" t="str">
        <f>vlookup(K68, 'Week 7'!$A$2:$H$119, 8, False)</f>
        <v/>
      </c>
      <c r="T75" s="148" t="str">
        <f t="shared" si="154"/>
        <v>#DIV/0!</v>
      </c>
      <c r="U75" s="145" t="s">
        <v>154</v>
      </c>
      <c r="V75" s="4" t="str">
        <f t="shared" si="155"/>
        <v/>
      </c>
      <c r="W75" s="4" t="str">
        <f>if(V75="Yes", vlookup(U$1, 'Week 7'!$A$1:$H$119, 5, False), "")</f>
        <v/>
      </c>
      <c r="X75" s="4" t="str">
        <f>vlookup(U68, 'Week 7'!$A$2:$H$119, 3, False)</f>
        <v/>
      </c>
      <c r="Y75" s="4" t="str">
        <f>vlookup(U68, 'Week 7'!$A$2:$H$119, 6, False)</f>
        <v/>
      </c>
      <c r="Z75" s="4" t="str">
        <f>vlookup(U68, 'Week 7'!$A$2:$H$119, 7, False)</f>
        <v/>
      </c>
      <c r="AA75" s="4" t="str">
        <f>vlookup(U68, 'Week 7'!$A$2:$H$119, 4, False)</f>
        <v/>
      </c>
      <c r="AB75" s="4" t="str">
        <f>vlookup(U68, 'Week 7'!$A$2:$H$119, 5, False)</f>
        <v/>
      </c>
      <c r="AC75" s="4" t="str">
        <f>vlookup(U68, 'Week 7'!$A$2:$H$119, 8, False)</f>
        <v/>
      </c>
      <c r="AD75" s="148" t="str">
        <f t="shared" si="156"/>
        <v>#DIV/0!</v>
      </c>
      <c r="AE75" s="145" t="s">
        <v>154</v>
      </c>
      <c r="AF75" s="4" t="str">
        <f t="shared" si="157"/>
        <v/>
      </c>
      <c r="AG75" s="4" t="str">
        <f>if(AF75="Yes", vlookup(AE$1, 'Week 7'!$A$1:$H$119, 5, False), "")</f>
        <v/>
      </c>
      <c r="AH75" s="146" t="str">
        <f>vlookup(AE68, 'Week 7'!$A$2:$H$119, 3, False)</f>
        <v/>
      </c>
      <c r="AI75" s="146" t="str">
        <f>vlookup(AE68, 'Week 7'!$A$2:$H$119, 6, False)</f>
        <v/>
      </c>
      <c r="AJ75" s="146" t="str">
        <f>vlookup(AE68, 'Week 7'!$A$2:$H$119, 7, False)</f>
        <v/>
      </c>
      <c r="AK75" s="146" t="str">
        <f>vlookup(AE68, 'Week 7'!$A$2:$H$119, 4, False)</f>
        <v/>
      </c>
      <c r="AL75" s="146" t="str">
        <f>vlookup(AE68, 'Week 7'!$A$2:$H$119, 5, False)</f>
        <v/>
      </c>
      <c r="AM75" s="146" t="str">
        <f>vlookup(AE68, 'Week 7'!$A$2:$H$119, 8, False)</f>
        <v/>
      </c>
      <c r="AN75" s="148" t="str">
        <f t="shared" si="158"/>
        <v>#DIV/0!</v>
      </c>
      <c r="AO75" s="145" t="s">
        <v>154</v>
      </c>
      <c r="AP75" s="4" t="str">
        <f t="shared" si="159"/>
        <v/>
      </c>
      <c r="AQ75" s="4" t="str">
        <f>if(AP75="Yes", vlookup(AO$1, 'Week 7'!$A$1:$H$119, 5, False), "")</f>
        <v/>
      </c>
      <c r="AR75" s="146" t="str">
        <f>vlookup(AO68, 'Week 7'!$A$2:$H$119, 3, False)</f>
        <v/>
      </c>
      <c r="AS75" s="146" t="str">
        <f>vlookup(AO68, 'Week 7'!$A$2:$H$119, 6, False)</f>
        <v/>
      </c>
      <c r="AT75" s="146" t="str">
        <f>vlookup(AO68, 'Week 7'!$A$2:$H$119, 7, False)</f>
        <v/>
      </c>
      <c r="AU75" s="146" t="str">
        <f>vlookup(AO68, 'Week 7'!$A$2:$H$119, 4, False)</f>
        <v/>
      </c>
      <c r="AV75" s="146" t="str">
        <f>vlookup(AO68, 'Week 7'!$A$2:$H$119, 5, False)</f>
        <v/>
      </c>
      <c r="AW75" s="146" t="str">
        <f>vlookup(AO68, 'Week 7'!$A$2:$H$119, 8, False)</f>
        <v/>
      </c>
      <c r="AX75" s="148" t="str">
        <f t="shared" si="160"/>
        <v>#DIV/0!</v>
      </c>
      <c r="AY75" s="145" t="s">
        <v>154</v>
      </c>
      <c r="AZ75" s="4" t="str">
        <f t="shared" si="161"/>
        <v>Yes</v>
      </c>
      <c r="BA75" s="4" t="str">
        <f>if(AZ75="Yes", vlookup(AY$1, 'Week 7'!$A$1:$H$119, 5, False), "")</f>
        <v>Win</v>
      </c>
      <c r="BB75" s="4">
        <f>vlookup(AY68, 'Week 7'!$A$2:$H$119, 3, False)</f>
        <v>14</v>
      </c>
      <c r="BC75" s="4">
        <f>vlookup(AY68, 'Week 7'!$A$2:$H$119, 6, False)</f>
        <v>13</v>
      </c>
      <c r="BD75" s="4">
        <f>vlookup(AY68, 'Week 7'!$A$2:$H$119, 7, False)</f>
        <v>0</v>
      </c>
      <c r="BE75" s="4">
        <f>vlookup(AY68, 'Week 7'!$A$2:$H$119, 4, False)</f>
        <v>1</v>
      </c>
      <c r="BF75" s="4">
        <f>vlookup(AY68, 'Week 7'!$A$2:$H$119, 5, False)</f>
        <v>0</v>
      </c>
      <c r="BG75" s="4">
        <f>vlookup(AY68, 'Week 7'!$A$2:$H$119, 8, False)</f>
        <v>24</v>
      </c>
      <c r="BH75" s="148">
        <f t="shared" si="162"/>
        <v>0.3684210526</v>
      </c>
      <c r="BI75" s="7"/>
      <c r="BJ75" s="7"/>
      <c r="BK75" s="7"/>
      <c r="BL75" s="7"/>
    </row>
    <row r="76">
      <c r="A76" s="145" t="s">
        <v>211</v>
      </c>
      <c r="B76" s="4" t="str">
        <f t="shared" si="151"/>
        <v/>
      </c>
      <c r="C76" s="4" t="str">
        <f>if(B76="Yes", vlookup(A$1, 'Week 1'!$A$1:$H$119, 5, False), "")</f>
        <v/>
      </c>
      <c r="D76" s="4"/>
      <c r="E76" s="4"/>
      <c r="F76" s="4"/>
      <c r="G76" s="4"/>
      <c r="H76" s="4"/>
      <c r="I76" s="4"/>
      <c r="J76" s="123"/>
      <c r="K76" s="145" t="s">
        <v>211</v>
      </c>
      <c r="L76" s="4" t="str">
        <f t="shared" si="153"/>
        <v/>
      </c>
      <c r="M76" s="4" t="str">
        <f>if(L76="Yes", vlookup(K$1, 'Week 1'!$A$1:$H$119, 5, False), "")</f>
        <v/>
      </c>
      <c r="N76" s="4"/>
      <c r="O76" s="4"/>
      <c r="P76" s="4"/>
      <c r="Q76" s="4"/>
      <c r="R76" s="4"/>
      <c r="S76" s="4"/>
      <c r="T76" s="123"/>
      <c r="U76" s="145" t="s">
        <v>211</v>
      </c>
      <c r="V76" s="4" t="str">
        <f t="shared" si="155"/>
        <v/>
      </c>
      <c r="W76" s="4" t="str">
        <f>if(V76="Yes", vlookup(U$1, 'Week 1'!$A$1:$H$119, 5, False), "")</f>
        <v/>
      </c>
      <c r="X76" s="4"/>
      <c r="Y76" s="4"/>
      <c r="Z76" s="4"/>
      <c r="AA76" s="4"/>
      <c r="AB76" s="4"/>
      <c r="AC76" s="4"/>
      <c r="AD76" s="123"/>
      <c r="AE76" s="145" t="s">
        <v>211</v>
      </c>
      <c r="AF76" s="4" t="str">
        <f t="shared" si="157"/>
        <v/>
      </c>
      <c r="AG76" s="4" t="str">
        <f>if(AF76="Yes", vlookup(AE$1, 'Week 1'!$A$1:$H$119, 5, False), "")</f>
        <v/>
      </c>
      <c r="AH76" s="4"/>
      <c r="AI76" s="4"/>
      <c r="AJ76" s="4"/>
      <c r="AK76" s="4"/>
      <c r="AL76" s="4"/>
      <c r="AM76" s="4"/>
      <c r="AN76" s="123"/>
      <c r="AO76" s="145" t="s">
        <v>211</v>
      </c>
      <c r="AP76" s="4" t="str">
        <f t="shared" si="159"/>
        <v/>
      </c>
      <c r="AQ76" s="4" t="str">
        <f>if(AP76="Yes", vlookup(AO$1, 'Week 1'!$A$1:$H$119, 5, False), "")</f>
        <v/>
      </c>
      <c r="AR76" s="4"/>
      <c r="AS76" s="4"/>
      <c r="AT76" s="4"/>
      <c r="AU76" s="4"/>
      <c r="AV76" s="4"/>
      <c r="AW76" s="4"/>
      <c r="AX76" s="123"/>
      <c r="AY76" s="145" t="s">
        <v>211</v>
      </c>
      <c r="AZ76" s="4" t="str">
        <f t="shared" si="161"/>
        <v/>
      </c>
      <c r="BA76" s="4" t="str">
        <f>if(AZ76="Yes", vlookup(AY$1, 'Week 1'!$A$1:$H$119, 5, False), "")</f>
        <v/>
      </c>
      <c r="BB76" s="4"/>
      <c r="BC76" s="4"/>
      <c r="BD76" s="4"/>
      <c r="BE76" s="4"/>
      <c r="BF76" s="4"/>
      <c r="BG76" s="4"/>
      <c r="BH76" s="123"/>
      <c r="BI76" s="7"/>
      <c r="BJ76" s="7"/>
      <c r="BK76" s="7"/>
      <c r="BL76" s="7"/>
    </row>
    <row r="77">
      <c r="A77" s="145" t="s">
        <v>212</v>
      </c>
      <c r="B77" s="4" t="str">
        <f t="shared" si="151"/>
        <v/>
      </c>
      <c r="C77" s="4" t="str">
        <f>if(B77="Yes", vlookup(A$1, 'Week 1'!$A$1:$H$119, 5, False), "")</f>
        <v/>
      </c>
      <c r="D77" s="4"/>
      <c r="E77" s="4"/>
      <c r="F77" s="4"/>
      <c r="G77" s="4"/>
      <c r="H77" s="4"/>
      <c r="I77" s="4"/>
      <c r="J77" s="123"/>
      <c r="K77" s="145" t="s">
        <v>212</v>
      </c>
      <c r="L77" s="4" t="str">
        <f t="shared" si="153"/>
        <v/>
      </c>
      <c r="M77" s="4" t="str">
        <f>if(L77="Yes", vlookup(K$1, 'Week 1'!$A$1:$H$119, 5, False), "")</f>
        <v/>
      </c>
      <c r="N77" s="4"/>
      <c r="O77" s="4"/>
      <c r="P77" s="4"/>
      <c r="Q77" s="4"/>
      <c r="R77" s="4"/>
      <c r="S77" s="4"/>
      <c r="T77" s="123"/>
      <c r="U77" s="145" t="s">
        <v>212</v>
      </c>
      <c r="V77" s="4" t="str">
        <f t="shared" si="155"/>
        <v/>
      </c>
      <c r="W77" s="4" t="str">
        <f>if(V77="Yes", vlookup(U$1, 'Week 1'!$A$1:$H$119, 5, False), "")</f>
        <v/>
      </c>
      <c r="X77" s="4"/>
      <c r="Y77" s="4"/>
      <c r="Z77" s="4"/>
      <c r="AA77" s="4"/>
      <c r="AB77" s="4"/>
      <c r="AC77" s="4"/>
      <c r="AD77" s="123"/>
      <c r="AE77" s="145" t="s">
        <v>212</v>
      </c>
      <c r="AF77" s="4" t="str">
        <f t="shared" si="157"/>
        <v/>
      </c>
      <c r="AG77" s="4" t="str">
        <f>if(AF77="Yes", vlookup(AE$1, 'Week 1'!$A$1:$H$119, 5, False), "")</f>
        <v/>
      </c>
      <c r="AH77" s="4"/>
      <c r="AI77" s="4"/>
      <c r="AJ77" s="4"/>
      <c r="AK77" s="4"/>
      <c r="AL77" s="4"/>
      <c r="AM77" s="4"/>
      <c r="AN77" s="123"/>
      <c r="AO77" s="145" t="s">
        <v>212</v>
      </c>
      <c r="AP77" s="4" t="str">
        <f t="shared" si="159"/>
        <v/>
      </c>
      <c r="AQ77" s="4" t="str">
        <f>if(AP77="Yes", vlookup(AO$1, 'Week 1'!$A$1:$H$119, 5, False), "")</f>
        <v/>
      </c>
      <c r="AR77" s="4"/>
      <c r="AS77" s="4"/>
      <c r="AT77" s="4"/>
      <c r="AU77" s="4"/>
      <c r="AV77" s="4"/>
      <c r="AW77" s="4"/>
      <c r="AX77" s="123"/>
      <c r="AY77" s="145" t="s">
        <v>212</v>
      </c>
      <c r="AZ77" s="4" t="str">
        <f t="shared" si="161"/>
        <v/>
      </c>
      <c r="BA77" s="4" t="str">
        <f>if(AZ77="Yes", vlookup(AY$1, 'Week 1'!$A$1:$H$119, 5, False), "")</f>
        <v/>
      </c>
      <c r="BB77" s="4"/>
      <c r="BC77" s="4"/>
      <c r="BD77" s="4"/>
      <c r="BE77" s="4"/>
      <c r="BF77" s="4"/>
      <c r="BG77" s="4"/>
      <c r="BH77" s="123"/>
      <c r="BI77" s="7"/>
      <c r="BJ77" s="7"/>
      <c r="BK77" s="7"/>
      <c r="BL77" s="7"/>
    </row>
    <row r="78">
      <c r="A78" s="2" t="s">
        <v>213</v>
      </c>
      <c r="B78" s="149">
        <f>countif(B69:B77, "Yes")</f>
        <v>4</v>
      </c>
      <c r="C78" s="150">
        <f>countif(C69:C77, "Win")/(countif(C69:C77, "Win")+countif(C69:C77, "Loss"))</f>
        <v>0.5</v>
      </c>
      <c r="D78" s="151">
        <f t="shared" ref="D78:I78" si="163">average(D69:D77)</f>
        <v>16.5</v>
      </c>
      <c r="E78" s="151">
        <f t="shared" si="163"/>
        <v>5.25</v>
      </c>
      <c r="F78" s="151">
        <f t="shared" si="163"/>
        <v>0.75</v>
      </c>
      <c r="G78" s="151">
        <f t="shared" si="163"/>
        <v>10.5</v>
      </c>
      <c r="H78" s="151">
        <f t="shared" si="163"/>
        <v>0</v>
      </c>
      <c r="I78" s="152">
        <f t="shared" si="163"/>
        <v>27.75</v>
      </c>
      <c r="J78" s="153">
        <f>D78/(I78+D78)</f>
        <v>0.3728813559</v>
      </c>
      <c r="K78" s="2" t="s">
        <v>213</v>
      </c>
      <c r="L78" s="149">
        <f>countif(L69:L77, "Yes")</f>
        <v>3</v>
      </c>
      <c r="M78" s="150">
        <f>countif(M69:M77, "Win")/(countif(M69:M77, "Win")+countif(M69:M77, "Loss"))</f>
        <v>0.6666666667</v>
      </c>
      <c r="N78" s="151">
        <f t="shared" ref="N78:S78" si="164">average(N69:N77)</f>
        <v>13.66666667</v>
      </c>
      <c r="O78" s="151">
        <f t="shared" si="164"/>
        <v>7</v>
      </c>
      <c r="P78" s="151">
        <f t="shared" si="164"/>
        <v>0.6666666667</v>
      </c>
      <c r="Q78" s="151">
        <f t="shared" si="164"/>
        <v>5.666666667</v>
      </c>
      <c r="R78" s="151">
        <f t="shared" si="164"/>
        <v>0.3333333333</v>
      </c>
      <c r="S78" s="152">
        <f t="shared" si="164"/>
        <v>25</v>
      </c>
      <c r="T78" s="153">
        <f>N78/(S78+N78)</f>
        <v>0.3534482759</v>
      </c>
      <c r="U78" s="2" t="s">
        <v>213</v>
      </c>
      <c r="V78" s="149">
        <f>countif(V69:V77, "Yes")</f>
        <v>3</v>
      </c>
      <c r="W78" s="150">
        <f>countif(W69:W77, "Win")/(countif(W69:W77, "Win")+countif(W69:W77, "Loss"))</f>
        <v>0.3333333333</v>
      </c>
      <c r="X78" s="151">
        <f t="shared" ref="X78:AC78" si="165">average(X69:X77)</f>
        <v>14.66666667</v>
      </c>
      <c r="Y78" s="151">
        <f t="shared" si="165"/>
        <v>6.333333333</v>
      </c>
      <c r="Z78" s="151">
        <f t="shared" si="165"/>
        <v>0</v>
      </c>
      <c r="AA78" s="151">
        <f t="shared" si="165"/>
        <v>8</v>
      </c>
      <c r="AB78" s="151">
        <f t="shared" si="165"/>
        <v>0.3333333333</v>
      </c>
      <c r="AC78" s="152">
        <f t="shared" si="165"/>
        <v>28.33333333</v>
      </c>
      <c r="AD78" s="153">
        <f>X78/(AC78+X78)</f>
        <v>0.3410852713</v>
      </c>
      <c r="AE78" s="2" t="s">
        <v>213</v>
      </c>
      <c r="AF78" s="149">
        <f>countif(AF69:AF77, "Yes")</f>
        <v>1</v>
      </c>
      <c r="AG78" s="150">
        <f>countif(AG69:AG77, "Win")/(countif(AG69:AG77, "Win")+countif(AG69:AG77, "Loss"))</f>
        <v>1</v>
      </c>
      <c r="AH78" s="151">
        <f t="shared" ref="AH78:AM78" si="166">average(AH69:AH77)</f>
        <v>15</v>
      </c>
      <c r="AI78" s="151">
        <f t="shared" si="166"/>
        <v>12</v>
      </c>
      <c r="AJ78" s="151">
        <f t="shared" si="166"/>
        <v>0</v>
      </c>
      <c r="AK78" s="151">
        <f t="shared" si="166"/>
        <v>3</v>
      </c>
      <c r="AL78" s="151">
        <f t="shared" si="166"/>
        <v>0</v>
      </c>
      <c r="AM78" s="152">
        <f t="shared" si="166"/>
        <v>29</v>
      </c>
      <c r="AN78" s="153">
        <f>AH78/(AM78+AH78)</f>
        <v>0.3409090909</v>
      </c>
      <c r="AO78" s="2" t="s">
        <v>213</v>
      </c>
      <c r="AP78" s="149">
        <f>countif(AP69:AP77, "Yes")</f>
        <v>5</v>
      </c>
      <c r="AQ78" s="150">
        <f>countif(AQ69:AQ77, "Win")/(countif(AQ69:AQ77, "Win")+countif(AQ69:AQ77, "Loss"))</f>
        <v>0.2</v>
      </c>
      <c r="AR78" s="151">
        <f t="shared" ref="AR78:AW78" si="167">average(AR69:AR77)</f>
        <v>15.6</v>
      </c>
      <c r="AS78" s="151">
        <f t="shared" si="167"/>
        <v>10.6</v>
      </c>
      <c r="AT78" s="151">
        <f t="shared" si="167"/>
        <v>0.8</v>
      </c>
      <c r="AU78" s="151">
        <f t="shared" si="167"/>
        <v>4</v>
      </c>
      <c r="AV78" s="151">
        <f t="shared" si="167"/>
        <v>0.2</v>
      </c>
      <c r="AW78" s="152">
        <f t="shared" si="167"/>
        <v>28.6</v>
      </c>
      <c r="AX78" s="153">
        <f>AR78/(AW78+AR78)</f>
        <v>0.3529411765</v>
      </c>
      <c r="AY78" s="2" t="s">
        <v>213</v>
      </c>
      <c r="AZ78" s="149">
        <f>countif(AZ69:AZ77, "Yes")</f>
        <v>2</v>
      </c>
      <c r="BA78" s="150">
        <f>countif(BA69:BA77, "Win")/(countif(BA69:BA77, "Win")+countif(BA69:BA77, "Loss"))</f>
        <v>0.5</v>
      </c>
      <c r="BB78" s="151">
        <f t="shared" ref="BB78:BG78" si="168">average(BB69:BB77)</f>
        <v>12.5</v>
      </c>
      <c r="BC78" s="151">
        <f t="shared" si="168"/>
        <v>9.5</v>
      </c>
      <c r="BD78" s="151">
        <f t="shared" si="168"/>
        <v>0</v>
      </c>
      <c r="BE78" s="151">
        <f t="shared" si="168"/>
        <v>3</v>
      </c>
      <c r="BF78" s="151">
        <f t="shared" si="168"/>
        <v>0</v>
      </c>
      <c r="BG78" s="152">
        <f t="shared" si="168"/>
        <v>25.5</v>
      </c>
      <c r="BH78" s="153">
        <f>BB78/(BG78+BB78)</f>
        <v>0.3289473684</v>
      </c>
      <c r="BI78" s="7"/>
      <c r="BJ78" s="7"/>
      <c r="BK78" s="7"/>
      <c r="BL78" s="7"/>
    </row>
    <row r="79">
      <c r="A79" s="154" t="str">
        <f>Draft!B52</f>
        <v/>
      </c>
      <c r="B79" s="124">
        <f t="shared" ref="B79:J79" si="169">B89</f>
        <v>0</v>
      </c>
      <c r="C79" s="136" t="str">
        <f t="shared" si="169"/>
        <v>#DIV/0!</v>
      </c>
      <c r="D79" s="137" t="str">
        <f t="shared" si="169"/>
        <v>#N/A</v>
      </c>
      <c r="E79" s="137" t="str">
        <f t="shared" si="169"/>
        <v>#N/A</v>
      </c>
      <c r="F79" s="137" t="str">
        <f t="shared" si="169"/>
        <v>#N/A</v>
      </c>
      <c r="G79" s="137" t="str">
        <f t="shared" si="169"/>
        <v>#N/A</v>
      </c>
      <c r="H79" s="137" t="str">
        <f t="shared" si="169"/>
        <v>#N/A</v>
      </c>
      <c r="I79" s="138" t="str">
        <f t="shared" si="169"/>
        <v>#N/A</v>
      </c>
      <c r="J79" s="139" t="str">
        <f t="shared" si="169"/>
        <v>#N/A</v>
      </c>
      <c r="K79" s="155" t="str">
        <f>Draft!C52</f>
        <v>Suyoag</v>
      </c>
      <c r="L79" s="124">
        <f t="shared" ref="L79:T79" si="170">L89</f>
        <v>2</v>
      </c>
      <c r="M79" s="139">
        <f t="shared" si="170"/>
        <v>0</v>
      </c>
      <c r="N79" s="137">
        <f t="shared" si="170"/>
        <v>14.5</v>
      </c>
      <c r="O79" s="137">
        <f t="shared" si="170"/>
        <v>10</v>
      </c>
      <c r="P79" s="137">
        <f t="shared" si="170"/>
        <v>0</v>
      </c>
      <c r="Q79" s="137">
        <f t="shared" si="170"/>
        <v>4.5</v>
      </c>
      <c r="R79" s="137">
        <f t="shared" si="170"/>
        <v>0</v>
      </c>
      <c r="S79" s="138">
        <f t="shared" si="170"/>
        <v>24.5</v>
      </c>
      <c r="T79" s="139">
        <f t="shared" si="170"/>
        <v>0.3717948718</v>
      </c>
      <c r="U79" s="156" t="str">
        <f>Draft!D52</f>
        <v>Ilt</v>
      </c>
      <c r="V79" s="124">
        <f t="shared" ref="V79:AD79" si="171">V89</f>
        <v>2</v>
      </c>
      <c r="W79" s="136">
        <f t="shared" si="171"/>
        <v>0</v>
      </c>
      <c r="X79" s="137">
        <f t="shared" si="171"/>
        <v>13</v>
      </c>
      <c r="Y79" s="137">
        <f t="shared" si="171"/>
        <v>10.5</v>
      </c>
      <c r="Z79" s="137">
        <f t="shared" si="171"/>
        <v>0</v>
      </c>
      <c r="AA79" s="137">
        <f t="shared" si="171"/>
        <v>2.5</v>
      </c>
      <c r="AB79" s="137">
        <f t="shared" si="171"/>
        <v>0</v>
      </c>
      <c r="AC79" s="138">
        <f t="shared" si="171"/>
        <v>25.5</v>
      </c>
      <c r="AD79" s="139">
        <f t="shared" si="171"/>
        <v>0.3376623377</v>
      </c>
      <c r="AE79" s="157" t="str">
        <f>Draft!E52</f>
        <v>TC</v>
      </c>
      <c r="AF79" s="124">
        <f t="shared" ref="AF79:AN79" si="172">AF89</f>
        <v>5</v>
      </c>
      <c r="AG79" s="136">
        <f t="shared" si="172"/>
        <v>0.8</v>
      </c>
      <c r="AH79" s="137">
        <f t="shared" si="172"/>
        <v>13.6</v>
      </c>
      <c r="AI79" s="137">
        <f t="shared" si="172"/>
        <v>9.8</v>
      </c>
      <c r="AJ79" s="137">
        <f t="shared" si="172"/>
        <v>0</v>
      </c>
      <c r="AK79" s="137">
        <f t="shared" si="172"/>
        <v>3.8</v>
      </c>
      <c r="AL79" s="137">
        <f t="shared" si="172"/>
        <v>0</v>
      </c>
      <c r="AM79" s="138">
        <f t="shared" si="172"/>
        <v>27.2</v>
      </c>
      <c r="AN79" s="139">
        <f t="shared" si="172"/>
        <v>0.3333333333</v>
      </c>
      <c r="AO79" s="158" t="str">
        <f>Draft!F52</f>
        <v>Neo</v>
      </c>
      <c r="AP79" s="124">
        <f t="shared" ref="AP79:AX79" si="173">AP89</f>
        <v>2</v>
      </c>
      <c r="AQ79" s="136">
        <f t="shared" si="173"/>
        <v>0</v>
      </c>
      <c r="AR79" s="137">
        <f t="shared" si="173"/>
        <v>9</v>
      </c>
      <c r="AS79" s="137">
        <f t="shared" si="173"/>
        <v>6.5</v>
      </c>
      <c r="AT79" s="137">
        <f t="shared" si="173"/>
        <v>0</v>
      </c>
      <c r="AU79" s="137">
        <f t="shared" si="173"/>
        <v>2</v>
      </c>
      <c r="AV79" s="137">
        <f t="shared" si="173"/>
        <v>0.5</v>
      </c>
      <c r="AW79" s="138">
        <f t="shared" si="173"/>
        <v>26</v>
      </c>
      <c r="AX79" s="139">
        <f t="shared" si="173"/>
        <v>0.2571428571</v>
      </c>
      <c r="AY79" s="19" t="str">
        <f>Draft!G52</f>
        <v>Mike Zhou</v>
      </c>
      <c r="AZ79" s="124">
        <f t="shared" ref="AZ79:BH79" si="174">AZ89</f>
        <v>0</v>
      </c>
      <c r="BA79" s="136" t="str">
        <f t="shared" si="174"/>
        <v>#DIV/0!</v>
      </c>
      <c r="BB79" s="137" t="str">
        <f t="shared" si="174"/>
        <v>#DIV/0!</v>
      </c>
      <c r="BC79" s="137" t="str">
        <f t="shared" si="174"/>
        <v>#DIV/0!</v>
      </c>
      <c r="BD79" s="137" t="str">
        <f t="shared" si="174"/>
        <v>#DIV/0!</v>
      </c>
      <c r="BE79" s="137" t="str">
        <f t="shared" si="174"/>
        <v>#DIV/0!</v>
      </c>
      <c r="BF79" s="137" t="str">
        <f t="shared" si="174"/>
        <v>#DIV/0!</v>
      </c>
      <c r="BG79" s="138" t="str">
        <f t="shared" si="174"/>
        <v>#DIV/0!</v>
      </c>
      <c r="BH79" s="139" t="str">
        <f t="shared" si="174"/>
        <v>#DIV/0!</v>
      </c>
      <c r="BI79" s="7"/>
      <c r="BJ79" s="7"/>
      <c r="BK79" s="7"/>
      <c r="BL79" s="7"/>
    </row>
    <row r="80">
      <c r="A80" s="145" t="s">
        <v>133</v>
      </c>
      <c r="B80" s="4" t="str">
        <f t="shared" ref="B80:B88" si="175">if(I80&gt;0, "Yes", "")</f>
        <v>#N/A</v>
      </c>
      <c r="C80" s="4" t="str">
        <f>if(B80="Yes", vlookup(A$1, 'Week 1'!$A$1:$H$119, 5, False), "")</f>
        <v>#N/A</v>
      </c>
      <c r="D80" s="146" t="str">
        <f>vlookup(A79, 'Week 1'!$A$2:$H$119, 3, False)</f>
        <v>#N/A</v>
      </c>
      <c r="E80" s="147" t="str">
        <f>vlookup(A79, 'Week 1'!$A$2:$H$119, 6, False)</f>
        <v>#N/A</v>
      </c>
      <c r="F80" s="147" t="str">
        <f>vlookup(A79, 'Week 1'!$A$2:$H$119, 7, False)</f>
        <v>#N/A</v>
      </c>
      <c r="G80" s="147" t="str">
        <f>vlookup(A79, 'Week 1'!$A$2:$H$119, 4, False)</f>
        <v>#N/A</v>
      </c>
      <c r="H80" s="147" t="str">
        <f>vlookup(A79, 'Week 1'!$A$2:$H$119, 5, False)</f>
        <v>#N/A</v>
      </c>
      <c r="I80" s="147" t="str">
        <f>vlookup(A79, 'Week 1'!$A$2:$H$119, 8, False)</f>
        <v>#N/A</v>
      </c>
      <c r="J80" s="148" t="str">
        <f t="shared" ref="J80:J86" si="176">if(D80&gt;0, (D80/(D80+I80)), "")</f>
        <v>#N/A</v>
      </c>
      <c r="K80" s="145" t="s">
        <v>133</v>
      </c>
      <c r="L80" s="4" t="str">
        <f t="shared" ref="L80:L88" si="177">if(S80&gt;0, "Yes", "")</f>
        <v/>
      </c>
      <c r="M80" s="4" t="str">
        <f>if(L80="Yes", vlookup(K$1, 'Week 1'!$A$1:$H$119, 5, False), "")</f>
        <v/>
      </c>
      <c r="N80" s="4" t="str">
        <f>vlookup(K79, 'Week 1'!$A$2:$H$119, 3, False)</f>
        <v/>
      </c>
      <c r="O80" s="7" t="str">
        <f>vlookup(K79, 'Week 1'!$A$2:$H$119, 6, False)</f>
        <v/>
      </c>
      <c r="P80" s="7" t="str">
        <f>vlookup(K79, 'Week 1'!$A$2:$H$119, 7, False)</f>
        <v/>
      </c>
      <c r="Q80" s="7" t="str">
        <f>vlookup(K79, 'Week 1'!$A$2:$H$119, 4, False)</f>
        <v/>
      </c>
      <c r="R80" s="7" t="str">
        <f>vlookup(K79, 'Week 1'!$A$2:$H$119, 5, False)</f>
        <v/>
      </c>
      <c r="S80" s="7" t="str">
        <f>vlookup(K79, 'Week 1'!$A$2:$H$119, 8, False)</f>
        <v/>
      </c>
      <c r="T80" s="148" t="str">
        <f t="shared" ref="T80:T86" si="178">if(N80&gt;0, (N80/(N80+S80)), "")</f>
        <v>#DIV/0!</v>
      </c>
      <c r="U80" s="145" t="s">
        <v>133</v>
      </c>
      <c r="V80" s="4" t="str">
        <f t="shared" ref="V80:V88" si="179">if(AC80&gt;0, "Yes", "")</f>
        <v/>
      </c>
      <c r="W80" s="4" t="str">
        <f>if(V80="Yes", vlookup(U$1, 'Week 1'!$A$1:$H$119, 5, False), "")</f>
        <v/>
      </c>
      <c r="X80" s="4" t="str">
        <f>vlookup(U79, 'Week 1'!$A$2:$H$119, 3, False)</f>
        <v/>
      </c>
      <c r="Y80" s="7" t="str">
        <f>vlookup(U79, 'Week 1'!$A$2:$H$119, 6, False)</f>
        <v/>
      </c>
      <c r="Z80" s="7" t="str">
        <f>vlookup(U79, 'Week 1'!$A$2:$H$119, 7, False)</f>
        <v/>
      </c>
      <c r="AA80" s="7" t="str">
        <f>vlookup(U79, 'Week 1'!$A$2:$H$119, 4, False)</f>
        <v/>
      </c>
      <c r="AB80" s="7" t="str">
        <f>vlookup(U79, 'Week 1'!$A$2:$H$119, 5, False)</f>
        <v/>
      </c>
      <c r="AC80" s="7" t="str">
        <f>vlookup(U79, 'Week 1'!$A$2:$H$119, 8, False)</f>
        <v/>
      </c>
      <c r="AD80" s="148" t="str">
        <f t="shared" ref="AD80:AD86" si="180">if(X80&gt;0, (X80/(X80+AC80)), "")</f>
        <v>#DIV/0!</v>
      </c>
      <c r="AE80" s="145" t="s">
        <v>133</v>
      </c>
      <c r="AF80" s="4" t="str">
        <f t="shared" ref="AF80:AF88" si="181">if(AM80&gt;0, "Yes", "")</f>
        <v/>
      </c>
      <c r="AG80" s="4" t="str">
        <f>if(AF80="Yes", vlookup(AE$1, 'Week 1'!$A$1:$H$119, 5, False), "")</f>
        <v/>
      </c>
      <c r="AH80" s="4" t="str">
        <f>vlookup(AE79, 'Week 1'!$A$2:$H$119, 3, False)</f>
        <v/>
      </c>
      <c r="AI80" s="7" t="str">
        <f>vlookup(AE79, 'Week 1'!$A$2:$H$119, 6, False)</f>
        <v/>
      </c>
      <c r="AJ80" s="7" t="str">
        <f>vlookup(AE79, 'Week 1'!$A$2:$H$119, 7, False)</f>
        <v/>
      </c>
      <c r="AK80" s="7" t="str">
        <f>vlookup(AE79, 'Week 1'!$A$2:$H$119, 4, False)</f>
        <v/>
      </c>
      <c r="AL80" s="7" t="str">
        <f>vlookup(AE79, 'Week 1'!$A$2:$H$119, 5, False)</f>
        <v/>
      </c>
      <c r="AM80" s="7" t="str">
        <f>vlookup(AE79, 'Week 1'!$A$2:$H$119, 8, False)</f>
        <v/>
      </c>
      <c r="AN80" s="148" t="str">
        <f t="shared" ref="AN80:AN86" si="182">if(AH80&gt;0, (AH80/(AH80+AM80)), "")</f>
        <v>#DIV/0!</v>
      </c>
      <c r="AO80" s="145" t="s">
        <v>133</v>
      </c>
      <c r="AP80" s="4" t="str">
        <f t="shared" ref="AP80:AP88" si="183">if(AW80&gt;0, "Yes", "")</f>
        <v/>
      </c>
      <c r="AQ80" s="4" t="str">
        <f>if(AP80="Yes", vlookup(AO$1, 'Week 1'!$A$1:$H$119, 5, False), "")</f>
        <v/>
      </c>
      <c r="AR80" s="146" t="str">
        <f>vlookup(AO79, 'Week 1'!$A$2:$H$119, 3, False)</f>
        <v/>
      </c>
      <c r="AS80" s="147" t="str">
        <f>vlookup(AO79, 'Week 1'!$A$2:$H$119, 6, False)</f>
        <v/>
      </c>
      <c r="AT80" s="147" t="str">
        <f>vlookup(AO79, 'Week 1'!$A$2:$H$119, 7, False)</f>
        <v/>
      </c>
      <c r="AU80" s="147" t="str">
        <f>vlookup(AO79, 'Week 1'!$A$2:$H$119, 4, False)</f>
        <v/>
      </c>
      <c r="AV80" s="147" t="str">
        <f>vlookup(AO79, 'Week 1'!$A$2:$H$119, 5, False)</f>
        <v/>
      </c>
      <c r="AW80" s="147" t="str">
        <f>vlookup(AO79, 'Week 1'!$A$2:$H$119, 8, False)</f>
        <v/>
      </c>
      <c r="AX80" s="148" t="str">
        <f t="shared" ref="AX80:AX86" si="184">if(AR80&gt;0, (AR80/(AR80+AW80)), "")</f>
        <v>#DIV/0!</v>
      </c>
      <c r="AY80" s="145" t="s">
        <v>133</v>
      </c>
      <c r="AZ80" s="4" t="str">
        <f t="shared" ref="AZ80:AZ88" si="185">if(BG80&gt;0, "Yes", "")</f>
        <v/>
      </c>
      <c r="BA80" s="4" t="str">
        <f>if(AZ80="Yes", vlookup(AY$1, 'Week 1'!$A$1:$H$119, 5, False), "")</f>
        <v/>
      </c>
      <c r="BB80" s="146" t="str">
        <f>vlookup(AY79, 'Week 1'!$A$2:$H$119, 3, False)</f>
        <v/>
      </c>
      <c r="BC80" s="147" t="str">
        <f>vlookup(AY79, 'Week 1'!$A$2:$H$119, 6, False)</f>
        <v/>
      </c>
      <c r="BD80" s="147" t="str">
        <f>vlookup(AY79, 'Week 1'!$A$2:$H$119, 7, False)</f>
        <v/>
      </c>
      <c r="BE80" s="147" t="str">
        <f>vlookup(AY79, 'Week 1'!$A$2:$H$119, 4, False)</f>
        <v/>
      </c>
      <c r="BF80" s="147" t="str">
        <f>vlookup(AY79, 'Week 1'!$A$2:$H$119, 5, False)</f>
        <v/>
      </c>
      <c r="BG80" s="147" t="str">
        <f>vlookup(AY79, 'Week 1'!$A$2:$H$119, 8, False)</f>
        <v/>
      </c>
      <c r="BH80" s="148" t="str">
        <f t="shared" ref="BH80:BH86" si="186">if(BB80&gt;0, (BB80/(BB80+BG80)), "")</f>
        <v>#DIV/0!</v>
      </c>
      <c r="BI80" s="7"/>
      <c r="BJ80" s="7"/>
      <c r="BK80" s="7"/>
      <c r="BL80" s="7"/>
    </row>
    <row r="81">
      <c r="A81" s="145" t="s">
        <v>135</v>
      </c>
      <c r="B81" s="4" t="str">
        <f t="shared" si="175"/>
        <v>#N/A</v>
      </c>
      <c r="C81" s="4" t="str">
        <f>if(B81="Yes", vlookup(A$1, 'Week 2'!$A$1:$H$119, 5, False), "")</f>
        <v>#N/A</v>
      </c>
      <c r="D81" s="4" t="str">
        <f>vlookup(A79, 'Week 2'!$A$2:$H$119, 3, False)</f>
        <v>#N/A</v>
      </c>
      <c r="E81" s="4" t="str">
        <f>vlookup(A79, 'Week 2'!$A$2:$H$119, 6, False)</f>
        <v>#N/A</v>
      </c>
      <c r="F81" s="4" t="str">
        <f>vlookup(A79, 'Week 2'!$A$2:$H$119, 7, False)</f>
        <v>#N/A</v>
      </c>
      <c r="G81" s="4" t="str">
        <f>vlookup(A79, 'Week 2'!$A$2:$H$119, 4, False)</f>
        <v>#N/A</v>
      </c>
      <c r="H81" s="4" t="str">
        <f>vlookup(A79, 'Week 2'!$A$2:$H$119, 5, False)</f>
        <v>#N/A</v>
      </c>
      <c r="I81" s="4" t="str">
        <f>vlookup(A79, 'Week 2'!$A$2:$H$119, 8, False)</f>
        <v>#N/A</v>
      </c>
      <c r="J81" s="148" t="str">
        <f t="shared" si="176"/>
        <v>#N/A</v>
      </c>
      <c r="K81" s="145" t="s">
        <v>135</v>
      </c>
      <c r="L81" s="4" t="str">
        <f t="shared" si="177"/>
        <v>Yes</v>
      </c>
      <c r="M81" s="4" t="str">
        <f>if(L81="Yes", vlookup(K$1, 'Week 2'!$A$1:$H$119, 5, False), "")</f>
        <v>Loss</v>
      </c>
      <c r="N81" s="4">
        <f>vlookup(K79, 'Week 2'!$A$2:$H$119, 3, False)</f>
        <v>17</v>
      </c>
      <c r="O81" s="4">
        <f>vlookup(K79, 'Week 2'!$A$2:$H$119, 6, False)</f>
        <v>13</v>
      </c>
      <c r="P81" s="4">
        <f>vlookup(K79, 'Week 2'!$A$2:$H$119, 7, False)</f>
        <v>0</v>
      </c>
      <c r="Q81" s="4">
        <f>vlookup(K79, 'Week 2'!$A$2:$H$119, 4, False)</f>
        <v>4</v>
      </c>
      <c r="R81" s="4">
        <f>vlookup(K79, 'Week 2'!$A$2:$H$119, 5, False)</f>
        <v>0</v>
      </c>
      <c r="S81" s="4">
        <f>vlookup(K79, 'Week 2'!$A$2:$H$119, 8, False)</f>
        <v>19</v>
      </c>
      <c r="T81" s="148">
        <f t="shared" si="178"/>
        <v>0.4722222222</v>
      </c>
      <c r="U81" s="145" t="s">
        <v>135</v>
      </c>
      <c r="V81" s="4" t="str">
        <f t="shared" si="179"/>
        <v>Yes</v>
      </c>
      <c r="W81" s="4" t="str">
        <f>if(V81="Yes", vlookup(U$1, 'Week 2'!$A$1:$H$119, 5, False), "")</f>
        <v>Loss</v>
      </c>
      <c r="X81" s="4">
        <f>vlookup(U79, 'Week 2'!$A$2:$H$119, 3, False)</f>
        <v>17</v>
      </c>
      <c r="Y81" s="4">
        <f>vlookup(U79, 'Week 2'!$A$2:$H$119, 6, False)</f>
        <v>13</v>
      </c>
      <c r="Z81" s="4">
        <f>vlookup(U79, 'Week 2'!$A$2:$H$119, 7, False)</f>
        <v>0</v>
      </c>
      <c r="AA81" s="4">
        <f>vlookup(U79, 'Week 2'!$A$2:$H$119, 4, False)</f>
        <v>4</v>
      </c>
      <c r="AB81" s="4">
        <f>vlookup(U79, 'Week 2'!$A$2:$H$119, 5, False)</f>
        <v>0</v>
      </c>
      <c r="AC81" s="4">
        <f>vlookup(U79, 'Week 2'!$A$2:$H$119, 8, False)</f>
        <v>30</v>
      </c>
      <c r="AD81" s="148">
        <f t="shared" si="180"/>
        <v>0.3617021277</v>
      </c>
      <c r="AE81" s="145" t="s">
        <v>135</v>
      </c>
      <c r="AF81" s="4" t="str">
        <f t="shared" si="181"/>
        <v>Yes</v>
      </c>
      <c r="AG81" s="4" t="str">
        <f>if(AF81="Yes", vlookup(AE$1, 'Week 2'!$A$1:$H$119, 5, False), "")</f>
        <v>Win</v>
      </c>
      <c r="AH81" s="146">
        <f>vlookup(AE79, 'Week 2'!$A$2:$H$119, 3, False)</f>
        <v>13</v>
      </c>
      <c r="AI81" s="146">
        <f>vlookup(AE79, 'Week 2'!$A$2:$H$119, 6, False)</f>
        <v>12</v>
      </c>
      <c r="AJ81" s="146">
        <f>vlookup(AE79, 'Week 2'!$A$2:$H$119, 7, False)</f>
        <v>0</v>
      </c>
      <c r="AK81" s="146">
        <f>vlookup(AE79, 'Week 2'!$A$2:$H$119, 4, False)</f>
        <v>1</v>
      </c>
      <c r="AL81" s="146">
        <f>vlookup(AE79, 'Week 2'!$A$2:$H$119, 5, False)</f>
        <v>0</v>
      </c>
      <c r="AM81" s="146">
        <f>vlookup(AE79, 'Week 2'!$A$2:$H$119, 8, False)</f>
        <v>22</v>
      </c>
      <c r="AN81" s="148">
        <f t="shared" si="182"/>
        <v>0.3714285714</v>
      </c>
      <c r="AO81" s="145" t="s">
        <v>135</v>
      </c>
      <c r="AP81" s="4" t="str">
        <f t="shared" si="183"/>
        <v/>
      </c>
      <c r="AQ81" s="4" t="str">
        <f>if(AP81="Yes", vlookup(AO$1, 'Week 2'!$A$1:$H$119, 5, False), "")</f>
        <v/>
      </c>
      <c r="AR81" s="146" t="str">
        <f>vlookup(AO79, 'Week 2'!$A$2:$H$119, 3, False)</f>
        <v/>
      </c>
      <c r="AS81" s="146" t="str">
        <f>vlookup(AO79, 'Week 2'!$A$2:$H$119, 6, False)</f>
        <v/>
      </c>
      <c r="AT81" s="146" t="str">
        <f>vlookup(AO79, 'Week 2'!$A$2:$H$119, 7, False)</f>
        <v/>
      </c>
      <c r="AU81" s="146" t="str">
        <f>vlookup(AO79, 'Week 2'!$A$2:$H$119, 4, False)</f>
        <v/>
      </c>
      <c r="AV81" s="146" t="str">
        <f>vlookup(AO79, 'Week 2'!$A$2:$H$119, 5, False)</f>
        <v/>
      </c>
      <c r="AW81" s="146" t="str">
        <f>vlookup(AO79, 'Week 2'!$A$2:$H$119, 8, False)</f>
        <v/>
      </c>
      <c r="AX81" s="148" t="str">
        <f t="shared" si="184"/>
        <v>#DIV/0!</v>
      </c>
      <c r="AY81" s="145" t="s">
        <v>135</v>
      </c>
      <c r="AZ81" s="4" t="str">
        <f t="shared" si="185"/>
        <v/>
      </c>
      <c r="BA81" s="4" t="str">
        <f>if(AZ81="Yes", vlookup(AY$1, 'Week 2'!$A$1:$H$119, 5, False), "")</f>
        <v/>
      </c>
      <c r="BB81" s="146" t="str">
        <f>vlookup(AY79, 'Week 2'!$A$2:$H$119, 3, False)</f>
        <v/>
      </c>
      <c r="BC81" s="146" t="str">
        <f>vlookup(AY79, 'Week 2'!$A$2:$H$119, 6, False)</f>
        <v/>
      </c>
      <c r="BD81" s="146" t="str">
        <f>vlookup(AY79, 'Week 2'!$A$2:$H$119, 7, False)</f>
        <v/>
      </c>
      <c r="BE81" s="146" t="str">
        <f>vlookup(AY79, 'Week 2'!$A$2:$H$119, 4, False)</f>
        <v/>
      </c>
      <c r="BF81" s="146" t="str">
        <f>vlookup(AY79, 'Week 2'!$A$2:$H$119, 5, False)</f>
        <v/>
      </c>
      <c r="BG81" s="146" t="str">
        <f>vlookup(AY79, 'Week 2'!$A$2:$H$119, 8, False)</f>
        <v/>
      </c>
      <c r="BH81" s="148" t="str">
        <f t="shared" si="186"/>
        <v>#DIV/0!</v>
      </c>
      <c r="BI81" s="7"/>
      <c r="BJ81" s="7"/>
      <c r="BK81" s="7"/>
      <c r="BL81" s="7"/>
    </row>
    <row r="82">
      <c r="A82" s="145" t="s">
        <v>140</v>
      </c>
      <c r="B82" s="4" t="str">
        <f t="shared" si="175"/>
        <v>#N/A</v>
      </c>
      <c r="C82" s="4" t="str">
        <f>if(B82="Yes", vlookup(A$1, 'Week 3'!$A$1:$H$119, 5, False), "")</f>
        <v>#N/A</v>
      </c>
      <c r="D82" s="4" t="str">
        <f>vlookup(A79, 'Week 3'!$A$2:$H$119, 3, False)</f>
        <v>#N/A</v>
      </c>
      <c r="E82" s="4" t="str">
        <f>vlookup(A79, 'Week 3'!$A$2:$H$119, 6, False)</f>
        <v>#N/A</v>
      </c>
      <c r="F82" s="4" t="str">
        <f>vlookup(A79, 'Week 3'!$A$2:$H$119, 7, False)</f>
        <v>#N/A</v>
      </c>
      <c r="G82" s="4" t="str">
        <f>vlookup(A79, 'Week 3'!$A$2:$H$119, 4, False)</f>
        <v>#N/A</v>
      </c>
      <c r="H82" s="4" t="str">
        <f>vlookup(A79, 'Week 3'!$A$2:$H$119, 5, False)</f>
        <v>#N/A</v>
      </c>
      <c r="I82" s="4" t="str">
        <f>vlookup(A79, 'Week 3'!$A$2:$H$119, 8, False)</f>
        <v>#N/A</v>
      </c>
      <c r="J82" s="148" t="str">
        <f t="shared" si="176"/>
        <v>#N/A</v>
      </c>
      <c r="K82" s="145" t="s">
        <v>140</v>
      </c>
      <c r="L82" s="4" t="str">
        <f t="shared" si="177"/>
        <v/>
      </c>
      <c r="M82" s="4" t="str">
        <f>if(L82="Yes", vlookup(K$1, 'Week 3'!$A$1:$H$119, 5, False), "")</f>
        <v/>
      </c>
      <c r="N82" s="4" t="str">
        <f>vlookup(K79, 'Week 3'!$A$2:$H$119, 3, False)</f>
        <v/>
      </c>
      <c r="O82" s="4" t="str">
        <f>vlookup(K79, 'Week 3'!$A$2:$H$119, 6, False)</f>
        <v/>
      </c>
      <c r="P82" s="4" t="str">
        <f>vlookup(K79, 'Week 3'!$A$2:$H$119, 7, False)</f>
        <v/>
      </c>
      <c r="Q82" s="4" t="str">
        <f>vlookup(K79, 'Week 3'!$A$2:$H$119, 4, False)</f>
        <v/>
      </c>
      <c r="R82" s="4" t="str">
        <f>vlookup(K79, 'Week 3'!$A$2:$H$119, 5, False)</f>
        <v/>
      </c>
      <c r="S82" s="4" t="str">
        <f>vlookup(K79, 'Week 3'!$A$2:$H$119, 8, False)</f>
        <v/>
      </c>
      <c r="T82" s="148" t="str">
        <f t="shared" si="178"/>
        <v>#DIV/0!</v>
      </c>
      <c r="U82" s="145" t="s">
        <v>140</v>
      </c>
      <c r="V82" s="4" t="str">
        <f t="shared" si="179"/>
        <v/>
      </c>
      <c r="W82" s="4" t="str">
        <f>if(V82="Yes", vlookup(U$1, 'Week 3'!$A$1:$H$119, 5, False), "")</f>
        <v/>
      </c>
      <c r="X82" s="4" t="str">
        <f>vlookup(U79, 'Week 3'!$A$2:$H$119, 3, False)</f>
        <v/>
      </c>
      <c r="Y82" s="4" t="str">
        <f>vlookup(U79, 'Week 3'!$A$2:$H$119, 6, False)</f>
        <v/>
      </c>
      <c r="Z82" s="4" t="str">
        <f>vlookup(U79, 'Week 3'!$A$2:$H$119, 7, False)</f>
        <v/>
      </c>
      <c r="AA82" s="4" t="str">
        <f>vlookup(U79, 'Week 3'!$A$2:$H$119, 4, False)</f>
        <v/>
      </c>
      <c r="AB82" s="4" t="str">
        <f>vlookup(U79, 'Week 3'!$A$2:$H$119, 5, False)</f>
        <v/>
      </c>
      <c r="AC82" s="4" t="str">
        <f>vlookup(U79, 'Week 3'!$A$2:$H$119, 8, False)</f>
        <v/>
      </c>
      <c r="AD82" s="148" t="str">
        <f t="shared" si="180"/>
        <v>#DIV/0!</v>
      </c>
      <c r="AE82" s="145" t="s">
        <v>140</v>
      </c>
      <c r="AF82" s="4" t="str">
        <f t="shared" si="181"/>
        <v/>
      </c>
      <c r="AG82" s="4" t="str">
        <f>if(AF82="Yes", vlookup(AE$1, 'Week 3'!$A$1:$H$119, 5, False), "")</f>
        <v/>
      </c>
      <c r="AH82" s="4" t="str">
        <f>vlookup(AE79, 'Week 3'!$A$2:$H$119, 3, False)</f>
        <v/>
      </c>
      <c r="AI82" s="4" t="str">
        <f>vlookup(AE79, 'Week 3'!$A$2:$H$119, 6, False)</f>
        <v/>
      </c>
      <c r="AJ82" s="4" t="str">
        <f>vlookup(AE79, 'Week 3'!$A$2:$H$119, 7, False)</f>
        <v/>
      </c>
      <c r="AK82" s="4" t="str">
        <f>vlookup(AE79, 'Week 3'!$A$2:$H$119, 4, False)</f>
        <v/>
      </c>
      <c r="AL82" s="4" t="str">
        <f>vlookup(AE79, 'Week 3'!$A$2:$H$119, 5, False)</f>
        <v/>
      </c>
      <c r="AM82" s="4" t="str">
        <f>vlookup(AE79, 'Week 3'!$A$2:$H$119, 8, False)</f>
        <v/>
      </c>
      <c r="AN82" s="148" t="str">
        <f t="shared" si="182"/>
        <v>#DIV/0!</v>
      </c>
      <c r="AO82" s="145" t="s">
        <v>140</v>
      </c>
      <c r="AP82" s="4" t="str">
        <f t="shared" si="183"/>
        <v>Yes</v>
      </c>
      <c r="AQ82" s="4" t="str">
        <f>if(AP82="Yes", vlookup(AO$1, 'Week 3'!$A$1:$H$119, 5, False), "")</f>
        <v>Loss</v>
      </c>
      <c r="AR82" s="4">
        <f>vlookup(AO79, 'Week 3'!$A$2:$H$119, 3, False)</f>
        <v>8</v>
      </c>
      <c r="AS82" s="4">
        <f>vlookup(AO79, 'Week 3'!$A$2:$H$119, 6, False)</f>
        <v>7</v>
      </c>
      <c r="AT82" s="4">
        <f>vlookup(AO79, 'Week 3'!$A$2:$H$119, 7, False)</f>
        <v>0</v>
      </c>
      <c r="AU82" s="4">
        <f>vlookup(AO79, 'Week 3'!$A$2:$H$119, 4, False)</f>
        <v>0</v>
      </c>
      <c r="AV82" s="4">
        <f>vlookup(AO79, 'Week 3'!$A$2:$H$119, 5, False)</f>
        <v>1</v>
      </c>
      <c r="AW82" s="4">
        <f>vlookup(AO79, 'Week 3'!$A$2:$H$119, 8, False)</f>
        <v>26</v>
      </c>
      <c r="AX82" s="148">
        <f t="shared" si="184"/>
        <v>0.2352941176</v>
      </c>
      <c r="AY82" s="145" t="s">
        <v>140</v>
      </c>
      <c r="AZ82" s="4" t="str">
        <f t="shared" si="185"/>
        <v/>
      </c>
      <c r="BA82" s="4" t="str">
        <f>if(AZ82="Yes", vlookup(AY$1, 'Week 3'!$A$1:$H$119, 5, False), "")</f>
        <v/>
      </c>
      <c r="BB82" s="4" t="str">
        <f>vlookup(AY79, 'Week 3'!$A$2:$H$119, 3, False)</f>
        <v/>
      </c>
      <c r="BC82" s="4" t="str">
        <f>vlookup(AY79, 'Week 3'!$A$2:$H$119, 6, False)</f>
        <v/>
      </c>
      <c r="BD82" s="4" t="str">
        <f>vlookup(AY79, 'Week 3'!$A$2:$H$119, 7, False)</f>
        <v/>
      </c>
      <c r="BE82" s="4" t="str">
        <f>vlookup(AY79, 'Week 3'!$A$2:$H$119, 4, False)</f>
        <v/>
      </c>
      <c r="BF82" s="4" t="str">
        <f>vlookup(AY79, 'Week 3'!$A$2:$H$119, 5, False)</f>
        <v/>
      </c>
      <c r="BG82" s="4" t="str">
        <f>vlookup(AY79, 'Week 3'!$A$2:$H$119, 8, False)</f>
        <v/>
      </c>
      <c r="BH82" s="148" t="str">
        <f t="shared" si="186"/>
        <v>#DIV/0!</v>
      </c>
      <c r="BI82" s="7"/>
      <c r="BJ82" s="7"/>
      <c r="BK82" s="7"/>
      <c r="BL82" s="7"/>
    </row>
    <row r="83">
      <c r="A83" s="145" t="s">
        <v>144</v>
      </c>
      <c r="B83" s="4" t="str">
        <f t="shared" si="175"/>
        <v>#N/A</v>
      </c>
      <c r="C83" s="4" t="str">
        <f>if(B83="Yes", vlookup(A$1, 'Week 4'!$A$1:$H$119, 5, False), "")</f>
        <v>#N/A</v>
      </c>
      <c r="D83" s="4" t="str">
        <f>vlookup(A79, 'Week 4'!$A$2:$H$119, 3, False)</f>
        <v>#N/A</v>
      </c>
      <c r="E83" s="4" t="str">
        <f>vlookup(A79, 'Week 4'!$A$2:$H$119, 6, False)</f>
        <v>#N/A</v>
      </c>
      <c r="F83" s="4" t="str">
        <f>vlookup(A79, 'Week 4'!$A$2:$H$119, 7, False)</f>
        <v>#N/A</v>
      </c>
      <c r="G83" s="4" t="str">
        <f>vlookup(A79, 'Week 4'!$A$2:$H$119, 4, False)</f>
        <v>#N/A</v>
      </c>
      <c r="H83" s="4" t="str">
        <f>vlookup(A79, 'Week 4'!$A$2:$H$119, 5, False)</f>
        <v>#N/A</v>
      </c>
      <c r="I83" s="4" t="str">
        <f>vlookup(A79, 'Week 4'!$A$2:$H$119, 8, False)</f>
        <v>#N/A</v>
      </c>
      <c r="J83" s="148" t="str">
        <f t="shared" si="176"/>
        <v>#N/A</v>
      </c>
      <c r="K83" s="145" t="s">
        <v>144</v>
      </c>
      <c r="L83" s="4" t="str">
        <f t="shared" si="177"/>
        <v/>
      </c>
      <c r="M83" s="4" t="str">
        <f>if(L83="Yes", vlookup(K$1, 'Week 4'!$A$1:$H$119, 5, False), "")</f>
        <v/>
      </c>
      <c r="N83" s="4" t="str">
        <f>vlookup(K79, 'Week 4'!$A$2:$H$119, 3, False)</f>
        <v/>
      </c>
      <c r="O83" s="4" t="str">
        <f>vlookup(K79, 'Week 4'!$A$2:$H$119, 6, False)</f>
        <v/>
      </c>
      <c r="P83" s="4" t="str">
        <f>vlookup(K79, 'Week 4'!$A$2:$H$119, 7, False)</f>
        <v/>
      </c>
      <c r="Q83" s="4" t="str">
        <f>vlookup(K79, 'Week 4'!$A$2:$H$119, 4, False)</f>
        <v/>
      </c>
      <c r="R83" s="4" t="str">
        <f>vlookup(K79, 'Week 4'!$A$2:$H$119, 5, False)</f>
        <v/>
      </c>
      <c r="S83" s="4" t="str">
        <f>vlookup(K79, 'Week 4'!$A$2:$H$119, 8, False)</f>
        <v/>
      </c>
      <c r="T83" s="148" t="str">
        <f t="shared" si="178"/>
        <v>#DIV/0!</v>
      </c>
      <c r="U83" s="145" t="s">
        <v>144</v>
      </c>
      <c r="V83" s="4" t="str">
        <f t="shared" si="179"/>
        <v/>
      </c>
      <c r="W83" s="4" t="str">
        <f>if(V83="Yes", vlookup(U$1, 'Week 4'!$A$1:$H$119, 5, False), "")</f>
        <v/>
      </c>
      <c r="X83" s="4" t="str">
        <f>vlookup(U79, 'Week 4'!$A$2:$H$119, 3, False)</f>
        <v/>
      </c>
      <c r="Y83" s="4" t="str">
        <f>vlookup(U79, 'Week 4'!$A$2:$H$119, 6, False)</f>
        <v/>
      </c>
      <c r="Z83" s="4" t="str">
        <f>vlookup(U79, 'Week 4'!$A$2:$H$119, 7, False)</f>
        <v/>
      </c>
      <c r="AA83" s="4" t="str">
        <f>vlookup(U79, 'Week 4'!$A$2:$H$119, 4, False)</f>
        <v/>
      </c>
      <c r="AB83" s="4" t="str">
        <f>vlookup(U79, 'Week 4'!$A$2:$H$119, 5, False)</f>
        <v/>
      </c>
      <c r="AC83" s="4" t="str">
        <f>vlookup(U79, 'Week 4'!$A$2:$H$119, 8, False)</f>
        <v/>
      </c>
      <c r="AD83" s="148" t="str">
        <f t="shared" si="180"/>
        <v>#DIV/0!</v>
      </c>
      <c r="AE83" s="145" t="s">
        <v>144</v>
      </c>
      <c r="AF83" s="4" t="str">
        <f t="shared" si="181"/>
        <v>Yes</v>
      </c>
      <c r="AG83" s="4" t="str">
        <f>if(AF83="Yes", vlookup(AE$1, 'Week 4'!$A$1:$H$119, 5, False), "")</f>
        <v>Win</v>
      </c>
      <c r="AH83" s="4">
        <f>vlookup(AE79, 'Week 4'!$A$2:$H$119, 3, False)</f>
        <v>12</v>
      </c>
      <c r="AI83" s="4">
        <f>vlookup(AE79, 'Week 4'!$A$2:$H$119, 6, False)</f>
        <v>4</v>
      </c>
      <c r="AJ83" s="4">
        <f>vlookup(AE79, 'Week 4'!$A$2:$H$119, 7, False)</f>
        <v>0</v>
      </c>
      <c r="AK83" s="4">
        <f>vlookup(AE79, 'Week 4'!$A$2:$H$119, 4, False)</f>
        <v>8</v>
      </c>
      <c r="AL83" s="4">
        <f>vlookup(AE79, 'Week 4'!$A$2:$H$119, 5, False)</f>
        <v>0</v>
      </c>
      <c r="AM83" s="4">
        <f>vlookup(AE79, 'Week 4'!$A$2:$H$119, 8, False)</f>
        <v>28</v>
      </c>
      <c r="AN83" s="148">
        <f t="shared" si="182"/>
        <v>0.3</v>
      </c>
      <c r="AO83" s="145" t="s">
        <v>144</v>
      </c>
      <c r="AP83" s="4" t="str">
        <f t="shared" si="183"/>
        <v/>
      </c>
      <c r="AQ83" s="4" t="str">
        <f>if(AP83="Yes", vlookup(AO$1, 'Week 4'!$A$1:$H$119, 5, False), "")</f>
        <v/>
      </c>
      <c r="AR83" s="146" t="str">
        <f>vlookup(AO79, 'Week 4'!$A$2:$H$119, 3, False)</f>
        <v/>
      </c>
      <c r="AS83" s="146" t="str">
        <f>vlookup(AO79, 'Week 4'!$A$2:$H$119, 6, False)</f>
        <v/>
      </c>
      <c r="AT83" s="146" t="str">
        <f>vlookup(AO79, 'Week 4'!$A$2:$H$119, 7, False)</f>
        <v/>
      </c>
      <c r="AU83" s="146" t="str">
        <f>vlookup(AO79, 'Week 4'!$A$2:$H$119, 4, False)</f>
        <v/>
      </c>
      <c r="AV83" s="146" t="str">
        <f>vlookup(AO79, 'Week 4'!$A$2:$H$119, 5, False)</f>
        <v/>
      </c>
      <c r="AW83" s="146" t="str">
        <f>vlookup(AO79, 'Week 4'!$A$2:$H$119, 8, False)</f>
        <v/>
      </c>
      <c r="AX83" s="148" t="str">
        <f t="shared" si="184"/>
        <v>#DIV/0!</v>
      </c>
      <c r="AY83" s="145" t="s">
        <v>144</v>
      </c>
      <c r="AZ83" s="4" t="str">
        <f t="shared" si="185"/>
        <v/>
      </c>
      <c r="BA83" s="4" t="str">
        <f>if(AZ83="Yes", vlookup(AY$1, 'Week 4'!$A$1:$H$119, 5, False), "")</f>
        <v/>
      </c>
      <c r="BB83" s="146" t="str">
        <f>vlookup(AY79, 'Week 4'!$A$2:$H$119, 3, False)</f>
        <v/>
      </c>
      <c r="BC83" s="146" t="str">
        <f>vlookup(AY79, 'Week 4'!$A$2:$H$119, 6, False)</f>
        <v/>
      </c>
      <c r="BD83" s="146" t="str">
        <f>vlookup(AY79, 'Week 4'!$A$2:$H$119, 7, False)</f>
        <v/>
      </c>
      <c r="BE83" s="146" t="str">
        <f>vlookup(AY79, 'Week 4'!$A$2:$H$119, 4, False)</f>
        <v/>
      </c>
      <c r="BF83" s="146" t="str">
        <f>vlookup(AY79, 'Week 4'!$A$2:$H$119, 5, False)</f>
        <v/>
      </c>
      <c r="BG83" s="146" t="str">
        <f>vlookup(AY79, 'Week 4'!$A$2:$H$119, 8, False)</f>
        <v/>
      </c>
      <c r="BH83" s="148" t="str">
        <f t="shared" si="186"/>
        <v>#DIV/0!</v>
      </c>
      <c r="BI83" s="7"/>
      <c r="BJ83" s="7"/>
      <c r="BK83" s="7"/>
      <c r="BL83" s="7"/>
    </row>
    <row r="84">
      <c r="A84" s="145" t="s">
        <v>146</v>
      </c>
      <c r="B84" s="4" t="str">
        <f t="shared" si="175"/>
        <v>#N/A</v>
      </c>
      <c r="C84" s="4" t="str">
        <f>if(B84="Yes", vlookup(A$1, 'Week 5'!$A$1:$H$119, 5, False), "")</f>
        <v>#N/A</v>
      </c>
      <c r="D84" s="4" t="str">
        <f>vlookup(A79, 'Week 5'!$A$2:$H$119, 3, False)</f>
        <v>#N/A</v>
      </c>
      <c r="E84" s="4" t="str">
        <f>vlookup(A79, 'Week 5'!$A$2:$H$119, 6, False)</f>
        <v>#N/A</v>
      </c>
      <c r="F84" s="4" t="str">
        <f>vlookup(A79, 'Week 5'!$A$2:$H$119, 7, False)</f>
        <v>#N/A</v>
      </c>
      <c r="G84" s="4" t="str">
        <f>vlookup(A79, 'Week 5'!$A$2:$H$119, 4, False)</f>
        <v>#N/A</v>
      </c>
      <c r="H84" s="4" t="str">
        <f>vlookup(A79, 'Week 5'!$A$2:$H$119, 5, False)</f>
        <v>#N/A</v>
      </c>
      <c r="I84" s="4" t="str">
        <f>vlookup(A79, 'Week 5'!$A$2:$H$119, 8, False)</f>
        <v>#N/A</v>
      </c>
      <c r="J84" s="148" t="str">
        <f t="shared" si="176"/>
        <v>#N/A</v>
      </c>
      <c r="K84" s="145" t="s">
        <v>146</v>
      </c>
      <c r="L84" s="4" t="str">
        <f t="shared" si="177"/>
        <v/>
      </c>
      <c r="M84" s="4" t="str">
        <f>if(L84="Yes", vlookup(K$1, 'Week 5'!$A$1:$H$119, 5, False), "")</f>
        <v/>
      </c>
      <c r="N84" s="4" t="str">
        <f>vlookup(K79, 'Week 5'!$A$2:$H$119, 3, False)</f>
        <v/>
      </c>
      <c r="O84" s="4" t="str">
        <f>vlookup(K79, 'Week 5'!$A$2:$H$119, 6, False)</f>
        <v/>
      </c>
      <c r="P84" s="4" t="str">
        <f>vlookup(K79, 'Week 5'!$A$2:$H$119, 7, False)</f>
        <v/>
      </c>
      <c r="Q84" s="4" t="str">
        <f>vlookup(K79, 'Week 5'!$A$2:$H$119, 4, False)</f>
        <v/>
      </c>
      <c r="R84" s="4" t="str">
        <f>vlookup(K79, 'Week 5'!$A$2:$H$119, 5, False)</f>
        <v/>
      </c>
      <c r="S84" s="4" t="str">
        <f>vlookup(K79, 'Week 5'!$A$2:$H$119, 8, False)</f>
        <v/>
      </c>
      <c r="T84" s="148" t="str">
        <f t="shared" si="178"/>
        <v>#DIV/0!</v>
      </c>
      <c r="U84" s="145" t="s">
        <v>146</v>
      </c>
      <c r="V84" s="4" t="str">
        <f t="shared" si="179"/>
        <v>Yes</v>
      </c>
      <c r="W84" s="4" t="str">
        <f>if(V84="Yes", vlookup(U$1, 'Week 5'!$A$1:$H$119, 5, False), "")</f>
        <v>Loss</v>
      </c>
      <c r="X84" s="146">
        <f>vlookup(U79, 'Week 5'!$A$2:$H$119, 3, False)</f>
        <v>9</v>
      </c>
      <c r="Y84" s="146">
        <f>vlookup(U79, 'Week 5'!$A$2:$H$119, 6, False)</f>
        <v>8</v>
      </c>
      <c r="Z84" s="146">
        <f>vlookup(U79, 'Week 5'!$A$2:$H$119, 7, False)</f>
        <v>0</v>
      </c>
      <c r="AA84" s="146">
        <f>vlookup(U79, 'Week 5'!$A$2:$H$119, 4, False)</f>
        <v>1</v>
      </c>
      <c r="AB84" s="146">
        <f>vlookup(U79, 'Week 5'!$A$2:$H$119, 5, False)</f>
        <v>0</v>
      </c>
      <c r="AC84" s="146">
        <f>vlookup(U79, 'Week 5'!$A$2:$H$119, 8, False)</f>
        <v>21</v>
      </c>
      <c r="AD84" s="148">
        <f t="shared" si="180"/>
        <v>0.3</v>
      </c>
      <c r="AE84" s="145" t="s">
        <v>146</v>
      </c>
      <c r="AF84" s="4" t="str">
        <f t="shared" si="181"/>
        <v>Yes</v>
      </c>
      <c r="AG84" s="4" t="str">
        <f>if(AF84="Yes", vlookup(AE$1, 'Week 5'!$A$1:$H$119, 5, False), "")</f>
        <v>Win</v>
      </c>
      <c r="AH84" s="4">
        <f>vlookup(AE79, 'Week 5'!$A$2:$H$119, 3, False)</f>
        <v>17</v>
      </c>
      <c r="AI84" s="4">
        <f>vlookup(AE79, 'Week 5'!$A$2:$H$119, 6, False)</f>
        <v>14</v>
      </c>
      <c r="AJ84" s="4">
        <f>vlookup(AE79, 'Week 5'!$A$2:$H$119, 7, False)</f>
        <v>0</v>
      </c>
      <c r="AK84" s="4">
        <f>vlookup(AE79, 'Week 5'!$A$2:$H$119, 4, False)</f>
        <v>3</v>
      </c>
      <c r="AL84" s="4">
        <f>vlookup(AE79, 'Week 5'!$A$2:$H$119, 5, False)</f>
        <v>0</v>
      </c>
      <c r="AM84" s="4">
        <f>vlookup(AE79, 'Week 5'!$A$2:$H$119, 8, False)</f>
        <v>28</v>
      </c>
      <c r="AN84" s="148">
        <f t="shared" si="182"/>
        <v>0.3777777778</v>
      </c>
      <c r="AO84" s="145" t="s">
        <v>146</v>
      </c>
      <c r="AP84" s="4" t="str">
        <f t="shared" si="183"/>
        <v/>
      </c>
      <c r="AQ84" s="4" t="str">
        <f>if(AP84="Yes", vlookup(AO$1, 'Week 5'!$A$1:$H$119, 5, False), "")</f>
        <v/>
      </c>
      <c r="AR84" s="146" t="str">
        <f>vlookup(AO79, 'Week 5'!$A$2:$H$119, 3, False)</f>
        <v/>
      </c>
      <c r="AS84" s="146" t="str">
        <f>vlookup(AO79, 'Week 5'!$A$2:$H$119, 6, False)</f>
        <v/>
      </c>
      <c r="AT84" s="146" t="str">
        <f>vlookup(AO79, 'Week 5'!$A$2:$H$119, 7, False)</f>
        <v/>
      </c>
      <c r="AU84" s="146" t="str">
        <f>vlookup(AO79, 'Week 5'!$A$2:$H$119, 4, False)</f>
        <v/>
      </c>
      <c r="AV84" s="146" t="str">
        <f>vlookup(AO79, 'Week 5'!$A$2:$H$119, 5, False)</f>
        <v/>
      </c>
      <c r="AW84" s="146" t="str">
        <f>vlookup(AO79, 'Week 5'!$A$2:$H$119, 8, False)</f>
        <v/>
      </c>
      <c r="AX84" s="148" t="str">
        <f t="shared" si="184"/>
        <v>#DIV/0!</v>
      </c>
      <c r="AY84" s="145" t="s">
        <v>146</v>
      </c>
      <c r="AZ84" s="4" t="str">
        <f t="shared" si="185"/>
        <v/>
      </c>
      <c r="BA84" s="4" t="str">
        <f>if(AZ84="Yes", vlookup(AY$1, 'Week 5'!$A$1:$H$119, 5, False), "")</f>
        <v/>
      </c>
      <c r="BB84" s="146" t="str">
        <f>vlookup(AY79, 'Week 5'!$A$2:$H$119, 3, False)</f>
        <v/>
      </c>
      <c r="BC84" s="146" t="str">
        <f>vlookup(AY79, 'Week 5'!$A$2:$H$119, 6, False)</f>
        <v/>
      </c>
      <c r="BD84" s="146" t="str">
        <f>vlookup(AY79, 'Week 5'!$A$2:$H$119, 7, False)</f>
        <v/>
      </c>
      <c r="BE84" s="146" t="str">
        <f>vlookup(AY79, 'Week 5'!$A$2:$H$119, 4, False)</f>
        <v/>
      </c>
      <c r="BF84" s="146" t="str">
        <f>vlookup(AY79, 'Week 5'!$A$2:$H$119, 5, False)</f>
        <v/>
      </c>
      <c r="BG84" s="146" t="str">
        <f>vlookup(AY79, 'Week 5'!$A$2:$H$119, 8, False)</f>
        <v/>
      </c>
      <c r="BH84" s="148" t="str">
        <f t="shared" si="186"/>
        <v>#DIV/0!</v>
      </c>
      <c r="BI84" s="7"/>
      <c r="BJ84" s="7"/>
      <c r="BK84" s="7"/>
      <c r="BL84" s="7"/>
    </row>
    <row r="85">
      <c r="A85" s="145" t="s">
        <v>148</v>
      </c>
      <c r="B85" s="4" t="str">
        <f t="shared" si="175"/>
        <v>#N/A</v>
      </c>
      <c r="C85" s="4" t="str">
        <f>if(B85="Yes", vlookup(A$1, 'Week 6'!$A$1:$H$119, 5, False), "")</f>
        <v>#N/A</v>
      </c>
      <c r="D85" s="4" t="str">
        <f>vlookup(A79, 'Week 6'!$A$2:$H$119, 3, False)</f>
        <v>#N/A</v>
      </c>
      <c r="E85" s="4" t="str">
        <f>vlookup(A79, 'Week 6'!$A$2:$H$119, 6, False)</f>
        <v>#N/A</v>
      </c>
      <c r="F85" s="4" t="str">
        <f>vlookup(A79, 'Week 6'!$A$2:$H$119, 7, False)</f>
        <v>#N/A</v>
      </c>
      <c r="G85" s="4" t="str">
        <f>vlookup(A79, 'Week 6'!$A$2:$H$119, 4, False)</f>
        <v>#N/A</v>
      </c>
      <c r="H85" s="4" t="str">
        <f>vlookup(A79, 'Week 6'!$A$2:$H$119, 5, False)</f>
        <v>#N/A</v>
      </c>
      <c r="I85" s="4" t="str">
        <f>vlookup(A79, 'Week 6'!$A$2:$H$119, 8, False)</f>
        <v>#N/A</v>
      </c>
      <c r="J85" s="148" t="str">
        <f t="shared" si="176"/>
        <v>#N/A</v>
      </c>
      <c r="K85" s="145" t="s">
        <v>148</v>
      </c>
      <c r="L85" s="4" t="str">
        <f t="shared" si="177"/>
        <v/>
      </c>
      <c r="M85" s="4" t="str">
        <f>if(L85="Yes", vlookup(K$1, 'Week 6'!$A$1:$H$119, 5, False), "")</f>
        <v/>
      </c>
      <c r="N85" s="4" t="str">
        <f>vlookup(K79, 'Week 6'!$A$2:$H$119, 3, False)</f>
        <v/>
      </c>
      <c r="O85" s="4" t="str">
        <f>vlookup(K79, 'Week 6'!$A$2:$H$119, 6, False)</f>
        <v/>
      </c>
      <c r="P85" s="4" t="str">
        <f>vlookup(K79, 'Week 6'!$A$2:$H$119, 7, False)</f>
        <v/>
      </c>
      <c r="Q85" s="4" t="str">
        <f>vlookup(K79, 'Week 6'!$A$2:$H$119, 4, False)</f>
        <v/>
      </c>
      <c r="R85" s="4" t="str">
        <f>vlookup(K79, 'Week 6'!$A$2:$H$119, 5, False)</f>
        <v/>
      </c>
      <c r="S85" s="4" t="str">
        <f>vlookup(K79, 'Week 6'!$A$2:$H$119, 8, False)</f>
        <v/>
      </c>
      <c r="T85" s="148" t="str">
        <f t="shared" si="178"/>
        <v>#DIV/0!</v>
      </c>
      <c r="U85" s="145" t="s">
        <v>148</v>
      </c>
      <c r="V85" s="4" t="str">
        <f t="shared" si="179"/>
        <v/>
      </c>
      <c r="W85" s="4" t="str">
        <f>if(V85="Yes", vlookup(U$1, 'Week 6'!$A$1:$H$119, 5, False), "")</f>
        <v/>
      </c>
      <c r="X85" s="4" t="str">
        <f>vlookup(U79, 'Week 6'!$A$2:$H$119, 3, False)</f>
        <v/>
      </c>
      <c r="Y85" s="4" t="str">
        <f>vlookup(U79, 'Week 6'!$A$2:$H$119, 6, False)</f>
        <v/>
      </c>
      <c r="Z85" s="4" t="str">
        <f>vlookup(U79, 'Week 6'!$A$2:$H$119, 7, False)</f>
        <v/>
      </c>
      <c r="AA85" s="4" t="str">
        <f>vlookup(U79, 'Week 6'!$A$2:$H$119, 4, False)</f>
        <v/>
      </c>
      <c r="AB85" s="4" t="str">
        <f>vlookup(U79, 'Week 6'!$A$2:$H$119, 5, False)</f>
        <v/>
      </c>
      <c r="AC85" s="4" t="str">
        <f>vlookup(U79, 'Week 6'!$A$2:$H$119, 8, False)</f>
        <v/>
      </c>
      <c r="AD85" s="148" t="str">
        <f t="shared" si="180"/>
        <v>#DIV/0!</v>
      </c>
      <c r="AE85" s="145" t="s">
        <v>148</v>
      </c>
      <c r="AF85" s="4" t="str">
        <f t="shared" si="181"/>
        <v>Yes</v>
      </c>
      <c r="AG85" s="4" t="str">
        <f>if(AF85="Yes", vlookup(AE$1, 'Week 6'!$A$1:$H$119, 5, False), "")</f>
        <v>Win</v>
      </c>
      <c r="AH85" s="4">
        <f>vlookup(AE79, 'Week 6'!$A$2:$H$119, 3, False)</f>
        <v>14</v>
      </c>
      <c r="AI85" s="4">
        <f>vlookup(AE79, 'Week 6'!$A$2:$H$119, 6, False)</f>
        <v>14</v>
      </c>
      <c r="AJ85" s="4">
        <f>vlookup(AE79, 'Week 6'!$A$2:$H$119, 7, False)</f>
        <v>0</v>
      </c>
      <c r="AK85" s="4">
        <f>vlookup(AE79, 'Week 6'!$A$2:$H$119, 4, False)</f>
        <v>0</v>
      </c>
      <c r="AL85" s="4">
        <f>vlookup(AE79, 'Week 6'!$A$2:$H$119, 5, False)</f>
        <v>0</v>
      </c>
      <c r="AM85" s="4">
        <f>vlookup(AE79, 'Week 6'!$A$2:$H$119, 8, False)</f>
        <v>26</v>
      </c>
      <c r="AN85" s="148">
        <f t="shared" si="182"/>
        <v>0.35</v>
      </c>
      <c r="AO85" s="145" t="s">
        <v>148</v>
      </c>
      <c r="AP85" s="4" t="str">
        <f t="shared" si="183"/>
        <v/>
      </c>
      <c r="AQ85" s="4" t="str">
        <f>if(AP85="Yes", vlookup(AO$1, 'Week 6'!$A$1:$H$119, 5, False), "")</f>
        <v/>
      </c>
      <c r="AR85" s="146" t="str">
        <f>vlookup(AO79, 'Week 6'!$A$2:$H$119, 3, False)</f>
        <v/>
      </c>
      <c r="AS85" s="146" t="str">
        <f>vlookup(AO79, 'Week 6'!$A$2:$H$119, 6, False)</f>
        <v/>
      </c>
      <c r="AT85" s="146" t="str">
        <f>vlookup(AO79, 'Week 6'!$A$2:$H$119, 7, False)</f>
        <v/>
      </c>
      <c r="AU85" s="146" t="str">
        <f>vlookup(AO79, 'Week 6'!$A$2:$H$119, 4, False)</f>
        <v/>
      </c>
      <c r="AV85" s="146" t="str">
        <f>vlookup(AO79, 'Week 6'!$A$2:$H$119, 5, False)</f>
        <v/>
      </c>
      <c r="AW85" s="146" t="str">
        <f>vlookup(AO79, 'Week 6'!$A$2:$H$119, 8, False)</f>
        <v/>
      </c>
      <c r="AX85" s="148" t="str">
        <f t="shared" si="184"/>
        <v>#DIV/0!</v>
      </c>
      <c r="AY85" s="145" t="s">
        <v>148</v>
      </c>
      <c r="AZ85" s="4" t="str">
        <f t="shared" si="185"/>
        <v/>
      </c>
      <c r="BA85" s="4" t="str">
        <f>if(AZ85="Yes", vlookup(AY$1, 'Week 6'!$A$1:$H$119, 5, False), "")</f>
        <v/>
      </c>
      <c r="BB85" s="4" t="str">
        <f>vlookup(AY79, 'Week 6'!$A$2:$H$119, 3, False)</f>
        <v/>
      </c>
      <c r="BC85" s="4" t="str">
        <f>vlookup(AY79, 'Week 6'!$A$2:$H$119, 6, False)</f>
        <v/>
      </c>
      <c r="BD85" s="4" t="str">
        <f>vlookup(AY79, 'Week 6'!$A$2:$H$119, 7, False)</f>
        <v/>
      </c>
      <c r="BE85" s="4" t="str">
        <f>vlookup(AY79, 'Week 6'!$A$2:$H$119, 4, False)</f>
        <v/>
      </c>
      <c r="BF85" s="4" t="str">
        <f>vlookup(AY79, 'Week 6'!$A$2:$H$119, 5, False)</f>
        <v/>
      </c>
      <c r="BG85" s="4" t="str">
        <f>vlookup(AY79, 'Week 6'!$A$2:$H$119, 8, False)</f>
        <v/>
      </c>
      <c r="BH85" s="148" t="str">
        <f t="shared" si="186"/>
        <v>#DIV/0!</v>
      </c>
      <c r="BI85" s="7"/>
      <c r="BJ85" s="7"/>
      <c r="BK85" s="7"/>
      <c r="BL85" s="7"/>
    </row>
    <row r="86">
      <c r="A86" s="145" t="s">
        <v>154</v>
      </c>
      <c r="B86" s="4" t="str">
        <f t="shared" si="175"/>
        <v>#N/A</v>
      </c>
      <c r="C86" s="4" t="str">
        <f>if(B86="Yes", vlookup(A$1, 'Week 7'!$A$1:$H$119, 5, False), "")</f>
        <v>#N/A</v>
      </c>
      <c r="D86" s="4" t="str">
        <f>vlookup(A79, 'Week 7'!$A$2:$H$119, 3, False)</f>
        <v>#N/A</v>
      </c>
      <c r="E86" s="4" t="str">
        <f>vlookup(A79, 'Week 7'!$A$2:$H$119, 6, False)</f>
        <v>#N/A</v>
      </c>
      <c r="F86" s="4" t="str">
        <f>vlookup(A79, 'Week 7'!$A$2:$H$119, 7, False)</f>
        <v>#N/A</v>
      </c>
      <c r="G86" s="4" t="str">
        <f>vlookup(A79, 'Week 7'!$A$2:$H$119, 4, False)</f>
        <v>#N/A</v>
      </c>
      <c r="H86" s="4" t="str">
        <f>vlookup(A79, 'Week 7'!$A$2:$H$119, 5, False)</f>
        <v>#N/A</v>
      </c>
      <c r="I86" s="4" t="str">
        <f>vlookup(A79, 'Week 7'!$A$2:$H$119, 8, False)</f>
        <v>#N/A</v>
      </c>
      <c r="J86" s="148" t="str">
        <f t="shared" si="176"/>
        <v>#N/A</v>
      </c>
      <c r="K86" s="145" t="s">
        <v>154</v>
      </c>
      <c r="L86" s="4" t="str">
        <f t="shared" si="177"/>
        <v>Yes</v>
      </c>
      <c r="M86" s="4" t="str">
        <f>if(L86="Yes", vlookup(K$1, 'Week 7'!$A$1:$H$119, 5, False), "")</f>
        <v>Loss</v>
      </c>
      <c r="N86" s="4">
        <f>vlookup(K79, 'Week 7'!$A$2:$H$119, 3, False)</f>
        <v>12</v>
      </c>
      <c r="O86" s="4">
        <f>vlookup(K79, 'Week 7'!$A$2:$H$119, 6, False)</f>
        <v>7</v>
      </c>
      <c r="P86" s="4">
        <f>vlookup(K79, 'Week 7'!$A$2:$H$119, 7, False)</f>
        <v>0</v>
      </c>
      <c r="Q86" s="4">
        <f>vlookup(K79, 'Week 7'!$A$2:$H$119, 4, False)</f>
        <v>5</v>
      </c>
      <c r="R86" s="4">
        <f>vlookup(K79, 'Week 7'!$A$2:$H$119, 5, False)</f>
        <v>0</v>
      </c>
      <c r="S86" s="4">
        <f>vlookup(K79, 'Week 7'!$A$2:$H$119, 8, False)</f>
        <v>30</v>
      </c>
      <c r="T86" s="148">
        <f t="shared" si="178"/>
        <v>0.2857142857</v>
      </c>
      <c r="U86" s="145" t="s">
        <v>154</v>
      </c>
      <c r="V86" s="4" t="str">
        <f t="shared" si="179"/>
        <v/>
      </c>
      <c r="W86" s="4" t="str">
        <f>if(V86="Yes", vlookup(U$1, 'Week 7'!$A$1:$H$119, 5, False), "")</f>
        <v/>
      </c>
      <c r="X86" s="4" t="str">
        <f>vlookup(U79, 'Week 7'!$A$2:$H$119, 3, False)</f>
        <v/>
      </c>
      <c r="Y86" s="4" t="str">
        <f>vlookup(U79, 'Week 7'!$A$2:$H$119, 6, False)</f>
        <v/>
      </c>
      <c r="Z86" s="4" t="str">
        <f>vlookup(U79, 'Week 7'!$A$2:$H$119, 7, False)</f>
        <v/>
      </c>
      <c r="AA86" s="4" t="str">
        <f>vlookup(U79, 'Week 7'!$A$2:$H$119, 4, False)</f>
        <v/>
      </c>
      <c r="AB86" s="4" t="str">
        <f>vlookup(U79, 'Week 7'!$A$2:$H$119, 5, False)</f>
        <v/>
      </c>
      <c r="AC86" s="4" t="str">
        <f>vlookup(U79, 'Week 7'!$A$2:$H$119, 8, False)</f>
        <v/>
      </c>
      <c r="AD86" s="148" t="str">
        <f t="shared" si="180"/>
        <v>#DIV/0!</v>
      </c>
      <c r="AE86" s="145" t="s">
        <v>154</v>
      </c>
      <c r="AF86" s="4" t="str">
        <f t="shared" si="181"/>
        <v>Yes</v>
      </c>
      <c r="AG86" s="4" t="str">
        <f>if(AF86="Yes", vlookup(AE$1, 'Week 7'!$A$1:$H$119, 5, False), "")</f>
        <v>Loss</v>
      </c>
      <c r="AH86" s="4">
        <f>vlookup(AE79, 'Week 7'!$A$2:$H$119, 3, False)</f>
        <v>12</v>
      </c>
      <c r="AI86" s="4">
        <f>vlookup(AE79, 'Week 7'!$A$2:$H$119, 6, False)</f>
        <v>5</v>
      </c>
      <c r="AJ86" s="4">
        <f>vlookup(AE79, 'Week 7'!$A$2:$H$119, 7, False)</f>
        <v>0</v>
      </c>
      <c r="AK86" s="4">
        <f>vlookup(AE79, 'Week 7'!$A$2:$H$119, 4, False)</f>
        <v>7</v>
      </c>
      <c r="AL86" s="4">
        <f>vlookup(AE79, 'Week 7'!$A$2:$H$119, 5, False)</f>
        <v>0</v>
      </c>
      <c r="AM86" s="4">
        <f>vlookup(AE79, 'Week 7'!$A$2:$H$119, 8, False)</f>
        <v>32</v>
      </c>
      <c r="AN86" s="148">
        <f t="shared" si="182"/>
        <v>0.2727272727</v>
      </c>
      <c r="AO86" s="145" t="s">
        <v>154</v>
      </c>
      <c r="AP86" s="4" t="str">
        <f t="shared" si="183"/>
        <v>Yes</v>
      </c>
      <c r="AQ86" s="4" t="str">
        <f>if(AP86="Yes", vlookup(AO$1, 'Week 7'!$A$1:$H$119, 5, False), "")</f>
        <v>Loss</v>
      </c>
      <c r="AR86" s="146">
        <f>vlookup(AO79, 'Week 7'!$A$2:$H$119, 3, False)</f>
        <v>10</v>
      </c>
      <c r="AS86" s="146">
        <f>vlookup(AO79, 'Week 7'!$A$2:$H$119, 6, False)</f>
        <v>6</v>
      </c>
      <c r="AT86" s="146">
        <f>vlookup(AO79, 'Week 7'!$A$2:$H$119, 7, False)</f>
        <v>0</v>
      </c>
      <c r="AU86" s="146">
        <f>vlookup(AO79, 'Week 7'!$A$2:$H$119, 4, False)</f>
        <v>4</v>
      </c>
      <c r="AV86" s="146">
        <f>vlookup(AO79, 'Week 7'!$A$2:$H$119, 5, False)</f>
        <v>0</v>
      </c>
      <c r="AW86" s="146">
        <f>vlookup(AO79, 'Week 7'!$A$2:$H$119, 8, False)</f>
        <v>26</v>
      </c>
      <c r="AX86" s="148">
        <f t="shared" si="184"/>
        <v>0.2777777778</v>
      </c>
      <c r="AY86" s="145" t="s">
        <v>154</v>
      </c>
      <c r="AZ86" s="4" t="str">
        <f t="shared" si="185"/>
        <v/>
      </c>
      <c r="BA86" s="4" t="str">
        <f>if(AZ86="Yes", vlookup(AY$1, 'Week 7'!$A$1:$H$119, 5, False), "")</f>
        <v/>
      </c>
      <c r="BB86" s="146" t="str">
        <f>vlookup(AY79, 'Week 7'!$A$2:$H$119, 3, False)</f>
        <v/>
      </c>
      <c r="BC86" s="146" t="str">
        <f>vlookup(AY79, 'Week 7'!$A$2:$H$119, 6, False)</f>
        <v/>
      </c>
      <c r="BD86" s="146" t="str">
        <f>vlookup(AY79, 'Week 7'!$A$2:$H$119, 7, False)</f>
        <v/>
      </c>
      <c r="BE86" s="146" t="str">
        <f>vlookup(AY79, 'Week 7'!$A$2:$H$119, 4, False)</f>
        <v/>
      </c>
      <c r="BF86" s="146" t="str">
        <f>vlookup(AY79, 'Week 7'!$A$2:$H$119, 5, False)</f>
        <v/>
      </c>
      <c r="BG86" s="146" t="str">
        <f>vlookup(AY79, 'Week 7'!$A$2:$H$119, 8, False)</f>
        <v/>
      </c>
      <c r="BH86" s="148" t="str">
        <f t="shared" si="186"/>
        <v>#DIV/0!</v>
      </c>
      <c r="BI86" s="7"/>
      <c r="BJ86" s="7"/>
      <c r="BK86" s="7"/>
      <c r="BL86" s="7"/>
    </row>
    <row r="87">
      <c r="A87" s="145" t="s">
        <v>211</v>
      </c>
      <c r="B87" s="4" t="str">
        <f t="shared" si="175"/>
        <v/>
      </c>
      <c r="C87" s="4" t="str">
        <f>if(B87="Yes", vlookup(A$1, 'Week 1'!$A$1:$H$119, 5, False), "")</f>
        <v/>
      </c>
      <c r="D87" s="4"/>
      <c r="E87" s="4"/>
      <c r="F87" s="4"/>
      <c r="G87" s="4"/>
      <c r="H87" s="4"/>
      <c r="I87" s="4"/>
      <c r="J87" s="123"/>
      <c r="K87" s="145" t="s">
        <v>211</v>
      </c>
      <c r="L87" s="4" t="str">
        <f t="shared" si="177"/>
        <v/>
      </c>
      <c r="M87" s="4" t="str">
        <f>if(L87="Yes", vlookup(K$1, 'Week 1'!$A$1:$H$119, 5, False), "")</f>
        <v/>
      </c>
      <c r="N87" s="4"/>
      <c r="O87" s="4"/>
      <c r="P87" s="4"/>
      <c r="Q87" s="4"/>
      <c r="R87" s="4"/>
      <c r="S87" s="4"/>
      <c r="T87" s="123"/>
      <c r="U87" s="145" t="s">
        <v>211</v>
      </c>
      <c r="V87" s="4" t="str">
        <f t="shared" si="179"/>
        <v/>
      </c>
      <c r="W87" s="4" t="str">
        <f>if(V87="Yes", vlookup(U$1, 'Week 1'!$A$1:$H$119, 5, False), "")</f>
        <v/>
      </c>
      <c r="X87" s="4"/>
      <c r="Y87" s="4"/>
      <c r="Z87" s="4"/>
      <c r="AA87" s="4"/>
      <c r="AB87" s="4"/>
      <c r="AC87" s="4"/>
      <c r="AD87" s="123"/>
      <c r="AE87" s="145" t="s">
        <v>211</v>
      </c>
      <c r="AF87" s="4" t="str">
        <f t="shared" si="181"/>
        <v/>
      </c>
      <c r="AG87" s="4" t="str">
        <f>if(AF87="Yes", vlookup(AE$1, 'Week 1'!$A$1:$H$119, 5, False), "")</f>
        <v/>
      </c>
      <c r="AH87" s="4"/>
      <c r="AI87" s="4"/>
      <c r="AJ87" s="4"/>
      <c r="AK87" s="4"/>
      <c r="AL87" s="4"/>
      <c r="AM87" s="4"/>
      <c r="AN87" s="123"/>
      <c r="AO87" s="145" t="s">
        <v>211</v>
      </c>
      <c r="AP87" s="4" t="str">
        <f t="shared" si="183"/>
        <v/>
      </c>
      <c r="AQ87" s="4" t="str">
        <f>if(AP87="Yes", vlookup(AO$1, 'Week 1'!$A$1:$H$119, 5, False), "")</f>
        <v/>
      </c>
      <c r="AR87" s="4"/>
      <c r="AS87" s="4"/>
      <c r="AT87" s="4"/>
      <c r="AU87" s="4"/>
      <c r="AV87" s="4"/>
      <c r="AW87" s="4"/>
      <c r="AX87" s="123"/>
      <c r="AY87" s="145" t="s">
        <v>211</v>
      </c>
      <c r="AZ87" s="4" t="str">
        <f t="shared" si="185"/>
        <v/>
      </c>
      <c r="BA87" s="4" t="str">
        <f>if(AZ87="Yes", vlookup(AY$1, 'Week 1'!$A$1:$H$119, 5, False), "")</f>
        <v/>
      </c>
      <c r="BB87" s="4"/>
      <c r="BC87" s="4"/>
      <c r="BD87" s="4"/>
      <c r="BE87" s="4"/>
      <c r="BF87" s="4"/>
      <c r="BG87" s="4"/>
      <c r="BH87" s="123"/>
      <c r="BI87" s="7"/>
      <c r="BJ87" s="7"/>
      <c r="BK87" s="7"/>
      <c r="BL87" s="7"/>
    </row>
    <row r="88">
      <c r="A88" s="145" t="s">
        <v>212</v>
      </c>
      <c r="B88" s="4" t="str">
        <f t="shared" si="175"/>
        <v/>
      </c>
      <c r="C88" s="4" t="str">
        <f>if(B88="Yes", vlookup(A$1, 'Week 1'!$A$1:$H$119, 5, False), "")</f>
        <v/>
      </c>
      <c r="D88" s="4"/>
      <c r="E88" s="4"/>
      <c r="F88" s="4"/>
      <c r="G88" s="4"/>
      <c r="H88" s="4"/>
      <c r="I88" s="4"/>
      <c r="J88" s="123"/>
      <c r="K88" s="145" t="s">
        <v>212</v>
      </c>
      <c r="L88" s="4" t="str">
        <f t="shared" si="177"/>
        <v/>
      </c>
      <c r="M88" s="4" t="str">
        <f>if(L88="Yes", vlookup(K$1, 'Week 1'!$A$1:$H$119, 5, False), "")</f>
        <v/>
      </c>
      <c r="N88" s="4"/>
      <c r="O88" s="4"/>
      <c r="P88" s="4"/>
      <c r="Q88" s="4"/>
      <c r="R88" s="4"/>
      <c r="S88" s="4"/>
      <c r="T88" s="123"/>
      <c r="U88" s="145" t="s">
        <v>212</v>
      </c>
      <c r="V88" s="4" t="str">
        <f t="shared" si="179"/>
        <v/>
      </c>
      <c r="W88" s="4" t="str">
        <f>if(V88="Yes", vlookup(U$1, 'Week 1'!$A$1:$H$119, 5, False), "")</f>
        <v/>
      </c>
      <c r="X88" s="4"/>
      <c r="Y88" s="4"/>
      <c r="Z88" s="4"/>
      <c r="AA88" s="4"/>
      <c r="AB88" s="4"/>
      <c r="AC88" s="4"/>
      <c r="AD88" s="123"/>
      <c r="AE88" s="145" t="s">
        <v>212</v>
      </c>
      <c r="AF88" s="4" t="str">
        <f t="shared" si="181"/>
        <v/>
      </c>
      <c r="AG88" s="4" t="str">
        <f>if(AF88="Yes", vlookup(AE$1, 'Week 1'!$A$1:$H$119, 5, False), "")</f>
        <v/>
      </c>
      <c r="AH88" s="4"/>
      <c r="AI88" s="4"/>
      <c r="AJ88" s="4"/>
      <c r="AK88" s="4"/>
      <c r="AL88" s="4"/>
      <c r="AM88" s="4"/>
      <c r="AN88" s="123"/>
      <c r="AO88" s="145" t="s">
        <v>212</v>
      </c>
      <c r="AP88" s="4" t="str">
        <f t="shared" si="183"/>
        <v/>
      </c>
      <c r="AQ88" s="4" t="str">
        <f>if(AP88="Yes", vlookup(AO$1, 'Week 1'!$A$1:$H$119, 5, False), "")</f>
        <v/>
      </c>
      <c r="AR88" s="4"/>
      <c r="AS88" s="4"/>
      <c r="AT88" s="4"/>
      <c r="AU88" s="4"/>
      <c r="AV88" s="4"/>
      <c r="AW88" s="4"/>
      <c r="AX88" s="123"/>
      <c r="AY88" s="145" t="s">
        <v>212</v>
      </c>
      <c r="AZ88" s="4" t="str">
        <f t="shared" si="185"/>
        <v/>
      </c>
      <c r="BA88" s="4" t="str">
        <f>if(AZ88="Yes", vlookup(AY$1, 'Week 1'!$A$1:$H$119, 5, False), "")</f>
        <v/>
      </c>
      <c r="BB88" s="4"/>
      <c r="BC88" s="4"/>
      <c r="BD88" s="4"/>
      <c r="BE88" s="4"/>
      <c r="BF88" s="4"/>
      <c r="BG88" s="4"/>
      <c r="BH88" s="123"/>
      <c r="BI88" s="7"/>
      <c r="BJ88" s="7"/>
      <c r="BK88" s="7"/>
      <c r="BL88" s="7"/>
    </row>
    <row r="89">
      <c r="A89" s="2" t="s">
        <v>213</v>
      </c>
      <c r="B89" s="149">
        <f>countif(B80:B88, "Yes")</f>
        <v>0</v>
      </c>
      <c r="C89" s="150" t="str">
        <f>countif(C80:C88, "Win")/(countif(C80:C88, "Win")+countif(C80:C88, "Loss"))</f>
        <v>#DIV/0!</v>
      </c>
      <c r="D89" s="151" t="str">
        <f t="shared" ref="D89:I89" si="187">average(D80:D88)</f>
        <v>#N/A</v>
      </c>
      <c r="E89" s="151" t="str">
        <f t="shared" si="187"/>
        <v>#N/A</v>
      </c>
      <c r="F89" s="151" t="str">
        <f t="shared" si="187"/>
        <v>#N/A</v>
      </c>
      <c r="G89" s="151" t="str">
        <f t="shared" si="187"/>
        <v>#N/A</v>
      </c>
      <c r="H89" s="151" t="str">
        <f t="shared" si="187"/>
        <v>#N/A</v>
      </c>
      <c r="I89" s="152" t="str">
        <f t="shared" si="187"/>
        <v>#N/A</v>
      </c>
      <c r="J89" s="153" t="str">
        <f>D89/(I89+D89)</f>
        <v>#N/A</v>
      </c>
      <c r="K89" s="2" t="s">
        <v>213</v>
      </c>
      <c r="L89" s="149">
        <f>countif(L80:L88, "Yes")</f>
        <v>2</v>
      </c>
      <c r="M89" s="153">
        <f>countif(M80:M88, "Win")/(countif(M80:M88, "Win")+countif(M80:M88, "Loss"))</f>
        <v>0</v>
      </c>
      <c r="N89" s="151">
        <f t="shared" ref="N89:S89" si="188">average(N80:N88)</f>
        <v>14.5</v>
      </c>
      <c r="O89" s="151">
        <f t="shared" si="188"/>
        <v>10</v>
      </c>
      <c r="P89" s="151">
        <f t="shared" si="188"/>
        <v>0</v>
      </c>
      <c r="Q89" s="151">
        <f t="shared" si="188"/>
        <v>4.5</v>
      </c>
      <c r="R89" s="151">
        <f t="shared" si="188"/>
        <v>0</v>
      </c>
      <c r="S89" s="152">
        <f t="shared" si="188"/>
        <v>24.5</v>
      </c>
      <c r="T89" s="153">
        <f>N89/(S89+N89)</f>
        <v>0.3717948718</v>
      </c>
      <c r="U89" s="2" t="s">
        <v>213</v>
      </c>
      <c r="V89" s="149">
        <f>countif(V80:V88, "Yes")</f>
        <v>2</v>
      </c>
      <c r="W89" s="150">
        <f>countif(W80:W88, "Win")/(countif(W80:W88, "Win")+countif(W80:W88, "Loss"))</f>
        <v>0</v>
      </c>
      <c r="X89" s="151">
        <f t="shared" ref="X89:AC89" si="189">average(X80:X88)</f>
        <v>13</v>
      </c>
      <c r="Y89" s="151">
        <f t="shared" si="189"/>
        <v>10.5</v>
      </c>
      <c r="Z89" s="151">
        <f t="shared" si="189"/>
        <v>0</v>
      </c>
      <c r="AA89" s="151">
        <f t="shared" si="189"/>
        <v>2.5</v>
      </c>
      <c r="AB89" s="151">
        <f t="shared" si="189"/>
        <v>0</v>
      </c>
      <c r="AC89" s="152">
        <f t="shared" si="189"/>
        <v>25.5</v>
      </c>
      <c r="AD89" s="153">
        <f>X89/(AC89+X89)</f>
        <v>0.3376623377</v>
      </c>
      <c r="AE89" s="2" t="s">
        <v>213</v>
      </c>
      <c r="AF89" s="149">
        <f>countif(AF80:AF88, "Yes")</f>
        <v>5</v>
      </c>
      <c r="AG89" s="150">
        <f>countif(AG80:AG88, "Win")/(countif(AG80:AG88, "Win")+countif(AG80:AG88, "Loss"))</f>
        <v>0.8</v>
      </c>
      <c r="AH89" s="151">
        <f t="shared" ref="AH89:AM89" si="190">average(AH80:AH88)</f>
        <v>13.6</v>
      </c>
      <c r="AI89" s="151">
        <f t="shared" si="190"/>
        <v>9.8</v>
      </c>
      <c r="AJ89" s="151">
        <f t="shared" si="190"/>
        <v>0</v>
      </c>
      <c r="AK89" s="151">
        <f t="shared" si="190"/>
        <v>3.8</v>
      </c>
      <c r="AL89" s="151">
        <f t="shared" si="190"/>
        <v>0</v>
      </c>
      <c r="AM89" s="152">
        <f t="shared" si="190"/>
        <v>27.2</v>
      </c>
      <c r="AN89" s="153">
        <f>AH89/(AM89+AH89)</f>
        <v>0.3333333333</v>
      </c>
      <c r="AO89" s="2" t="s">
        <v>213</v>
      </c>
      <c r="AP89" s="149">
        <f>countif(AP80:AP88, "Yes")</f>
        <v>2</v>
      </c>
      <c r="AQ89" s="150">
        <f>countif(AQ80:AQ88, "Win")/(countif(AQ80:AQ88, "Win")+countif(AQ80:AQ88, "Loss"))</f>
        <v>0</v>
      </c>
      <c r="AR89" s="151">
        <f t="shared" ref="AR89:AW89" si="191">average(AR80:AR88)</f>
        <v>9</v>
      </c>
      <c r="AS89" s="151">
        <f t="shared" si="191"/>
        <v>6.5</v>
      </c>
      <c r="AT89" s="151">
        <f t="shared" si="191"/>
        <v>0</v>
      </c>
      <c r="AU89" s="151">
        <f t="shared" si="191"/>
        <v>2</v>
      </c>
      <c r="AV89" s="151">
        <f t="shared" si="191"/>
        <v>0.5</v>
      </c>
      <c r="AW89" s="152">
        <f t="shared" si="191"/>
        <v>26</v>
      </c>
      <c r="AX89" s="153">
        <f>AR89/(AW89+AR89)</f>
        <v>0.2571428571</v>
      </c>
      <c r="AY89" s="2" t="s">
        <v>213</v>
      </c>
      <c r="AZ89" s="149">
        <f>countif(AZ80:AZ88, "Yes")</f>
        <v>0</v>
      </c>
      <c r="BA89" s="150" t="str">
        <f>countif(BA80:BA88, "Win")/(countif(BA80:BA88, "Win")+countif(BA80:BA88, "Loss"))</f>
        <v>#DIV/0!</v>
      </c>
      <c r="BB89" s="151" t="str">
        <f t="shared" ref="BB89:BG89" si="192">average(BB80:BB88)</f>
        <v>#DIV/0!</v>
      </c>
      <c r="BC89" s="151" t="str">
        <f t="shared" si="192"/>
        <v>#DIV/0!</v>
      </c>
      <c r="BD89" s="151" t="str">
        <f t="shared" si="192"/>
        <v>#DIV/0!</v>
      </c>
      <c r="BE89" s="151" t="str">
        <f t="shared" si="192"/>
        <v>#DIV/0!</v>
      </c>
      <c r="BF89" s="151" t="str">
        <f t="shared" si="192"/>
        <v>#DIV/0!</v>
      </c>
      <c r="BG89" s="152" t="str">
        <f t="shared" si="192"/>
        <v>#DIV/0!</v>
      </c>
      <c r="BH89" s="153" t="str">
        <f>BB89/(BG89+BB89)</f>
        <v>#DIV/0!</v>
      </c>
      <c r="BI89" s="7"/>
      <c r="BJ89" s="7"/>
      <c r="BK89" s="7"/>
      <c r="BL89" s="7"/>
    </row>
    <row r="90">
      <c r="A90" s="154" t="str">
        <f>Draft!B53</f>
        <v/>
      </c>
      <c r="B90" s="124">
        <f t="shared" ref="B90:J90" si="193">B100</f>
        <v>0</v>
      </c>
      <c r="C90" s="136" t="str">
        <f t="shared" si="193"/>
        <v>#DIV/0!</v>
      </c>
      <c r="D90" s="137" t="str">
        <f t="shared" si="193"/>
        <v>#N/A</v>
      </c>
      <c r="E90" s="137" t="str">
        <f t="shared" si="193"/>
        <v>#N/A</v>
      </c>
      <c r="F90" s="137" t="str">
        <f t="shared" si="193"/>
        <v>#N/A</v>
      </c>
      <c r="G90" s="137" t="str">
        <f t="shared" si="193"/>
        <v>#N/A</v>
      </c>
      <c r="H90" s="137" t="str">
        <f t="shared" si="193"/>
        <v>#N/A</v>
      </c>
      <c r="I90" s="138" t="str">
        <f t="shared" si="193"/>
        <v>#N/A</v>
      </c>
      <c r="J90" s="139" t="str">
        <f t="shared" si="193"/>
        <v>#N/A</v>
      </c>
      <c r="K90" s="155" t="str">
        <f>Draft!C53</f>
        <v>Will Ho</v>
      </c>
      <c r="L90" s="124">
        <f t="shared" ref="L90:T90" si="194">L100</f>
        <v>4</v>
      </c>
      <c r="M90" s="139">
        <f t="shared" si="194"/>
        <v>0.5</v>
      </c>
      <c r="N90" s="137">
        <f t="shared" si="194"/>
        <v>11.75</v>
      </c>
      <c r="O90" s="137">
        <f t="shared" si="194"/>
        <v>6.75</v>
      </c>
      <c r="P90" s="137">
        <f t="shared" si="194"/>
        <v>0.75</v>
      </c>
      <c r="Q90" s="137">
        <f t="shared" si="194"/>
        <v>3.5</v>
      </c>
      <c r="R90" s="137">
        <f t="shared" si="194"/>
        <v>0.75</v>
      </c>
      <c r="S90" s="138">
        <f t="shared" si="194"/>
        <v>25.5</v>
      </c>
      <c r="T90" s="139">
        <f t="shared" si="194"/>
        <v>0.3154362416</v>
      </c>
      <c r="U90" s="156" t="str">
        <f>Draft!D53</f>
        <v>Pasha</v>
      </c>
      <c r="V90" s="124">
        <f t="shared" ref="V90:AD90" si="195">V100</f>
        <v>2</v>
      </c>
      <c r="W90" s="136">
        <f t="shared" si="195"/>
        <v>0.5</v>
      </c>
      <c r="X90" s="137">
        <f t="shared" si="195"/>
        <v>16</v>
      </c>
      <c r="Y90" s="137">
        <f t="shared" si="195"/>
        <v>11.5</v>
      </c>
      <c r="Z90" s="137">
        <f t="shared" si="195"/>
        <v>1.5</v>
      </c>
      <c r="AA90" s="137">
        <f t="shared" si="195"/>
        <v>1.5</v>
      </c>
      <c r="AB90" s="137">
        <f t="shared" si="195"/>
        <v>1.5</v>
      </c>
      <c r="AC90" s="138">
        <f t="shared" si="195"/>
        <v>30</v>
      </c>
      <c r="AD90" s="139">
        <f t="shared" si="195"/>
        <v>0.347826087</v>
      </c>
      <c r="AE90" s="157" t="str">
        <f>Draft!E53</f>
        <v>Adi</v>
      </c>
      <c r="AF90" s="124">
        <f t="shared" ref="AF90:AN90" si="196">AF100</f>
        <v>1</v>
      </c>
      <c r="AG90" s="136">
        <f t="shared" si="196"/>
        <v>0</v>
      </c>
      <c r="AH90" s="137">
        <f t="shared" si="196"/>
        <v>19</v>
      </c>
      <c r="AI90" s="137">
        <f t="shared" si="196"/>
        <v>8</v>
      </c>
      <c r="AJ90" s="137">
        <f t="shared" si="196"/>
        <v>0</v>
      </c>
      <c r="AK90" s="137">
        <f t="shared" si="196"/>
        <v>10</v>
      </c>
      <c r="AL90" s="137">
        <f t="shared" si="196"/>
        <v>1</v>
      </c>
      <c r="AM90" s="138">
        <f t="shared" si="196"/>
        <v>30</v>
      </c>
      <c r="AN90" s="139">
        <f t="shared" si="196"/>
        <v>0.387755102</v>
      </c>
      <c r="AO90" s="158" t="str">
        <f>Draft!F53</f>
        <v>Brendan</v>
      </c>
      <c r="AP90" s="124">
        <f t="shared" ref="AP90:AX90" si="197">AP100</f>
        <v>3</v>
      </c>
      <c r="AQ90" s="139">
        <f t="shared" si="197"/>
        <v>0.3333333333</v>
      </c>
      <c r="AR90" s="137">
        <f t="shared" si="197"/>
        <v>15.33333333</v>
      </c>
      <c r="AS90" s="137">
        <f t="shared" si="197"/>
        <v>5.666666667</v>
      </c>
      <c r="AT90" s="137">
        <f t="shared" si="197"/>
        <v>0</v>
      </c>
      <c r="AU90" s="137">
        <f t="shared" si="197"/>
        <v>7.666666667</v>
      </c>
      <c r="AV90" s="137">
        <f t="shared" si="197"/>
        <v>2</v>
      </c>
      <c r="AW90" s="138">
        <f t="shared" si="197"/>
        <v>26.66666667</v>
      </c>
      <c r="AX90" s="139">
        <f t="shared" si="197"/>
        <v>0.3650793651</v>
      </c>
      <c r="AY90" s="19" t="str">
        <f>Draft!G53</f>
        <v>Cole</v>
      </c>
      <c r="AZ90" s="124">
        <f t="shared" ref="AZ90:BH90" si="198">AZ100</f>
        <v>1</v>
      </c>
      <c r="BA90" s="139">
        <f t="shared" si="198"/>
        <v>0</v>
      </c>
      <c r="BB90" s="137">
        <f t="shared" si="198"/>
        <v>18</v>
      </c>
      <c r="BC90" s="137">
        <f t="shared" si="198"/>
        <v>15</v>
      </c>
      <c r="BD90" s="137">
        <f t="shared" si="198"/>
        <v>0</v>
      </c>
      <c r="BE90" s="137">
        <f t="shared" si="198"/>
        <v>3</v>
      </c>
      <c r="BF90" s="137">
        <f t="shared" si="198"/>
        <v>0</v>
      </c>
      <c r="BG90" s="138">
        <f t="shared" si="198"/>
        <v>31</v>
      </c>
      <c r="BH90" s="139">
        <f t="shared" si="198"/>
        <v>0.3673469388</v>
      </c>
      <c r="BI90" s="7"/>
      <c r="BJ90" s="7"/>
      <c r="BK90" s="7"/>
      <c r="BL90" s="7"/>
    </row>
    <row r="91">
      <c r="A91" s="145" t="s">
        <v>133</v>
      </c>
      <c r="B91" s="4" t="str">
        <f t="shared" ref="B91:B99" si="199">if(I91&gt;0, "Yes", "")</f>
        <v>#N/A</v>
      </c>
      <c r="C91" s="4" t="str">
        <f>if(B91="Yes", vlookup(A$1, 'Week 1'!$A$1:$H$119, 5, False), "")</f>
        <v>#N/A</v>
      </c>
      <c r="D91" s="4" t="str">
        <f>vlookup(A90, 'Week 1'!$A$2:$H$119, 3, False)</f>
        <v>#N/A</v>
      </c>
      <c r="E91" s="7" t="str">
        <f>vlookup(A90, 'Week 1'!$A$2:$H$119, 6, False)</f>
        <v>#N/A</v>
      </c>
      <c r="F91" s="7" t="str">
        <f>vlookup(A90, 'Week 1'!$A$2:$H$119, 7, False)</f>
        <v>#N/A</v>
      </c>
      <c r="G91" s="7" t="str">
        <f>vlookup(A90, 'Week 1'!$A$2:$H$119, 4, False)</f>
        <v>#N/A</v>
      </c>
      <c r="H91" s="7" t="str">
        <f>vlookup(A90, 'Week 1'!$A$2:$H$119, 5, False)</f>
        <v>#N/A</v>
      </c>
      <c r="I91" s="7" t="str">
        <f>vlookup(A90, 'Week 1'!$A$2:$H$119, 8, False)</f>
        <v>#N/A</v>
      </c>
      <c r="J91" s="148" t="str">
        <f t="shared" ref="J91:J97" si="200">if(D91&gt;0, (D91/(D91+I91)), "")</f>
        <v>#N/A</v>
      </c>
      <c r="K91" s="145" t="s">
        <v>133</v>
      </c>
      <c r="L91" s="4" t="str">
        <f t="shared" ref="L91:L99" si="201">if(S91&gt;0, "Yes", "")</f>
        <v/>
      </c>
      <c r="M91" s="4" t="str">
        <f>if(L91="Yes", vlookup(K$1, 'Week 1'!$A$1:$H$119, 5, False), "")</f>
        <v/>
      </c>
      <c r="N91" s="4" t="str">
        <f>vlookup(K90, 'Week 1'!$A$2:$H$119, 3, False)</f>
        <v/>
      </c>
      <c r="O91" s="7" t="str">
        <f>vlookup(K90, 'Week 1'!$A$2:$H$119, 6, False)</f>
        <v/>
      </c>
      <c r="P91" s="7" t="str">
        <f>vlookup(K90, 'Week 1'!$A$2:$H$119, 7, False)</f>
        <v/>
      </c>
      <c r="Q91" s="7" t="str">
        <f>vlookup(K90, 'Week 1'!$A$2:$H$119, 4, False)</f>
        <v/>
      </c>
      <c r="R91" s="7" t="str">
        <f>vlookup(K90, 'Week 1'!$A$2:$H$119, 5, False)</f>
        <v/>
      </c>
      <c r="S91" s="7" t="str">
        <f>vlookup(K90, 'Week 1'!$A$2:$H$119, 8, False)</f>
        <v/>
      </c>
      <c r="T91" s="148" t="str">
        <f t="shared" ref="T91:T97" si="202">if(N91&gt;0, (N91/(N91+S91)), "")</f>
        <v>#DIV/0!</v>
      </c>
      <c r="U91" s="145" t="s">
        <v>133</v>
      </c>
      <c r="V91" s="4" t="str">
        <f t="shared" ref="V91:V99" si="203">if(AC91&gt;0, "Yes", "")</f>
        <v/>
      </c>
      <c r="W91" s="4" t="str">
        <f>if(V91="Yes", vlookup(U$1, 'Week 1'!$A$1:$H$119, 5, False), "")</f>
        <v/>
      </c>
      <c r="X91" s="4" t="str">
        <f>vlookup(U90, 'Week 1'!$A$2:$H$119, 3, False)</f>
        <v/>
      </c>
      <c r="Y91" s="7" t="str">
        <f>vlookup(U90, 'Week 1'!$A$2:$H$119, 6, False)</f>
        <v/>
      </c>
      <c r="Z91" s="7" t="str">
        <f>vlookup(U90, 'Week 1'!$A$2:$H$119, 7, False)</f>
        <v/>
      </c>
      <c r="AA91" s="7" t="str">
        <f>vlookup(U90, 'Week 1'!$A$2:$H$119, 4, False)</f>
        <v/>
      </c>
      <c r="AB91" s="7" t="str">
        <f>vlookup(U90, 'Week 1'!$A$2:$H$119, 5, False)</f>
        <v/>
      </c>
      <c r="AC91" s="7" t="str">
        <f>vlookup(U90, 'Week 1'!$A$2:$H$119, 8, False)</f>
        <v/>
      </c>
      <c r="AD91" s="148" t="str">
        <f t="shared" ref="AD91:AD97" si="204">if(X91&gt;0, (X91/(X91+AC91)), "")</f>
        <v>#DIV/0!</v>
      </c>
      <c r="AE91" s="145" t="s">
        <v>133</v>
      </c>
      <c r="AF91" s="4" t="str">
        <f t="shared" ref="AF91:AF99" si="205">if(AM91&gt;0, "Yes", "")</f>
        <v/>
      </c>
      <c r="AG91" s="4" t="str">
        <f>if(AF91="Yes", vlookup(AE$1, 'Week 1'!$A$1:$H$119, 5, False), "")</f>
        <v/>
      </c>
      <c r="AH91" s="146" t="str">
        <f>vlookup(AE90, 'Week 1'!$A$2:$H$119, 3, False)</f>
        <v/>
      </c>
      <c r="AI91" s="147" t="str">
        <f>vlookup(AE90, 'Week 1'!$A$2:$H$119, 6, False)</f>
        <v/>
      </c>
      <c r="AJ91" s="147" t="str">
        <f>vlookup(AE90, 'Week 1'!$A$2:$H$119, 7, False)</f>
        <v/>
      </c>
      <c r="AK91" s="147" t="str">
        <f>vlookup(AE90, 'Week 1'!$A$2:$H$119, 4, False)</f>
        <v/>
      </c>
      <c r="AL91" s="147" t="str">
        <f>vlookup(AE90, 'Week 1'!$A$2:$H$119, 5, False)</f>
        <v/>
      </c>
      <c r="AM91" s="147" t="str">
        <f>vlookup(AE90, 'Week 1'!$A$2:$H$119, 8, False)</f>
        <v/>
      </c>
      <c r="AN91" s="148" t="str">
        <f t="shared" ref="AN91:AN97" si="206">if(AH91&gt;0, (AH91/(AH91+AM91)), "")</f>
        <v>#DIV/0!</v>
      </c>
      <c r="AO91" s="145" t="s">
        <v>133</v>
      </c>
      <c r="AP91" s="4" t="str">
        <f t="shared" ref="AP91:AP99" si="207">if(AW91&gt;0, "Yes", "")</f>
        <v/>
      </c>
      <c r="AQ91" s="4" t="str">
        <f>if(AP91="Yes", vlookup(AO$1, 'Week 1'!$A$1:$H$119, 5, False), "")</f>
        <v/>
      </c>
      <c r="AR91" s="4" t="str">
        <f>vlookup(AO90, 'Week 1'!$A$2:$H$119, 3, False)</f>
        <v/>
      </c>
      <c r="AS91" s="7" t="str">
        <f>vlookup(AO90, 'Week 1'!$A$2:$H$119, 6, False)</f>
        <v/>
      </c>
      <c r="AT91" s="7" t="str">
        <f>vlookup(AO90, 'Week 1'!$A$2:$H$119, 7, False)</f>
        <v/>
      </c>
      <c r="AU91" s="7" t="str">
        <f>vlookup(AO90, 'Week 1'!$A$2:$H$119, 4, False)</f>
        <v/>
      </c>
      <c r="AV91" s="7" t="str">
        <f>vlookup(AO90, 'Week 1'!$A$2:$H$119, 5, False)</f>
        <v/>
      </c>
      <c r="AW91" s="7" t="str">
        <f>vlookup(AO90, 'Week 1'!$A$2:$H$119, 8, False)</f>
        <v/>
      </c>
      <c r="AX91" s="148" t="str">
        <f t="shared" ref="AX91:AX97" si="208">if(AR91&gt;0, (AR91/(AR91+AW91)), "")</f>
        <v>#DIV/0!</v>
      </c>
      <c r="AY91" s="145" t="s">
        <v>133</v>
      </c>
      <c r="AZ91" s="4" t="str">
        <f t="shared" ref="AZ91:AZ99" si="209">if(BG91&gt;0, "Yes", "")</f>
        <v/>
      </c>
      <c r="BA91" s="4" t="str">
        <f>if(AZ91="Yes", vlookup(AY$1, 'Week 1'!$A$1:$H$119, 5, False), "")</f>
        <v/>
      </c>
      <c r="BB91" s="4" t="str">
        <f>vlookup(AY90, 'Week 1'!$A$2:$H$119, 3, False)</f>
        <v/>
      </c>
      <c r="BC91" s="7" t="str">
        <f>vlookup(AY90, 'Week 1'!$A$2:$H$119, 6, False)</f>
        <v/>
      </c>
      <c r="BD91" s="7" t="str">
        <f>vlookup(AY90, 'Week 1'!$A$2:$H$119, 7, False)</f>
        <v/>
      </c>
      <c r="BE91" s="7" t="str">
        <f>vlookup(AY90, 'Week 1'!$A$2:$H$119, 4, False)</f>
        <v/>
      </c>
      <c r="BF91" s="7" t="str">
        <f>vlookup(AY90, 'Week 1'!$A$2:$H$119, 5, False)</f>
        <v/>
      </c>
      <c r="BG91" s="7" t="str">
        <f>vlookup(AY90, 'Week 1'!$A$2:$H$119, 8, False)</f>
        <v/>
      </c>
      <c r="BH91" s="148" t="str">
        <f t="shared" ref="BH91:BH97" si="210">if(BB91&gt;0, (BB91/(BB91+BG91)), "")</f>
        <v>#DIV/0!</v>
      </c>
      <c r="BI91" s="7"/>
      <c r="BJ91" s="7"/>
      <c r="BK91" s="7"/>
      <c r="BL91" s="7"/>
    </row>
    <row r="92">
      <c r="A92" s="145" t="s">
        <v>135</v>
      </c>
      <c r="B92" s="4" t="str">
        <f t="shared" si="199"/>
        <v>#N/A</v>
      </c>
      <c r="C92" s="4" t="str">
        <f>if(B92="Yes", vlookup(A$1, 'Week 2'!$A$1:$H$119, 5, False), "")</f>
        <v>#N/A</v>
      </c>
      <c r="D92" s="146" t="str">
        <f>vlookup(A90, 'Week 2'!$A$2:$H$119, 3, False)</f>
        <v>#N/A</v>
      </c>
      <c r="E92" s="146" t="str">
        <f>vlookup(A90, 'Week 2'!$A$2:$H$119, 6, False)</f>
        <v>#N/A</v>
      </c>
      <c r="F92" s="146" t="str">
        <f>vlookup(A90, 'Week 2'!$A$2:$H$119, 7, False)</f>
        <v>#N/A</v>
      </c>
      <c r="G92" s="146" t="str">
        <f>vlookup(A90, 'Week 2'!$A$2:$H$119, 4, False)</f>
        <v>#N/A</v>
      </c>
      <c r="H92" s="146" t="str">
        <f>vlookup(A90, 'Week 2'!$A$2:$H$119, 5, False)</f>
        <v>#N/A</v>
      </c>
      <c r="I92" s="146" t="str">
        <f>vlookup(A90, 'Week 2'!$A$2:$H$119, 8, False)</f>
        <v>#N/A</v>
      </c>
      <c r="J92" s="148" t="str">
        <f t="shared" si="200"/>
        <v>#N/A</v>
      </c>
      <c r="K92" s="145" t="s">
        <v>135</v>
      </c>
      <c r="L92" s="4" t="str">
        <f t="shared" si="201"/>
        <v/>
      </c>
      <c r="M92" s="4" t="str">
        <f>if(L92="Yes", vlookup(K$1, 'Week 2'!$A$1:$H$119, 5, False), "")</f>
        <v/>
      </c>
      <c r="N92" s="4" t="str">
        <f>vlookup(K90, 'Week 2'!$A$2:$H$119, 3, False)</f>
        <v/>
      </c>
      <c r="O92" s="4" t="str">
        <f>vlookup(K90, 'Week 2'!$A$2:$H$119, 6, False)</f>
        <v/>
      </c>
      <c r="P92" s="4" t="str">
        <f>vlookup(K90, 'Week 2'!$A$2:$H$119, 7, False)</f>
        <v/>
      </c>
      <c r="Q92" s="4" t="str">
        <f>vlookup(K90, 'Week 2'!$A$2:$H$119, 4, False)</f>
        <v/>
      </c>
      <c r="R92" s="4" t="str">
        <f>vlookup(K90, 'Week 2'!$A$2:$H$119, 5, False)</f>
        <v/>
      </c>
      <c r="S92" s="4" t="str">
        <f>vlookup(K90, 'Week 2'!$A$2:$H$119, 8, False)</f>
        <v/>
      </c>
      <c r="T92" s="148" t="str">
        <f t="shared" si="202"/>
        <v>#DIV/0!</v>
      </c>
      <c r="U92" s="145" t="s">
        <v>135</v>
      </c>
      <c r="V92" s="4" t="str">
        <f t="shared" si="203"/>
        <v/>
      </c>
      <c r="W92" s="4" t="str">
        <f>if(V92="Yes", vlookup(U$1, 'Week 2'!$A$1:$H$119, 5, False), "")</f>
        <v/>
      </c>
      <c r="X92" s="146" t="str">
        <f>vlookup(U90, 'Week 2'!$A$2:$H$119, 3, False)</f>
        <v/>
      </c>
      <c r="Y92" s="146" t="str">
        <f>vlookup(U90, 'Week 2'!$A$2:$H$119, 6, False)</f>
        <v/>
      </c>
      <c r="Z92" s="146" t="str">
        <f>vlookup(U90, 'Week 2'!$A$2:$H$119, 7, False)</f>
        <v/>
      </c>
      <c r="AA92" s="146" t="str">
        <f>vlookup(U90, 'Week 2'!$A$2:$H$119, 4, False)</f>
        <v/>
      </c>
      <c r="AB92" s="146" t="str">
        <f>vlookup(U90, 'Week 2'!$A$2:$H$119, 5, False)</f>
        <v/>
      </c>
      <c r="AC92" s="146" t="str">
        <f>vlookup(U90, 'Week 2'!$A$2:$H$119, 8, False)</f>
        <v/>
      </c>
      <c r="AD92" s="148" t="str">
        <f t="shared" si="204"/>
        <v>#DIV/0!</v>
      </c>
      <c r="AE92" s="145" t="s">
        <v>135</v>
      </c>
      <c r="AF92" s="4" t="str">
        <f t="shared" si="205"/>
        <v/>
      </c>
      <c r="AG92" s="4" t="str">
        <f>if(AF92="Yes", vlookup(AE$1, 'Week 2'!$A$1:$H$119, 5, False), "")</f>
        <v/>
      </c>
      <c r="AH92" s="4" t="str">
        <f>vlookup(AE90, 'Week 2'!$A$2:$H$119, 3, False)</f>
        <v/>
      </c>
      <c r="AI92" s="4" t="str">
        <f>vlookup(AE90, 'Week 2'!$A$2:$H$119, 6, False)</f>
        <v/>
      </c>
      <c r="AJ92" s="4" t="str">
        <f>vlookup(AE90, 'Week 2'!$A$2:$H$119, 7, False)</f>
        <v/>
      </c>
      <c r="AK92" s="4" t="str">
        <f>vlookup(AE90, 'Week 2'!$A$2:$H$119, 4, False)</f>
        <v/>
      </c>
      <c r="AL92" s="4" t="str">
        <f>vlookup(AE90, 'Week 2'!$A$2:$H$119, 5, False)</f>
        <v/>
      </c>
      <c r="AM92" s="4" t="str">
        <f>vlookup(AE90, 'Week 2'!$A$2:$H$119, 8, False)</f>
        <v/>
      </c>
      <c r="AN92" s="148" t="str">
        <f t="shared" si="206"/>
        <v>#DIV/0!</v>
      </c>
      <c r="AO92" s="145" t="s">
        <v>135</v>
      </c>
      <c r="AP92" s="4" t="str">
        <f t="shared" si="207"/>
        <v/>
      </c>
      <c r="AQ92" s="4" t="str">
        <f>if(AP92="Yes", vlookup(AO$1, 'Week 2'!$A$1:$H$119, 5, False), "")</f>
        <v/>
      </c>
      <c r="AR92" s="4" t="str">
        <f>vlookup(AO90, 'Week 2'!$A$2:$H$119, 3, False)</f>
        <v/>
      </c>
      <c r="AS92" s="4" t="str">
        <f>vlookup(AO90, 'Week 2'!$A$2:$H$119, 6, False)</f>
        <v/>
      </c>
      <c r="AT92" s="4" t="str">
        <f>vlookup(AO90, 'Week 2'!$A$2:$H$119, 7, False)</f>
        <v/>
      </c>
      <c r="AU92" s="4" t="str">
        <f>vlookup(AO90, 'Week 2'!$A$2:$H$119, 4, False)</f>
        <v/>
      </c>
      <c r="AV92" s="4" t="str">
        <f>vlookup(AO90, 'Week 2'!$A$2:$H$119, 5, False)</f>
        <v/>
      </c>
      <c r="AW92" s="4" t="str">
        <f>vlookup(AO90, 'Week 2'!$A$2:$H$119, 8, False)</f>
        <v/>
      </c>
      <c r="AX92" s="148" t="str">
        <f t="shared" si="208"/>
        <v>#DIV/0!</v>
      </c>
      <c r="AY92" s="145" t="s">
        <v>135</v>
      </c>
      <c r="AZ92" s="4" t="str">
        <f t="shared" si="209"/>
        <v/>
      </c>
      <c r="BA92" s="4" t="str">
        <f>if(AZ92="Yes", vlookup(AY$1, 'Week 2'!$A$1:$H$119, 5, False), "")</f>
        <v/>
      </c>
      <c r="BB92" s="4" t="str">
        <f>vlookup(AY90, 'Week 2'!$A$2:$H$119, 3, False)</f>
        <v/>
      </c>
      <c r="BC92" s="4" t="str">
        <f>vlookup(AY90, 'Week 2'!$A$2:$H$119, 6, False)</f>
        <v/>
      </c>
      <c r="BD92" s="4" t="str">
        <f>vlookup(AY90, 'Week 2'!$A$2:$H$119, 7, False)</f>
        <v/>
      </c>
      <c r="BE92" s="4" t="str">
        <f>vlookup(AY90, 'Week 2'!$A$2:$H$119, 4, False)</f>
        <v/>
      </c>
      <c r="BF92" s="4" t="str">
        <f>vlookup(AY90, 'Week 2'!$A$2:$H$119, 5, False)</f>
        <v/>
      </c>
      <c r="BG92" s="4" t="str">
        <f>vlookup(AY90, 'Week 2'!$A$2:$H$119, 8, False)</f>
        <v/>
      </c>
      <c r="BH92" s="148" t="str">
        <f t="shared" si="210"/>
        <v>#DIV/0!</v>
      </c>
      <c r="BI92" s="7"/>
      <c r="BJ92" s="7"/>
      <c r="BK92" s="7"/>
      <c r="BL92" s="7"/>
    </row>
    <row r="93">
      <c r="A93" s="145" t="s">
        <v>140</v>
      </c>
      <c r="B93" s="4" t="str">
        <f t="shared" si="199"/>
        <v>#N/A</v>
      </c>
      <c r="C93" s="4" t="str">
        <f>if(B93="Yes", vlookup(A$1, 'Week 3'!$A$1:$H$119, 5, False), "")</f>
        <v>#N/A</v>
      </c>
      <c r="D93" s="4" t="str">
        <f>vlookup(A90, 'Week 3'!$A$2:$H$119, 3, False)</f>
        <v>#N/A</v>
      </c>
      <c r="E93" s="4" t="str">
        <f>vlookup(A90, 'Week 3'!$A$2:$H$119, 6, False)</f>
        <v>#N/A</v>
      </c>
      <c r="F93" s="4" t="str">
        <f>vlookup(A90, 'Week 3'!$A$2:$H$119, 7, False)</f>
        <v>#N/A</v>
      </c>
      <c r="G93" s="4" t="str">
        <f>vlookup(A90, 'Week 3'!$A$2:$H$119, 4, False)</f>
        <v>#N/A</v>
      </c>
      <c r="H93" s="4" t="str">
        <f>vlookup(A90, 'Week 3'!$A$2:$H$119, 5, False)</f>
        <v>#N/A</v>
      </c>
      <c r="I93" s="4" t="str">
        <f>vlookup(A90, 'Week 3'!$A$2:$H$119, 8, False)</f>
        <v>#N/A</v>
      </c>
      <c r="J93" s="148" t="str">
        <f t="shared" si="200"/>
        <v>#N/A</v>
      </c>
      <c r="K93" s="145" t="s">
        <v>140</v>
      </c>
      <c r="L93" s="4" t="str">
        <f t="shared" si="201"/>
        <v/>
      </c>
      <c r="M93" s="4" t="str">
        <f>if(L93="Yes", vlookup(K$1, 'Week 3'!$A$1:$H$119, 5, False), "")</f>
        <v/>
      </c>
      <c r="N93" s="4" t="str">
        <f>vlookup(K90, 'Week 3'!$A$2:$H$119, 3, False)</f>
        <v/>
      </c>
      <c r="O93" s="4" t="str">
        <f>vlookup(K90, 'Week 3'!$A$2:$H$119, 6, False)</f>
        <v/>
      </c>
      <c r="P93" s="4" t="str">
        <f>vlookup(K90, 'Week 3'!$A$2:$H$119, 7, False)</f>
        <v/>
      </c>
      <c r="Q93" s="4" t="str">
        <f>vlookup(K90, 'Week 3'!$A$2:$H$119, 4, False)</f>
        <v/>
      </c>
      <c r="R93" s="4" t="str">
        <f>vlookup(K90, 'Week 3'!$A$2:$H$119, 5, False)</f>
        <v/>
      </c>
      <c r="S93" s="4" t="str">
        <f>vlookup(K90, 'Week 3'!$A$2:$H$119, 8, False)</f>
        <v/>
      </c>
      <c r="T93" s="148" t="str">
        <f t="shared" si="202"/>
        <v>#DIV/0!</v>
      </c>
      <c r="U93" s="145" t="s">
        <v>140</v>
      </c>
      <c r="V93" s="4" t="str">
        <f t="shared" si="203"/>
        <v/>
      </c>
      <c r="W93" s="4" t="str">
        <f>if(V93="Yes", vlookup(U$1, 'Week 3'!$A$1:$H$119, 5, False), "")</f>
        <v/>
      </c>
      <c r="X93" s="146" t="str">
        <f>vlookup(U90, 'Week 3'!$A$2:$H$119, 3, False)</f>
        <v/>
      </c>
      <c r="Y93" s="146" t="str">
        <f>vlookup(U90, 'Week 3'!$A$2:$H$119, 6, False)</f>
        <v/>
      </c>
      <c r="Z93" s="146" t="str">
        <f>vlookup(U90, 'Week 3'!$A$2:$H$119, 7, False)</f>
        <v/>
      </c>
      <c r="AA93" s="146" t="str">
        <f>vlookup(U90, 'Week 3'!$A$2:$H$119, 4, False)</f>
        <v/>
      </c>
      <c r="AB93" s="146" t="str">
        <f>vlookup(U90, 'Week 3'!$A$2:$H$119, 5, False)</f>
        <v/>
      </c>
      <c r="AC93" s="146" t="str">
        <f>vlookup(U90, 'Week 3'!$A$2:$H$119, 8, False)</f>
        <v/>
      </c>
      <c r="AD93" s="148" t="str">
        <f t="shared" si="204"/>
        <v>#DIV/0!</v>
      </c>
      <c r="AE93" s="145" t="s">
        <v>140</v>
      </c>
      <c r="AF93" s="4" t="str">
        <f t="shared" si="205"/>
        <v/>
      </c>
      <c r="AG93" s="4" t="str">
        <f>if(AF93="Yes", vlookup(AE$1, 'Week 3'!$A$1:$H$119, 5, False), "")</f>
        <v/>
      </c>
      <c r="AH93" s="4" t="str">
        <f>vlookup(AE90, 'Week 3'!$A$2:$H$119, 3, False)</f>
        <v/>
      </c>
      <c r="AI93" s="4" t="str">
        <f>vlookup(AE90, 'Week 3'!$A$2:$H$119, 6, False)</f>
        <v/>
      </c>
      <c r="AJ93" s="4" t="str">
        <f>vlookup(AE90, 'Week 3'!$A$2:$H$119, 7, False)</f>
        <v/>
      </c>
      <c r="AK93" s="4" t="str">
        <f>vlookup(AE90, 'Week 3'!$A$2:$H$119, 4, False)</f>
        <v/>
      </c>
      <c r="AL93" s="4" t="str">
        <f>vlookup(AE90, 'Week 3'!$A$2:$H$119, 5, False)</f>
        <v/>
      </c>
      <c r="AM93" s="4" t="str">
        <f>vlookup(AE90, 'Week 3'!$A$2:$H$119, 8, False)</f>
        <v/>
      </c>
      <c r="AN93" s="148" t="str">
        <f t="shared" si="206"/>
        <v>#DIV/0!</v>
      </c>
      <c r="AO93" s="145" t="s">
        <v>140</v>
      </c>
      <c r="AP93" s="4" t="str">
        <f t="shared" si="207"/>
        <v/>
      </c>
      <c r="AQ93" s="4" t="str">
        <f>if(AP93="Yes", vlookup(AO$1, 'Week 3'!$A$1:$H$119, 5, False), "")</f>
        <v/>
      </c>
      <c r="AR93" s="4" t="str">
        <f>vlookup(AO90, 'Week 3'!$A$2:$H$119, 3, False)</f>
        <v/>
      </c>
      <c r="AS93" s="4" t="str">
        <f>vlookup(AO90, 'Week 3'!$A$2:$H$119, 6, False)</f>
        <v/>
      </c>
      <c r="AT93" s="4" t="str">
        <f>vlookup(AO90, 'Week 3'!$A$2:$H$119, 7, False)</f>
        <v/>
      </c>
      <c r="AU93" s="4" t="str">
        <f>vlookup(AO90, 'Week 3'!$A$2:$H$119, 4, False)</f>
        <v/>
      </c>
      <c r="AV93" s="4" t="str">
        <f>vlookup(AO90, 'Week 3'!$A$2:$H$119, 5, False)</f>
        <v/>
      </c>
      <c r="AW93" s="4" t="str">
        <f>vlookup(AO90, 'Week 3'!$A$2:$H$119, 8, False)</f>
        <v/>
      </c>
      <c r="AX93" s="148" t="str">
        <f t="shared" si="208"/>
        <v>#DIV/0!</v>
      </c>
      <c r="AY93" s="145" t="s">
        <v>140</v>
      </c>
      <c r="AZ93" s="4" t="str">
        <f t="shared" si="209"/>
        <v/>
      </c>
      <c r="BA93" s="4" t="str">
        <f>if(AZ93="Yes", vlookup(AY$1, 'Week 3'!$A$1:$H$119, 5, False), "")</f>
        <v/>
      </c>
      <c r="BB93" s="4" t="str">
        <f>vlookup(AY90, 'Week 3'!$A$2:$H$119, 3, False)</f>
        <v/>
      </c>
      <c r="BC93" s="4" t="str">
        <f>vlookup(AY90, 'Week 3'!$A$2:$H$119, 6, False)</f>
        <v/>
      </c>
      <c r="BD93" s="4" t="str">
        <f>vlookup(AY90, 'Week 3'!$A$2:$H$119, 7, False)</f>
        <v/>
      </c>
      <c r="BE93" s="4" t="str">
        <f>vlookup(AY90, 'Week 3'!$A$2:$H$119, 4, False)</f>
        <v/>
      </c>
      <c r="BF93" s="4" t="str">
        <f>vlookup(AY90, 'Week 3'!$A$2:$H$119, 5, False)</f>
        <v/>
      </c>
      <c r="BG93" s="4" t="str">
        <f>vlookup(AY90, 'Week 3'!$A$2:$H$119, 8, False)</f>
        <v/>
      </c>
      <c r="BH93" s="148" t="str">
        <f t="shared" si="210"/>
        <v>#DIV/0!</v>
      </c>
      <c r="BI93" s="7"/>
      <c r="BJ93" s="7"/>
      <c r="BK93" s="7"/>
      <c r="BL93" s="7"/>
    </row>
    <row r="94">
      <c r="A94" s="145" t="s">
        <v>144</v>
      </c>
      <c r="B94" s="4" t="str">
        <f t="shared" si="199"/>
        <v>#N/A</v>
      </c>
      <c r="C94" s="4" t="str">
        <f>if(B94="Yes", vlookup(A$1, 'Week 4'!$A$1:$H$119, 5, False), "")</f>
        <v>#N/A</v>
      </c>
      <c r="D94" s="4" t="str">
        <f>vlookup(A90, 'Week 4'!$A$2:$H$119, 3, False)</f>
        <v>#N/A</v>
      </c>
      <c r="E94" s="4" t="str">
        <f>vlookup(A90, 'Week 4'!$A$2:$H$119, 6, False)</f>
        <v>#N/A</v>
      </c>
      <c r="F94" s="4" t="str">
        <f>vlookup(A90, 'Week 4'!$A$2:$H$119, 7, False)</f>
        <v>#N/A</v>
      </c>
      <c r="G94" s="4" t="str">
        <f>vlookup(A90, 'Week 4'!$A$2:$H$119, 4, False)</f>
        <v>#N/A</v>
      </c>
      <c r="H94" s="4" t="str">
        <f>vlookup(A90, 'Week 4'!$A$2:$H$119, 5, False)</f>
        <v>#N/A</v>
      </c>
      <c r="I94" s="4" t="str">
        <f>vlookup(A90, 'Week 4'!$A$2:$H$119, 8, False)</f>
        <v>#N/A</v>
      </c>
      <c r="J94" s="148" t="str">
        <f t="shared" si="200"/>
        <v>#N/A</v>
      </c>
      <c r="K94" s="145" t="s">
        <v>144</v>
      </c>
      <c r="L94" s="4" t="str">
        <f t="shared" si="201"/>
        <v>Yes</v>
      </c>
      <c r="M94" s="4" t="str">
        <f>if(L94="Yes", vlookup(K$1, 'Week 4'!$A$1:$H$119, 5, False), "")</f>
        <v>Win</v>
      </c>
      <c r="N94" s="4">
        <f>vlookup(K90, 'Week 4'!$A$2:$H$119, 3, False)</f>
        <v>19</v>
      </c>
      <c r="O94" s="4">
        <f>vlookup(K90, 'Week 4'!$A$2:$H$119, 6, False)</f>
        <v>11</v>
      </c>
      <c r="P94" s="4">
        <f>vlookup(K90, 'Week 4'!$A$2:$H$119, 7, False)</f>
        <v>0</v>
      </c>
      <c r="Q94" s="4">
        <f>vlookup(K90, 'Week 4'!$A$2:$H$119, 4, False)</f>
        <v>7</v>
      </c>
      <c r="R94" s="4">
        <f>vlookup(K90, 'Week 4'!$A$2:$H$119, 5, False)</f>
        <v>1</v>
      </c>
      <c r="S94" s="4">
        <f>vlookup(K90, 'Week 4'!$A$2:$H$119, 8, False)</f>
        <v>26</v>
      </c>
      <c r="T94" s="148">
        <f t="shared" si="202"/>
        <v>0.4222222222</v>
      </c>
      <c r="U94" s="145" t="s">
        <v>144</v>
      </c>
      <c r="V94" s="4" t="str">
        <f t="shared" si="203"/>
        <v>Yes</v>
      </c>
      <c r="W94" s="4" t="str">
        <f>if(V94="Yes", vlookup(U$1, 'Week 4'!$A$1:$H$119, 5, False), "")</f>
        <v>Loss</v>
      </c>
      <c r="X94" s="146">
        <f>vlookup(U90, 'Week 4'!$A$2:$H$119, 3, False)</f>
        <v>14</v>
      </c>
      <c r="Y94" s="146">
        <f>vlookup(U90, 'Week 4'!$A$2:$H$119, 6, False)</f>
        <v>10</v>
      </c>
      <c r="Z94" s="146">
        <f>vlookup(U90, 'Week 4'!$A$2:$H$119, 7, False)</f>
        <v>0</v>
      </c>
      <c r="AA94" s="146">
        <f>vlookup(U90, 'Week 4'!$A$2:$H$119, 4, False)</f>
        <v>2</v>
      </c>
      <c r="AB94" s="146">
        <f>vlookup(U90, 'Week 4'!$A$2:$H$119, 5, False)</f>
        <v>2</v>
      </c>
      <c r="AC94" s="146">
        <f>vlookup(U90, 'Week 4'!$A$2:$H$119, 8, False)</f>
        <v>26</v>
      </c>
      <c r="AD94" s="148">
        <f t="shared" si="204"/>
        <v>0.35</v>
      </c>
      <c r="AE94" s="145" t="s">
        <v>144</v>
      </c>
      <c r="AF94" s="4" t="str">
        <f t="shared" si="205"/>
        <v/>
      </c>
      <c r="AG94" s="4" t="str">
        <f>if(AF94="Yes", vlookup(AE$1, 'Week 4'!$A$1:$H$119, 5, False), "")</f>
        <v/>
      </c>
      <c r="AH94" s="4" t="str">
        <f>vlookup(AE90, 'Week 4'!$A$2:$H$119, 3, False)</f>
        <v/>
      </c>
      <c r="AI94" s="4" t="str">
        <f>vlookup(AE90, 'Week 4'!$A$2:$H$119, 6, False)</f>
        <v/>
      </c>
      <c r="AJ94" s="4" t="str">
        <f>vlookup(AE90, 'Week 4'!$A$2:$H$119, 7, False)</f>
        <v/>
      </c>
      <c r="AK94" s="4" t="str">
        <f>vlookup(AE90, 'Week 4'!$A$2:$H$119, 4, False)</f>
        <v/>
      </c>
      <c r="AL94" s="4" t="str">
        <f>vlookup(AE90, 'Week 4'!$A$2:$H$119, 5, False)</f>
        <v/>
      </c>
      <c r="AM94" s="4" t="str">
        <f>vlookup(AE90, 'Week 4'!$A$2:$H$119, 8, False)</f>
        <v/>
      </c>
      <c r="AN94" s="148" t="str">
        <f t="shared" si="206"/>
        <v>#DIV/0!</v>
      </c>
      <c r="AO94" s="145" t="s">
        <v>144</v>
      </c>
      <c r="AP94" s="4" t="str">
        <f t="shared" si="207"/>
        <v>Yes</v>
      </c>
      <c r="AQ94" s="4" t="str">
        <f>if(AP94="Yes", vlookup(AO$1, 'Week 4'!$A$1:$H$119, 5, False), "")</f>
        <v>Loss</v>
      </c>
      <c r="AR94" s="4">
        <f>vlookup(AO90, 'Week 4'!$A$2:$H$119, 3, False)</f>
        <v>13</v>
      </c>
      <c r="AS94" s="4">
        <f>vlookup(AO90, 'Week 4'!$A$2:$H$119, 6, False)</f>
        <v>6</v>
      </c>
      <c r="AT94" s="4">
        <f>vlookup(AO90, 'Week 4'!$A$2:$H$119, 7, False)</f>
        <v>0</v>
      </c>
      <c r="AU94" s="4">
        <f>vlookup(AO90, 'Week 4'!$A$2:$H$119, 4, False)</f>
        <v>6</v>
      </c>
      <c r="AV94" s="4">
        <f>vlookup(AO90, 'Week 4'!$A$2:$H$119, 5, False)</f>
        <v>1</v>
      </c>
      <c r="AW94" s="4">
        <f>vlookup(AO90, 'Week 4'!$A$2:$H$119, 8, False)</f>
        <v>30</v>
      </c>
      <c r="AX94" s="148">
        <f t="shared" si="208"/>
        <v>0.3023255814</v>
      </c>
      <c r="AY94" s="145" t="s">
        <v>144</v>
      </c>
      <c r="AZ94" s="4" t="str">
        <f t="shared" si="209"/>
        <v/>
      </c>
      <c r="BA94" s="4" t="str">
        <f>if(AZ94="Yes", vlookup(AY$1, 'Week 4'!$A$1:$H$119, 5, False), "")</f>
        <v/>
      </c>
      <c r="BB94" s="4" t="str">
        <f>vlookup(AY90, 'Week 4'!$A$2:$H$119, 3, False)</f>
        <v/>
      </c>
      <c r="BC94" s="4" t="str">
        <f>vlookup(AY90, 'Week 4'!$A$2:$H$119, 6, False)</f>
        <v/>
      </c>
      <c r="BD94" s="4" t="str">
        <f>vlookup(AY90, 'Week 4'!$A$2:$H$119, 7, False)</f>
        <v/>
      </c>
      <c r="BE94" s="4" t="str">
        <f>vlookup(AY90, 'Week 4'!$A$2:$H$119, 4, False)</f>
        <v/>
      </c>
      <c r="BF94" s="4" t="str">
        <f>vlookup(AY90, 'Week 4'!$A$2:$H$119, 5, False)</f>
        <v/>
      </c>
      <c r="BG94" s="4" t="str">
        <f>vlookup(AY90, 'Week 4'!$A$2:$H$119, 8, False)</f>
        <v/>
      </c>
      <c r="BH94" s="148" t="str">
        <f t="shared" si="210"/>
        <v>#DIV/0!</v>
      </c>
      <c r="BI94" s="7"/>
      <c r="BJ94" s="7"/>
      <c r="BK94" s="7"/>
      <c r="BL94" s="7"/>
    </row>
    <row r="95">
      <c r="A95" s="145" t="s">
        <v>146</v>
      </c>
      <c r="B95" s="4" t="str">
        <f t="shared" si="199"/>
        <v>#N/A</v>
      </c>
      <c r="C95" s="4" t="str">
        <f>if(B95="Yes", vlookup(A$1, 'Week 5'!$A$1:$H$119, 5, False), "")</f>
        <v>#N/A</v>
      </c>
      <c r="D95" s="4" t="str">
        <f>vlookup(A90, 'Week 5'!$A$2:$H$119, 3, False)</f>
        <v>#N/A</v>
      </c>
      <c r="E95" s="4" t="str">
        <f>vlookup(A90, 'Week 5'!$A$2:$H$119, 6, False)</f>
        <v>#N/A</v>
      </c>
      <c r="F95" s="4" t="str">
        <f>vlookup(A90, 'Week 5'!$A$2:$H$119, 7, False)</f>
        <v>#N/A</v>
      </c>
      <c r="G95" s="4" t="str">
        <f>vlookup(A90, 'Week 5'!$A$2:$H$119, 4, False)</f>
        <v>#N/A</v>
      </c>
      <c r="H95" s="4" t="str">
        <f>vlookup(A90, 'Week 5'!$A$2:$H$119, 5, False)</f>
        <v>#N/A</v>
      </c>
      <c r="I95" s="4" t="str">
        <f>vlookup(A90, 'Week 5'!$A$2:$H$119, 8, False)</f>
        <v>#N/A</v>
      </c>
      <c r="J95" s="148" t="str">
        <f t="shared" si="200"/>
        <v>#N/A</v>
      </c>
      <c r="K95" s="145" t="s">
        <v>146</v>
      </c>
      <c r="L95" s="4" t="str">
        <f t="shared" si="201"/>
        <v>Yes</v>
      </c>
      <c r="M95" s="4" t="str">
        <f>if(L95="Yes", vlookup(K$1, 'Week 5'!$A$1:$H$119, 5, False), "")</f>
        <v>Win</v>
      </c>
      <c r="N95" s="4">
        <f>vlookup(K90, 'Week 5'!$A$2:$H$119, 3, False)</f>
        <v>15</v>
      </c>
      <c r="O95" s="4">
        <f>vlookup(K90, 'Week 5'!$A$2:$H$119, 6, False)</f>
        <v>9</v>
      </c>
      <c r="P95" s="4">
        <f>vlookup(K90, 'Week 5'!$A$2:$H$119, 7, False)</f>
        <v>0</v>
      </c>
      <c r="Q95" s="4">
        <f>vlookup(K90, 'Week 5'!$A$2:$H$119, 4, False)</f>
        <v>4</v>
      </c>
      <c r="R95" s="4">
        <f>vlookup(K90, 'Week 5'!$A$2:$H$119, 5, False)</f>
        <v>2</v>
      </c>
      <c r="S95" s="4">
        <f>vlookup(K90, 'Week 5'!$A$2:$H$119, 8, False)</f>
        <v>21</v>
      </c>
      <c r="T95" s="148">
        <f t="shared" si="202"/>
        <v>0.4166666667</v>
      </c>
      <c r="U95" s="145" t="s">
        <v>146</v>
      </c>
      <c r="V95" s="4" t="str">
        <f t="shared" si="203"/>
        <v/>
      </c>
      <c r="W95" s="4" t="str">
        <f>if(V95="Yes", vlookup(U$1, 'Week 5'!$A$1:$H$119, 5, False), "")</f>
        <v/>
      </c>
      <c r="X95" s="146" t="str">
        <f>vlookup(U90, 'Week 5'!$A$2:$H$119, 3, False)</f>
        <v/>
      </c>
      <c r="Y95" s="146" t="str">
        <f>vlookup(U90, 'Week 5'!$A$2:$H$119, 6, False)</f>
        <v/>
      </c>
      <c r="Z95" s="146" t="str">
        <f>vlookup(U90, 'Week 5'!$A$2:$H$119, 7, False)</f>
        <v/>
      </c>
      <c r="AA95" s="146" t="str">
        <f>vlookup(U90, 'Week 5'!$A$2:$H$119, 4, False)</f>
        <v/>
      </c>
      <c r="AB95" s="146" t="str">
        <f>vlookup(U90, 'Week 5'!$A$2:$H$119, 5, False)</f>
        <v/>
      </c>
      <c r="AC95" s="146" t="str">
        <f>vlookup(U90, 'Week 5'!$A$2:$H$119, 8, False)</f>
        <v/>
      </c>
      <c r="AD95" s="148" t="str">
        <f t="shared" si="204"/>
        <v>#DIV/0!</v>
      </c>
      <c r="AE95" s="145" t="s">
        <v>146</v>
      </c>
      <c r="AF95" s="4" t="str">
        <f t="shared" si="205"/>
        <v/>
      </c>
      <c r="AG95" s="4" t="str">
        <f>if(AF95="Yes", vlookup(AE$1, 'Week 5'!$A$1:$H$119, 5, False), "")</f>
        <v/>
      </c>
      <c r="AH95" s="146" t="str">
        <f>vlookup(AE90, 'Week 5'!$A$2:$H$119, 3, False)</f>
        <v/>
      </c>
      <c r="AI95" s="146" t="str">
        <f>vlookup(AE90, 'Week 5'!$A$2:$H$119, 6, False)</f>
        <v/>
      </c>
      <c r="AJ95" s="146" t="str">
        <f>vlookup(AE90, 'Week 5'!$A$2:$H$119, 7, False)</f>
        <v/>
      </c>
      <c r="AK95" s="146" t="str">
        <f>vlookup(AE90, 'Week 5'!$A$2:$H$119, 4, False)</f>
        <v/>
      </c>
      <c r="AL95" s="146" t="str">
        <f>vlookup(AE90, 'Week 5'!$A$2:$H$119, 5, False)</f>
        <v/>
      </c>
      <c r="AM95" s="146" t="str">
        <f>vlookup(AE90, 'Week 5'!$A$2:$H$119, 8, False)</f>
        <v/>
      </c>
      <c r="AN95" s="148" t="str">
        <f t="shared" si="206"/>
        <v>#DIV/0!</v>
      </c>
      <c r="AO95" s="145" t="s">
        <v>146</v>
      </c>
      <c r="AP95" s="4" t="str">
        <f t="shared" si="207"/>
        <v>Yes</v>
      </c>
      <c r="AQ95" s="4" t="str">
        <f>if(AP95="Yes", vlookup(AO$1, 'Week 5'!$A$1:$H$119, 5, False), "")</f>
        <v>Win</v>
      </c>
      <c r="AR95" s="4">
        <f>vlookup(AO90, 'Week 5'!$A$2:$H$119, 3, False)</f>
        <v>13</v>
      </c>
      <c r="AS95" s="4">
        <f>vlookup(AO90, 'Week 5'!$A$2:$H$119, 6, False)</f>
        <v>4</v>
      </c>
      <c r="AT95" s="4">
        <f>vlookup(AO90, 'Week 5'!$A$2:$H$119, 7, False)</f>
        <v>0</v>
      </c>
      <c r="AU95" s="4">
        <f>vlookup(AO90, 'Week 5'!$A$2:$H$119, 4, False)</f>
        <v>8</v>
      </c>
      <c r="AV95" s="4">
        <f>vlookup(AO90, 'Week 5'!$A$2:$H$119, 5, False)</f>
        <v>1</v>
      </c>
      <c r="AW95" s="4">
        <f>vlookup(AO90, 'Week 5'!$A$2:$H$119, 8, False)</f>
        <v>26</v>
      </c>
      <c r="AX95" s="148">
        <f t="shared" si="208"/>
        <v>0.3333333333</v>
      </c>
      <c r="AY95" s="145" t="s">
        <v>146</v>
      </c>
      <c r="AZ95" s="4" t="str">
        <f t="shared" si="209"/>
        <v>Yes</v>
      </c>
      <c r="BA95" s="4" t="str">
        <f>if(AZ95="Yes", vlookup(AY$1, 'Week 5'!$A$1:$H$119, 5, False), "")</f>
        <v>Loss</v>
      </c>
      <c r="BB95" s="4">
        <f>vlookup(AY90, 'Week 5'!$A$2:$H$119, 3, False)</f>
        <v>18</v>
      </c>
      <c r="BC95" s="4">
        <f>vlookup(AY90, 'Week 5'!$A$2:$H$119, 6, False)</f>
        <v>15</v>
      </c>
      <c r="BD95" s="4">
        <f>vlookup(AY90, 'Week 5'!$A$2:$H$119, 7, False)</f>
        <v>0</v>
      </c>
      <c r="BE95" s="4">
        <f>vlookup(AY90, 'Week 5'!$A$2:$H$119, 4, False)</f>
        <v>3</v>
      </c>
      <c r="BF95" s="4">
        <f>vlookup(AY90, 'Week 5'!$A$2:$H$119, 5, False)</f>
        <v>0</v>
      </c>
      <c r="BG95" s="4">
        <f>vlookup(AY90, 'Week 5'!$A$2:$H$119, 8, False)</f>
        <v>31</v>
      </c>
      <c r="BH95" s="148">
        <f t="shared" si="210"/>
        <v>0.3673469388</v>
      </c>
      <c r="BI95" s="7"/>
      <c r="BJ95" s="7"/>
      <c r="BK95" s="7"/>
      <c r="BL95" s="7"/>
    </row>
    <row r="96">
      <c r="A96" s="145" t="s">
        <v>148</v>
      </c>
      <c r="B96" s="4" t="str">
        <f t="shared" si="199"/>
        <v>#N/A</v>
      </c>
      <c r="C96" s="4" t="str">
        <f>if(B96="Yes", vlookup(A$1, 'Week 6'!$A$1:$H$119, 5, False), "")</f>
        <v>#N/A</v>
      </c>
      <c r="D96" s="4" t="str">
        <f>vlookup(A90, 'Week 6'!$A$2:$H$119, 3, False)</f>
        <v>#N/A</v>
      </c>
      <c r="E96" s="4" t="str">
        <f>vlookup(A90, 'Week 6'!$A$2:$H$119, 6, False)</f>
        <v>#N/A</v>
      </c>
      <c r="F96" s="4" t="str">
        <f>vlookup(A90, 'Week 6'!$A$2:$H$119, 7, False)</f>
        <v>#N/A</v>
      </c>
      <c r="G96" s="4" t="str">
        <f>vlookup(A90, 'Week 6'!$A$2:$H$119, 4, False)</f>
        <v>#N/A</v>
      </c>
      <c r="H96" s="4" t="str">
        <f>vlookup(A90, 'Week 6'!$A$2:$H$119, 5, False)</f>
        <v>#N/A</v>
      </c>
      <c r="I96" s="4" t="str">
        <f>vlookup(A90, 'Week 6'!$A$2:$H$119, 8, False)</f>
        <v>#N/A</v>
      </c>
      <c r="J96" s="148" t="str">
        <f t="shared" si="200"/>
        <v>#N/A</v>
      </c>
      <c r="K96" s="145" t="s">
        <v>148</v>
      </c>
      <c r="L96" s="4" t="str">
        <f t="shared" si="201"/>
        <v>Yes</v>
      </c>
      <c r="M96" s="4" t="str">
        <f>if(L96="Yes", vlookup(K$1, 'Week 6'!$A$1:$H$119, 5, False), "")</f>
        <v>Loss</v>
      </c>
      <c r="N96" s="4">
        <f>vlookup(K90, 'Week 6'!$A$2:$H$119, 3, False)</f>
        <v>7</v>
      </c>
      <c r="O96" s="4">
        <f>vlookup(K90, 'Week 6'!$A$2:$H$119, 6, False)</f>
        <v>5</v>
      </c>
      <c r="P96" s="4">
        <f>vlookup(K90, 'Week 6'!$A$2:$H$119, 7, False)</f>
        <v>2</v>
      </c>
      <c r="Q96" s="4">
        <f>vlookup(K90, 'Week 6'!$A$2:$H$119, 4, False)</f>
        <v>0</v>
      </c>
      <c r="R96" s="4">
        <f>vlookup(K90, 'Week 6'!$A$2:$H$119, 5, False)</f>
        <v>0</v>
      </c>
      <c r="S96" s="4">
        <f>vlookup(K90, 'Week 6'!$A$2:$H$119, 8, False)</f>
        <v>25</v>
      </c>
      <c r="T96" s="148">
        <f t="shared" si="202"/>
        <v>0.21875</v>
      </c>
      <c r="U96" s="145" t="s">
        <v>148</v>
      </c>
      <c r="V96" s="4" t="str">
        <f t="shared" si="203"/>
        <v>Yes</v>
      </c>
      <c r="W96" s="4" t="str">
        <f>if(V96="Yes", vlookup(U$1, 'Week 6'!$A$1:$H$119, 5, False), "")</f>
        <v>Win</v>
      </c>
      <c r="X96" s="146">
        <f>vlookup(U90, 'Week 6'!$A$2:$H$119, 3, False)</f>
        <v>18</v>
      </c>
      <c r="Y96" s="146">
        <f>vlookup(U90, 'Week 6'!$A$2:$H$119, 6, False)</f>
        <v>13</v>
      </c>
      <c r="Z96" s="146">
        <f>vlookup(U90, 'Week 6'!$A$2:$H$119, 7, False)</f>
        <v>3</v>
      </c>
      <c r="AA96" s="146">
        <f>vlookup(U90, 'Week 6'!$A$2:$H$119, 4, False)</f>
        <v>1</v>
      </c>
      <c r="AB96" s="146">
        <f>vlookup(U90, 'Week 6'!$A$2:$H$119, 5, False)</f>
        <v>1</v>
      </c>
      <c r="AC96" s="146">
        <f>vlookup(U90, 'Week 6'!$A$2:$H$119, 8, False)</f>
        <v>34</v>
      </c>
      <c r="AD96" s="148">
        <f t="shared" si="204"/>
        <v>0.3461538462</v>
      </c>
      <c r="AE96" s="145" t="s">
        <v>148</v>
      </c>
      <c r="AF96" s="4" t="str">
        <f t="shared" si="205"/>
        <v/>
      </c>
      <c r="AG96" s="4" t="str">
        <f>if(AF96="Yes", vlookup(AE$1, 'Week 6'!$A$1:$H$119, 5, False), "")</f>
        <v/>
      </c>
      <c r="AH96" s="146" t="str">
        <f>vlookup(AE90, 'Week 6'!$A$2:$H$119, 3, False)</f>
        <v/>
      </c>
      <c r="AI96" s="146" t="str">
        <f>vlookup(AE90, 'Week 6'!$A$2:$H$119, 6, False)</f>
        <v/>
      </c>
      <c r="AJ96" s="146" t="str">
        <f>vlookup(AE90, 'Week 6'!$A$2:$H$119, 7, False)</f>
        <v/>
      </c>
      <c r="AK96" s="146" t="str">
        <f>vlookup(AE90, 'Week 6'!$A$2:$H$119, 4, False)</f>
        <v/>
      </c>
      <c r="AL96" s="146" t="str">
        <f>vlookup(AE90, 'Week 6'!$A$2:$H$119, 5, False)</f>
        <v/>
      </c>
      <c r="AM96" s="146" t="str">
        <f>vlookup(AE90, 'Week 6'!$A$2:$H$119, 8, False)</f>
        <v/>
      </c>
      <c r="AN96" s="148" t="str">
        <f t="shared" si="206"/>
        <v>#DIV/0!</v>
      </c>
      <c r="AO96" s="145" t="s">
        <v>148</v>
      </c>
      <c r="AP96" s="4" t="str">
        <f t="shared" si="207"/>
        <v/>
      </c>
      <c r="AQ96" s="4" t="str">
        <f>if(AP96="Yes", vlookup(AO$1, 'Week 6'!$A$1:$H$119, 5, False), "")</f>
        <v/>
      </c>
      <c r="AR96" s="4" t="str">
        <f>vlookup(AO90, 'Week 6'!$A$2:$H$119, 3, False)</f>
        <v/>
      </c>
      <c r="AS96" s="4" t="str">
        <f>vlookup(AO90, 'Week 6'!$A$2:$H$119, 6, False)</f>
        <v/>
      </c>
      <c r="AT96" s="4" t="str">
        <f>vlookup(AO90, 'Week 6'!$A$2:$H$119, 7, False)</f>
        <v/>
      </c>
      <c r="AU96" s="4" t="str">
        <f>vlookup(AO90, 'Week 6'!$A$2:$H$119, 4, False)</f>
        <v/>
      </c>
      <c r="AV96" s="4" t="str">
        <f>vlookup(AO90, 'Week 6'!$A$2:$H$119, 5, False)</f>
        <v/>
      </c>
      <c r="AW96" s="4" t="str">
        <f>vlookup(AO90, 'Week 6'!$A$2:$H$119, 8, False)</f>
        <v/>
      </c>
      <c r="AX96" s="148" t="str">
        <f t="shared" si="208"/>
        <v>#DIV/0!</v>
      </c>
      <c r="AY96" s="145" t="s">
        <v>148</v>
      </c>
      <c r="AZ96" s="4" t="str">
        <f t="shared" si="209"/>
        <v/>
      </c>
      <c r="BA96" s="4" t="str">
        <f>if(AZ96="Yes", vlookup(AY$1, 'Week 6'!$A$1:$H$119, 5, False), "")</f>
        <v/>
      </c>
      <c r="BB96" s="4" t="str">
        <f>vlookup(AY90, 'Week 6'!$A$2:$H$119, 3, False)</f>
        <v/>
      </c>
      <c r="BC96" s="4" t="str">
        <f>vlookup(AY90, 'Week 6'!$A$2:$H$119, 6, False)</f>
        <v/>
      </c>
      <c r="BD96" s="4" t="str">
        <f>vlookup(AY90, 'Week 6'!$A$2:$H$119, 7, False)</f>
        <v/>
      </c>
      <c r="BE96" s="4" t="str">
        <f>vlookup(AY90, 'Week 6'!$A$2:$H$119, 4, False)</f>
        <v/>
      </c>
      <c r="BF96" s="4" t="str">
        <f>vlookup(AY90, 'Week 6'!$A$2:$H$119, 5, False)</f>
        <v/>
      </c>
      <c r="BG96" s="4" t="str">
        <f>vlookup(AY90, 'Week 6'!$A$2:$H$119, 8, False)</f>
        <v/>
      </c>
      <c r="BH96" s="148" t="str">
        <f t="shared" si="210"/>
        <v>#DIV/0!</v>
      </c>
      <c r="BI96" s="7"/>
      <c r="BJ96" s="7"/>
      <c r="BK96" s="7"/>
      <c r="BL96" s="7"/>
    </row>
    <row r="97">
      <c r="A97" s="145" t="s">
        <v>154</v>
      </c>
      <c r="B97" s="4" t="str">
        <f t="shared" si="199"/>
        <v>#N/A</v>
      </c>
      <c r="C97" s="4" t="str">
        <f>if(B97="Yes", vlookup(A$1, 'Week 7'!$A$1:$H$119, 5, False), "")</f>
        <v>#N/A</v>
      </c>
      <c r="D97" s="4" t="str">
        <f>vlookup(A90, 'Week 7'!$A$2:$H$119, 3, False)</f>
        <v>#N/A</v>
      </c>
      <c r="E97" s="4" t="str">
        <f>vlookup(A90, 'Week 7'!$A$2:$H$119, 6, False)</f>
        <v>#N/A</v>
      </c>
      <c r="F97" s="4" t="str">
        <f>vlookup(A90, 'Week 7'!$A$2:$H$119, 7, False)</f>
        <v>#N/A</v>
      </c>
      <c r="G97" s="4" t="str">
        <f>vlookup(A90, 'Week 7'!$A$2:$H$119, 4, False)</f>
        <v>#N/A</v>
      </c>
      <c r="H97" s="4" t="str">
        <f>vlookup(A90, 'Week 7'!$A$2:$H$119, 5, False)</f>
        <v>#N/A</v>
      </c>
      <c r="I97" s="4" t="str">
        <f>vlookup(A90, 'Week 7'!$A$2:$H$119, 8, False)</f>
        <v>#N/A</v>
      </c>
      <c r="J97" s="148" t="str">
        <f t="shared" si="200"/>
        <v>#N/A</v>
      </c>
      <c r="K97" s="145" t="s">
        <v>154</v>
      </c>
      <c r="L97" s="4" t="str">
        <f t="shared" si="201"/>
        <v>Yes</v>
      </c>
      <c r="M97" s="4" t="str">
        <f>if(L97="Yes", vlookup(K$1, 'Week 7'!$A$1:$H$119, 5, False), "")</f>
        <v>Loss</v>
      </c>
      <c r="N97" s="4">
        <f>vlookup(K90, 'Week 7'!$A$2:$H$119, 3, False)</f>
        <v>6</v>
      </c>
      <c r="O97" s="4">
        <f>vlookup(K90, 'Week 7'!$A$2:$H$119, 6, False)</f>
        <v>2</v>
      </c>
      <c r="P97" s="4">
        <f>vlookup(K90, 'Week 7'!$A$2:$H$119, 7, False)</f>
        <v>1</v>
      </c>
      <c r="Q97" s="4">
        <f>vlookup(K90, 'Week 7'!$A$2:$H$119, 4, False)</f>
        <v>3</v>
      </c>
      <c r="R97" s="4">
        <f>vlookup(K90, 'Week 7'!$A$2:$H$119, 5, False)</f>
        <v>0</v>
      </c>
      <c r="S97" s="4">
        <f>vlookup(K90, 'Week 7'!$A$2:$H$119, 8, False)</f>
        <v>30</v>
      </c>
      <c r="T97" s="148">
        <f t="shared" si="202"/>
        <v>0.1666666667</v>
      </c>
      <c r="U97" s="145" t="s">
        <v>154</v>
      </c>
      <c r="V97" s="4" t="str">
        <f t="shared" si="203"/>
        <v/>
      </c>
      <c r="W97" s="4" t="str">
        <f>if(V97="Yes", vlookup(U$1, 'Week 7'!$A$1:$H$119, 5, False), "")</f>
        <v/>
      </c>
      <c r="X97" s="146" t="str">
        <f>vlookup(U90, 'Week 7'!$A$2:$H$119, 3, False)</f>
        <v/>
      </c>
      <c r="Y97" s="146" t="str">
        <f>vlookup(U90, 'Week 7'!$A$2:$H$119, 6, False)</f>
        <v/>
      </c>
      <c r="Z97" s="146" t="str">
        <f>vlookup(U90, 'Week 7'!$A$2:$H$119, 7, False)</f>
        <v/>
      </c>
      <c r="AA97" s="146" t="str">
        <f>vlookup(U90, 'Week 7'!$A$2:$H$119, 4, False)</f>
        <v/>
      </c>
      <c r="AB97" s="146" t="str">
        <f>vlookup(U90, 'Week 7'!$A$2:$H$119, 5, False)</f>
        <v/>
      </c>
      <c r="AC97" s="146" t="str">
        <f>vlookup(U90, 'Week 7'!$A$2:$H$119, 8, False)</f>
        <v/>
      </c>
      <c r="AD97" s="148" t="str">
        <f t="shared" si="204"/>
        <v>#DIV/0!</v>
      </c>
      <c r="AE97" s="145" t="s">
        <v>154</v>
      </c>
      <c r="AF97" s="4" t="str">
        <f t="shared" si="205"/>
        <v>Yes</v>
      </c>
      <c r="AG97" s="4" t="str">
        <f>if(AF97="Yes", vlookup(AE$1, 'Week 7'!$A$1:$H$119, 5, False), "")</f>
        <v>Loss</v>
      </c>
      <c r="AH97" s="4">
        <f>vlookup(AE90, 'Week 7'!$A$2:$H$119, 3, False)</f>
        <v>19</v>
      </c>
      <c r="AI97" s="4">
        <f>vlookup(AE90, 'Week 7'!$A$2:$H$119, 6, False)</f>
        <v>8</v>
      </c>
      <c r="AJ97" s="4">
        <f>vlookup(AE90, 'Week 7'!$A$2:$H$119, 7, False)</f>
        <v>0</v>
      </c>
      <c r="AK97" s="4">
        <f>vlookup(AE90, 'Week 7'!$A$2:$H$119, 4, False)</f>
        <v>10</v>
      </c>
      <c r="AL97" s="4">
        <f>vlookup(AE90, 'Week 7'!$A$2:$H$119, 5, False)</f>
        <v>1</v>
      </c>
      <c r="AM97" s="4">
        <f>vlookup(AE90, 'Week 7'!$A$2:$H$119, 8, False)</f>
        <v>30</v>
      </c>
      <c r="AN97" s="148">
        <f t="shared" si="206"/>
        <v>0.387755102</v>
      </c>
      <c r="AO97" s="145" t="s">
        <v>154</v>
      </c>
      <c r="AP97" s="4" t="str">
        <f t="shared" si="207"/>
        <v>Yes</v>
      </c>
      <c r="AQ97" s="4" t="str">
        <f>if(AP97="Yes", vlookup(AO$1, 'Week 7'!$A$1:$H$119, 5, False), "")</f>
        <v>Loss</v>
      </c>
      <c r="AR97" s="4">
        <f>vlookup(AO90, 'Week 7'!$A$2:$H$119, 3, False)</f>
        <v>20</v>
      </c>
      <c r="AS97" s="4">
        <f>vlookup(AO90, 'Week 7'!$A$2:$H$119, 6, False)</f>
        <v>7</v>
      </c>
      <c r="AT97" s="4">
        <f>vlookup(AO90, 'Week 7'!$A$2:$H$119, 7, False)</f>
        <v>0</v>
      </c>
      <c r="AU97" s="4">
        <f>vlookup(AO90, 'Week 7'!$A$2:$H$119, 4, False)</f>
        <v>9</v>
      </c>
      <c r="AV97" s="4">
        <f>vlookup(AO90, 'Week 7'!$A$2:$H$119, 5, False)</f>
        <v>4</v>
      </c>
      <c r="AW97" s="4">
        <f>vlookup(AO90, 'Week 7'!$A$2:$H$119, 8, False)</f>
        <v>24</v>
      </c>
      <c r="AX97" s="148">
        <f t="shared" si="208"/>
        <v>0.4545454545</v>
      </c>
      <c r="AY97" s="145" t="s">
        <v>154</v>
      </c>
      <c r="AZ97" s="4" t="str">
        <f t="shared" si="209"/>
        <v/>
      </c>
      <c r="BA97" s="4" t="str">
        <f>if(AZ97="Yes", vlookup(AY$1, 'Week 7'!$A$1:$H$119, 5, False), "")</f>
        <v/>
      </c>
      <c r="BB97" s="4" t="str">
        <f>vlookup(AY90, 'Week 7'!$A$2:$H$119, 3, False)</f>
        <v/>
      </c>
      <c r="BC97" s="4" t="str">
        <f>vlookup(AY90, 'Week 7'!$A$2:$H$119, 6, False)</f>
        <v/>
      </c>
      <c r="BD97" s="4" t="str">
        <f>vlookup(AY90, 'Week 7'!$A$2:$H$119, 7, False)</f>
        <v/>
      </c>
      <c r="BE97" s="4" t="str">
        <f>vlookup(AY90, 'Week 7'!$A$2:$H$119, 4, False)</f>
        <v/>
      </c>
      <c r="BF97" s="4" t="str">
        <f>vlookup(AY90, 'Week 7'!$A$2:$H$119, 5, False)</f>
        <v/>
      </c>
      <c r="BG97" s="4" t="str">
        <f>vlookup(AY90, 'Week 7'!$A$2:$H$119, 8, False)</f>
        <v/>
      </c>
      <c r="BH97" s="148" t="str">
        <f t="shared" si="210"/>
        <v>#DIV/0!</v>
      </c>
      <c r="BI97" s="7"/>
      <c r="BJ97" s="7"/>
      <c r="BK97" s="7"/>
      <c r="BL97" s="7"/>
    </row>
    <row r="98">
      <c r="A98" s="145" t="s">
        <v>211</v>
      </c>
      <c r="B98" s="4" t="str">
        <f t="shared" si="199"/>
        <v/>
      </c>
      <c r="C98" s="4" t="str">
        <f>if(B98="Yes", vlookup(A$1, 'Week 1'!$A$1:$H$119, 5, False), "")</f>
        <v/>
      </c>
      <c r="D98" s="4"/>
      <c r="E98" s="4"/>
      <c r="F98" s="4"/>
      <c r="G98" s="4"/>
      <c r="H98" s="4"/>
      <c r="I98" s="4"/>
      <c r="J98" s="123"/>
      <c r="K98" s="145" t="s">
        <v>211</v>
      </c>
      <c r="L98" s="4" t="str">
        <f t="shared" si="201"/>
        <v/>
      </c>
      <c r="M98" s="4" t="str">
        <f>if(L98="Yes", vlookup(K$1, 'Week 1'!$A$1:$H$119, 5, False), "")</f>
        <v/>
      </c>
      <c r="N98" s="4"/>
      <c r="O98" s="4"/>
      <c r="P98" s="4"/>
      <c r="Q98" s="4"/>
      <c r="R98" s="4"/>
      <c r="S98" s="4"/>
      <c r="T98" s="123"/>
      <c r="U98" s="145" t="s">
        <v>211</v>
      </c>
      <c r="V98" s="4" t="str">
        <f t="shared" si="203"/>
        <v/>
      </c>
      <c r="W98" s="4" t="str">
        <f>if(V98="Yes", vlookup(U$1, 'Week 1'!$A$1:$H$119, 5, False), "")</f>
        <v/>
      </c>
      <c r="X98" s="4"/>
      <c r="Y98" s="4"/>
      <c r="Z98" s="4"/>
      <c r="AA98" s="4"/>
      <c r="AB98" s="4"/>
      <c r="AC98" s="4"/>
      <c r="AD98" s="123"/>
      <c r="AE98" s="145" t="s">
        <v>211</v>
      </c>
      <c r="AF98" s="4" t="str">
        <f t="shared" si="205"/>
        <v/>
      </c>
      <c r="AG98" s="4" t="str">
        <f>if(AF98="Yes", vlookup(AE$1, 'Week 1'!$A$1:$H$119, 5, False), "")</f>
        <v/>
      </c>
      <c r="AH98" s="4"/>
      <c r="AI98" s="4"/>
      <c r="AJ98" s="4"/>
      <c r="AK98" s="4"/>
      <c r="AL98" s="4"/>
      <c r="AM98" s="4"/>
      <c r="AN98" s="123"/>
      <c r="AO98" s="145" t="s">
        <v>211</v>
      </c>
      <c r="AP98" s="4" t="str">
        <f t="shared" si="207"/>
        <v/>
      </c>
      <c r="AQ98" s="4" t="str">
        <f>if(AP98="Yes", vlookup(AO$1, 'Week 1'!$A$1:$H$119, 5, False), "")</f>
        <v/>
      </c>
      <c r="AR98" s="4"/>
      <c r="AS98" s="4"/>
      <c r="AT98" s="4"/>
      <c r="AU98" s="4"/>
      <c r="AV98" s="4"/>
      <c r="AW98" s="4"/>
      <c r="AX98" s="123"/>
      <c r="AY98" s="145" t="s">
        <v>211</v>
      </c>
      <c r="AZ98" s="4" t="str">
        <f t="shared" si="209"/>
        <v/>
      </c>
      <c r="BA98" s="4" t="str">
        <f>if(AZ98="Yes", vlookup(AY$1, 'Week 1'!$A$1:$H$119, 5, False), "")</f>
        <v/>
      </c>
      <c r="BB98" s="4"/>
      <c r="BC98" s="4"/>
      <c r="BD98" s="4"/>
      <c r="BE98" s="4"/>
      <c r="BF98" s="4"/>
      <c r="BG98" s="4"/>
      <c r="BH98" s="123"/>
      <c r="BI98" s="7"/>
      <c r="BJ98" s="7"/>
      <c r="BK98" s="7"/>
      <c r="BL98" s="7"/>
    </row>
    <row r="99">
      <c r="A99" s="145" t="s">
        <v>212</v>
      </c>
      <c r="B99" s="4" t="str">
        <f t="shared" si="199"/>
        <v/>
      </c>
      <c r="C99" s="4" t="str">
        <f>if(B99="Yes", vlookup(A$1, 'Week 1'!$A$1:$H$119, 5, False), "")</f>
        <v/>
      </c>
      <c r="D99" s="4"/>
      <c r="E99" s="4"/>
      <c r="F99" s="4"/>
      <c r="G99" s="4"/>
      <c r="H99" s="4"/>
      <c r="I99" s="4"/>
      <c r="J99" s="123"/>
      <c r="K99" s="145" t="s">
        <v>212</v>
      </c>
      <c r="L99" s="4" t="str">
        <f t="shared" si="201"/>
        <v/>
      </c>
      <c r="M99" s="4" t="str">
        <f>if(L99="Yes", vlookup(K$1, 'Week 1'!$A$1:$H$119, 5, False), "")</f>
        <v/>
      </c>
      <c r="N99" s="4"/>
      <c r="O99" s="4"/>
      <c r="P99" s="4"/>
      <c r="Q99" s="4"/>
      <c r="R99" s="4"/>
      <c r="S99" s="4"/>
      <c r="T99" s="123"/>
      <c r="U99" s="145" t="s">
        <v>212</v>
      </c>
      <c r="V99" s="4" t="str">
        <f t="shared" si="203"/>
        <v/>
      </c>
      <c r="W99" s="4" t="str">
        <f>if(V99="Yes", vlookup(U$1, 'Week 1'!$A$1:$H$119, 5, False), "")</f>
        <v/>
      </c>
      <c r="X99" s="4"/>
      <c r="Y99" s="4"/>
      <c r="Z99" s="4"/>
      <c r="AA99" s="4"/>
      <c r="AB99" s="4"/>
      <c r="AC99" s="4"/>
      <c r="AD99" s="123"/>
      <c r="AE99" s="145" t="s">
        <v>212</v>
      </c>
      <c r="AF99" s="4" t="str">
        <f t="shared" si="205"/>
        <v/>
      </c>
      <c r="AG99" s="4" t="str">
        <f>if(AF99="Yes", vlookup(AE$1, 'Week 1'!$A$1:$H$119, 5, False), "")</f>
        <v/>
      </c>
      <c r="AH99" s="4"/>
      <c r="AI99" s="4"/>
      <c r="AJ99" s="4"/>
      <c r="AK99" s="4"/>
      <c r="AL99" s="4"/>
      <c r="AM99" s="4"/>
      <c r="AN99" s="123"/>
      <c r="AO99" s="145" t="s">
        <v>212</v>
      </c>
      <c r="AP99" s="4" t="str">
        <f t="shared" si="207"/>
        <v/>
      </c>
      <c r="AQ99" s="4" t="str">
        <f>if(AP99="Yes", vlookup(AO$1, 'Week 1'!$A$1:$H$119, 5, False), "")</f>
        <v/>
      </c>
      <c r="AR99" s="4"/>
      <c r="AS99" s="4"/>
      <c r="AT99" s="4"/>
      <c r="AU99" s="4"/>
      <c r="AV99" s="4"/>
      <c r="AW99" s="4"/>
      <c r="AX99" s="123"/>
      <c r="AY99" s="145" t="s">
        <v>212</v>
      </c>
      <c r="AZ99" s="4" t="str">
        <f t="shared" si="209"/>
        <v/>
      </c>
      <c r="BA99" s="4" t="str">
        <f>if(AZ99="Yes", vlookup(AY$1, 'Week 1'!$A$1:$H$119, 5, False), "")</f>
        <v/>
      </c>
      <c r="BB99" s="4"/>
      <c r="BC99" s="4"/>
      <c r="BD99" s="4"/>
      <c r="BE99" s="4"/>
      <c r="BF99" s="4"/>
      <c r="BG99" s="4"/>
      <c r="BH99" s="123"/>
      <c r="BI99" s="7"/>
      <c r="BJ99" s="7"/>
      <c r="BK99" s="7"/>
      <c r="BL99" s="7"/>
    </row>
    <row r="100">
      <c r="A100" s="2" t="s">
        <v>213</v>
      </c>
      <c r="B100" s="149">
        <f>countif(B91:B99, "Yes")</f>
        <v>0</v>
      </c>
      <c r="C100" s="150" t="str">
        <f>countif(C91:C99, "Win")/(countif(C91:C99, "Win")+countif(C91:C99, "Loss"))</f>
        <v>#DIV/0!</v>
      </c>
      <c r="D100" s="151" t="str">
        <f t="shared" ref="D100:I100" si="211">average(D91:D99)</f>
        <v>#N/A</v>
      </c>
      <c r="E100" s="151" t="str">
        <f t="shared" si="211"/>
        <v>#N/A</v>
      </c>
      <c r="F100" s="151" t="str">
        <f t="shared" si="211"/>
        <v>#N/A</v>
      </c>
      <c r="G100" s="151" t="str">
        <f t="shared" si="211"/>
        <v>#N/A</v>
      </c>
      <c r="H100" s="151" t="str">
        <f t="shared" si="211"/>
        <v>#N/A</v>
      </c>
      <c r="I100" s="152" t="str">
        <f t="shared" si="211"/>
        <v>#N/A</v>
      </c>
      <c r="J100" s="153" t="str">
        <f>D100/(I100+D100)</f>
        <v>#N/A</v>
      </c>
      <c r="K100" s="2" t="s">
        <v>213</v>
      </c>
      <c r="L100" s="149">
        <f>countif(L91:L99, "Yes")</f>
        <v>4</v>
      </c>
      <c r="M100" s="153">
        <f>countif(M91:M99, "Win")/(countif(M91:M99, "Win")+countif(M91:M99, "Loss"))</f>
        <v>0.5</v>
      </c>
      <c r="N100" s="151">
        <f t="shared" ref="N100:S100" si="212">average(N91:N99)</f>
        <v>11.75</v>
      </c>
      <c r="O100" s="151">
        <f t="shared" si="212"/>
        <v>6.75</v>
      </c>
      <c r="P100" s="151">
        <f t="shared" si="212"/>
        <v>0.75</v>
      </c>
      <c r="Q100" s="151">
        <f t="shared" si="212"/>
        <v>3.5</v>
      </c>
      <c r="R100" s="151">
        <f t="shared" si="212"/>
        <v>0.75</v>
      </c>
      <c r="S100" s="152">
        <f t="shared" si="212"/>
        <v>25.5</v>
      </c>
      <c r="T100" s="153">
        <f>N100/(S100+N100)</f>
        <v>0.3154362416</v>
      </c>
      <c r="U100" s="2" t="s">
        <v>213</v>
      </c>
      <c r="V100" s="149">
        <f>countif(V91:V99, "Yes")</f>
        <v>2</v>
      </c>
      <c r="W100" s="150">
        <f>countif(W91:W99, "Win")/(countif(W91:W99, "Win")+countif(W91:W99, "Loss"))</f>
        <v>0.5</v>
      </c>
      <c r="X100" s="151">
        <f t="shared" ref="X100:AC100" si="213">average(X91:X99)</f>
        <v>16</v>
      </c>
      <c r="Y100" s="151">
        <f t="shared" si="213"/>
        <v>11.5</v>
      </c>
      <c r="Z100" s="151">
        <f t="shared" si="213"/>
        <v>1.5</v>
      </c>
      <c r="AA100" s="151">
        <f t="shared" si="213"/>
        <v>1.5</v>
      </c>
      <c r="AB100" s="151">
        <f t="shared" si="213"/>
        <v>1.5</v>
      </c>
      <c r="AC100" s="152">
        <f t="shared" si="213"/>
        <v>30</v>
      </c>
      <c r="AD100" s="153">
        <f>X100/(AC100+X100)</f>
        <v>0.347826087</v>
      </c>
      <c r="AE100" s="2" t="s">
        <v>213</v>
      </c>
      <c r="AF100" s="149">
        <f>countif(AF91:AF99, "Yes")</f>
        <v>1</v>
      </c>
      <c r="AG100" s="150">
        <f>countif(AG91:AG99, "Win")/(countif(AG91:AG99, "Win")+countif(AG91:AG99, "Loss"))</f>
        <v>0</v>
      </c>
      <c r="AH100" s="151">
        <f t="shared" ref="AH100:AM100" si="214">average(AH91:AH99)</f>
        <v>19</v>
      </c>
      <c r="AI100" s="151">
        <f t="shared" si="214"/>
        <v>8</v>
      </c>
      <c r="AJ100" s="151">
        <f t="shared" si="214"/>
        <v>0</v>
      </c>
      <c r="AK100" s="151">
        <f t="shared" si="214"/>
        <v>10</v>
      </c>
      <c r="AL100" s="151">
        <f t="shared" si="214"/>
        <v>1</v>
      </c>
      <c r="AM100" s="152">
        <f t="shared" si="214"/>
        <v>30</v>
      </c>
      <c r="AN100" s="153">
        <f>AH100/(AM100+AH100)</f>
        <v>0.387755102</v>
      </c>
      <c r="AO100" s="2" t="s">
        <v>213</v>
      </c>
      <c r="AP100" s="149">
        <f>countif(AP91:AP99, "Yes")</f>
        <v>3</v>
      </c>
      <c r="AQ100" s="153">
        <f>countif(AQ91:AQ99, "Win")/(countif(AQ91:AQ99, "Win")+countif(AQ91:AQ99, "Loss"))</f>
        <v>0.3333333333</v>
      </c>
      <c r="AR100" s="151">
        <f t="shared" ref="AR100:AW100" si="215">average(AR91:AR99)</f>
        <v>15.33333333</v>
      </c>
      <c r="AS100" s="151">
        <f t="shared" si="215"/>
        <v>5.666666667</v>
      </c>
      <c r="AT100" s="151">
        <f t="shared" si="215"/>
        <v>0</v>
      </c>
      <c r="AU100" s="151">
        <f t="shared" si="215"/>
        <v>7.666666667</v>
      </c>
      <c r="AV100" s="151">
        <f t="shared" si="215"/>
        <v>2</v>
      </c>
      <c r="AW100" s="152">
        <f t="shared" si="215"/>
        <v>26.66666667</v>
      </c>
      <c r="AX100" s="153">
        <f>AR100/(AW100+AR100)</f>
        <v>0.3650793651</v>
      </c>
      <c r="AY100" s="2" t="s">
        <v>213</v>
      </c>
      <c r="AZ100" s="149">
        <f>countif(AZ91:AZ99, "Yes")</f>
        <v>1</v>
      </c>
      <c r="BA100" s="153">
        <f>countif(BA91:BA99, "Win")/(countif(BA91:BA99, "Win")+countif(BA91:BA99, "Loss"))</f>
        <v>0</v>
      </c>
      <c r="BB100" s="151">
        <f t="shared" ref="BB100:BG100" si="216">average(BB91:BB99)</f>
        <v>18</v>
      </c>
      <c r="BC100" s="151">
        <f t="shared" si="216"/>
        <v>15</v>
      </c>
      <c r="BD100" s="151">
        <f t="shared" si="216"/>
        <v>0</v>
      </c>
      <c r="BE100" s="151">
        <f t="shared" si="216"/>
        <v>3</v>
      </c>
      <c r="BF100" s="151">
        <f t="shared" si="216"/>
        <v>0</v>
      </c>
      <c r="BG100" s="152">
        <f t="shared" si="216"/>
        <v>31</v>
      </c>
      <c r="BH100" s="153">
        <f>BB100/(BG100+BB100)</f>
        <v>0.3673469388</v>
      </c>
      <c r="BI100" s="7"/>
      <c r="BJ100" s="7"/>
      <c r="BK100" s="7"/>
      <c r="BL100" s="7"/>
    </row>
    <row r="101">
      <c r="A101" s="154" t="str">
        <f>Draft!B54</f>
        <v/>
      </c>
      <c r="B101" s="124">
        <f t="shared" ref="B101:J101" si="217">B111</f>
        <v>0</v>
      </c>
      <c r="C101" s="139" t="str">
        <f t="shared" si="217"/>
        <v>#DIV/0!</v>
      </c>
      <c r="D101" s="137" t="str">
        <f t="shared" si="217"/>
        <v>#N/A</v>
      </c>
      <c r="E101" s="137" t="str">
        <f t="shared" si="217"/>
        <v>#N/A</v>
      </c>
      <c r="F101" s="137" t="str">
        <f t="shared" si="217"/>
        <v>#N/A</v>
      </c>
      <c r="G101" s="137" t="str">
        <f t="shared" si="217"/>
        <v>#N/A</v>
      </c>
      <c r="H101" s="137" t="str">
        <f t="shared" si="217"/>
        <v>#N/A</v>
      </c>
      <c r="I101" s="138" t="str">
        <f t="shared" si="217"/>
        <v>#N/A</v>
      </c>
      <c r="J101" s="139" t="str">
        <f t="shared" si="217"/>
        <v>#N/A</v>
      </c>
      <c r="K101" s="155" t="str">
        <f>Draft!C54</f>
        <v>Nagle</v>
      </c>
      <c r="L101" s="124">
        <f t="shared" ref="L101:T101" si="218">L111</f>
        <v>1</v>
      </c>
      <c r="M101" s="139">
        <f t="shared" si="218"/>
        <v>1</v>
      </c>
      <c r="N101" s="137">
        <f t="shared" si="218"/>
        <v>10</v>
      </c>
      <c r="O101" s="137">
        <f t="shared" si="218"/>
        <v>4</v>
      </c>
      <c r="P101" s="137">
        <f t="shared" si="218"/>
        <v>0</v>
      </c>
      <c r="Q101" s="137">
        <f t="shared" si="218"/>
        <v>6</v>
      </c>
      <c r="R101" s="137">
        <f t="shared" si="218"/>
        <v>0</v>
      </c>
      <c r="S101" s="138">
        <f t="shared" si="218"/>
        <v>27</v>
      </c>
      <c r="T101" s="139">
        <f t="shared" si="218"/>
        <v>0.2702702703</v>
      </c>
      <c r="U101" s="156" t="str">
        <f>Draft!D54</f>
        <v/>
      </c>
      <c r="V101" s="124">
        <f t="shared" ref="V101:AD101" si="219">V111</f>
        <v>0</v>
      </c>
      <c r="W101" s="139" t="str">
        <f t="shared" si="219"/>
        <v>#DIV/0!</v>
      </c>
      <c r="X101" s="137" t="str">
        <f t="shared" si="219"/>
        <v>#N/A</v>
      </c>
      <c r="Y101" s="137" t="str">
        <f t="shared" si="219"/>
        <v>#N/A</v>
      </c>
      <c r="Z101" s="137" t="str">
        <f t="shared" si="219"/>
        <v>#N/A</v>
      </c>
      <c r="AA101" s="137" t="str">
        <f t="shared" si="219"/>
        <v>#N/A</v>
      </c>
      <c r="AB101" s="137" t="str">
        <f t="shared" si="219"/>
        <v>#N/A</v>
      </c>
      <c r="AC101" s="138" t="str">
        <f t="shared" si="219"/>
        <v>#N/A</v>
      </c>
      <c r="AD101" s="139" t="str">
        <f t="shared" si="219"/>
        <v>#N/A</v>
      </c>
      <c r="AE101" s="157" t="str">
        <f>Draft!E54</f>
        <v/>
      </c>
      <c r="AF101" s="124">
        <f t="shared" ref="AF101:AN101" si="220">AF111</f>
        <v>0</v>
      </c>
      <c r="AG101" s="139" t="str">
        <f t="shared" si="220"/>
        <v>#DIV/0!</v>
      </c>
      <c r="AH101" s="137" t="str">
        <f t="shared" si="220"/>
        <v>#N/A</v>
      </c>
      <c r="AI101" s="137" t="str">
        <f t="shared" si="220"/>
        <v>#N/A</v>
      </c>
      <c r="AJ101" s="137" t="str">
        <f t="shared" si="220"/>
        <v>#N/A</v>
      </c>
      <c r="AK101" s="137" t="str">
        <f t="shared" si="220"/>
        <v>#N/A</v>
      </c>
      <c r="AL101" s="137" t="str">
        <f t="shared" si="220"/>
        <v>#N/A</v>
      </c>
      <c r="AM101" s="138" t="str">
        <f t="shared" si="220"/>
        <v>#N/A</v>
      </c>
      <c r="AN101" s="139" t="str">
        <f t="shared" si="220"/>
        <v>#N/A</v>
      </c>
      <c r="AO101" s="158" t="str">
        <f>Draft!F54</f>
        <v>Hanono</v>
      </c>
      <c r="AP101" s="124">
        <f t="shared" ref="AP101:AX101" si="221">AP111</f>
        <v>1</v>
      </c>
      <c r="AQ101" s="139">
        <f t="shared" si="221"/>
        <v>0</v>
      </c>
      <c r="AR101" s="137">
        <f t="shared" si="221"/>
        <v>12</v>
      </c>
      <c r="AS101" s="137">
        <f t="shared" si="221"/>
        <v>6</v>
      </c>
      <c r="AT101" s="137">
        <f t="shared" si="221"/>
        <v>0</v>
      </c>
      <c r="AU101" s="137">
        <f t="shared" si="221"/>
        <v>5</v>
      </c>
      <c r="AV101" s="137">
        <f t="shared" si="221"/>
        <v>1</v>
      </c>
      <c r="AW101" s="138">
        <f t="shared" si="221"/>
        <v>27</v>
      </c>
      <c r="AX101" s="139">
        <f t="shared" si="221"/>
        <v>0.3076923077</v>
      </c>
      <c r="AY101" s="19" t="str">
        <f>Draft!G54</f>
        <v/>
      </c>
      <c r="AZ101" s="124">
        <f t="shared" ref="AZ101:BH101" si="222">AZ111</f>
        <v>0</v>
      </c>
      <c r="BA101" s="136" t="str">
        <f t="shared" si="222"/>
        <v>#DIV/0!</v>
      </c>
      <c r="BB101" s="137" t="str">
        <f t="shared" si="222"/>
        <v>#N/A</v>
      </c>
      <c r="BC101" s="137" t="str">
        <f t="shared" si="222"/>
        <v>#N/A</v>
      </c>
      <c r="BD101" s="137" t="str">
        <f t="shared" si="222"/>
        <v>#N/A</v>
      </c>
      <c r="BE101" s="137" t="str">
        <f t="shared" si="222"/>
        <v>#N/A</v>
      </c>
      <c r="BF101" s="137" t="str">
        <f t="shared" si="222"/>
        <v>#N/A</v>
      </c>
      <c r="BG101" s="138" t="str">
        <f t="shared" si="222"/>
        <v>#N/A</v>
      </c>
      <c r="BH101" s="139" t="str">
        <f t="shared" si="222"/>
        <v>#N/A</v>
      </c>
      <c r="BI101" s="7"/>
      <c r="BJ101" s="7"/>
      <c r="BK101" s="7"/>
      <c r="BL101" s="7"/>
    </row>
    <row r="102">
      <c r="A102" s="145" t="s">
        <v>133</v>
      </c>
      <c r="B102" s="4" t="str">
        <f t="shared" ref="B102:B110" si="223">if(I102&gt;0, "Yes", "")</f>
        <v>#N/A</v>
      </c>
      <c r="C102" s="4" t="str">
        <f>if(B102="Yes", vlookup(A$1, 'Week 1'!$A$1:$H$119, 5, False), "")</f>
        <v>#N/A</v>
      </c>
      <c r="D102" s="4" t="str">
        <f>vlookup(A101, 'Week 1'!$A$2:$H$119, 3, False)</f>
        <v>#N/A</v>
      </c>
      <c r="E102" s="7" t="str">
        <f>vlookup(A101, 'Week 1'!$A$2:$H$119, 6, False)</f>
        <v>#N/A</v>
      </c>
      <c r="F102" s="7" t="str">
        <f>vlookup(A101, 'Week 1'!$A$2:$H$119, 7, False)</f>
        <v>#N/A</v>
      </c>
      <c r="G102" s="7" t="str">
        <f>vlookup(A101, 'Week 1'!$A$2:$H$119, 4, False)</f>
        <v>#N/A</v>
      </c>
      <c r="H102" s="7" t="str">
        <f>vlookup(A101, 'Week 1'!$A$2:$H$119, 5, False)</f>
        <v>#N/A</v>
      </c>
      <c r="I102" s="7" t="str">
        <f>vlookup(A101, 'Week 1'!$A$2:$H$119, 8, False)</f>
        <v>#N/A</v>
      </c>
      <c r="J102" s="148" t="str">
        <f t="shared" ref="J102:J108" si="224">if(D102&gt;0, (D102/(D102+I102)), "")</f>
        <v>#N/A</v>
      </c>
      <c r="K102" s="145" t="s">
        <v>133</v>
      </c>
      <c r="L102" s="4" t="str">
        <f t="shared" ref="L102:L110" si="225">if(S102&gt;0, "Yes", "")</f>
        <v/>
      </c>
      <c r="M102" s="4" t="str">
        <f>if(L102="Yes", vlookup(K$1, 'Week 1'!$A$1:$H$119, 5, False), "")</f>
        <v/>
      </c>
      <c r="N102" s="4" t="str">
        <f>vlookup(K101, 'Week 1'!$A$2:$H$119, 3, False)</f>
        <v/>
      </c>
      <c r="O102" s="7" t="str">
        <f>vlookup(K101, 'Week 1'!$A$2:$H$119, 6, False)</f>
        <v/>
      </c>
      <c r="P102" s="7" t="str">
        <f>vlookup(K101, 'Week 1'!$A$2:$H$119, 7, False)</f>
        <v/>
      </c>
      <c r="Q102" s="7" t="str">
        <f>vlookup(K101, 'Week 1'!$A$2:$H$119, 4, False)</f>
        <v/>
      </c>
      <c r="R102" s="7" t="str">
        <f>vlookup(K101, 'Week 1'!$A$2:$H$119, 5, False)</f>
        <v/>
      </c>
      <c r="S102" s="7" t="str">
        <f>vlookup(K101, 'Week 1'!$A$2:$H$119, 8, False)</f>
        <v/>
      </c>
      <c r="T102" s="148" t="str">
        <f t="shared" ref="T102:T108" si="226">if(N102&gt;0, (N102/(N102+S102)), "")</f>
        <v>#DIV/0!</v>
      </c>
      <c r="U102" s="145" t="s">
        <v>133</v>
      </c>
      <c r="V102" s="4" t="str">
        <f t="shared" ref="V102:V110" si="227">if(AC102&gt;0, "Yes", "")</f>
        <v>#N/A</v>
      </c>
      <c r="W102" s="4" t="str">
        <f>if(V102="Yes", vlookup(U$1, 'Week 1'!$A$1:$H$119, 5, False), "")</f>
        <v>#N/A</v>
      </c>
      <c r="X102" s="4" t="str">
        <f>vlookup(U101, 'Week 1'!$A$2:$H$119, 3, False)</f>
        <v>#N/A</v>
      </c>
      <c r="Y102" s="7" t="str">
        <f>vlookup(U101, 'Week 1'!$A$2:$H$119, 6, False)</f>
        <v>#N/A</v>
      </c>
      <c r="Z102" s="7" t="str">
        <f>vlookup(U101, 'Week 1'!$A$2:$H$119, 7, False)</f>
        <v>#N/A</v>
      </c>
      <c r="AA102" s="7" t="str">
        <f>vlookup(U101, 'Week 1'!$A$2:$H$119, 4, False)</f>
        <v>#N/A</v>
      </c>
      <c r="AB102" s="7" t="str">
        <f>vlookup(U101, 'Week 1'!$A$2:$H$119, 5, False)</f>
        <v>#N/A</v>
      </c>
      <c r="AC102" s="7" t="str">
        <f>vlookup(U101, 'Week 1'!$A$2:$H$119, 8, False)</f>
        <v>#N/A</v>
      </c>
      <c r="AD102" s="148" t="str">
        <f t="shared" ref="AD102:AD108" si="228">if(X102&gt;0, (X102/(X102+AC102)), "")</f>
        <v>#N/A</v>
      </c>
      <c r="AE102" s="145" t="s">
        <v>133</v>
      </c>
      <c r="AF102" s="4" t="str">
        <f t="shared" ref="AF102:AF110" si="229">if(AM102&gt;0, "Yes", "")</f>
        <v>#N/A</v>
      </c>
      <c r="AG102" s="4" t="str">
        <f>if(AF102="Yes", vlookup(AE$1, 'Week 1'!$A$1:$H$119, 5, False), "")</f>
        <v>#N/A</v>
      </c>
      <c r="AH102" s="4" t="str">
        <f>vlookup(AE101, 'Week 1'!$A$2:$H$119, 3, False)</f>
        <v>#N/A</v>
      </c>
      <c r="AI102" s="7" t="str">
        <f>vlookup(AE101, 'Week 1'!$A$2:$H$119, 6, False)</f>
        <v>#N/A</v>
      </c>
      <c r="AJ102" s="7" t="str">
        <f>vlookup(AE101, 'Week 1'!$A$2:$H$119, 7, False)</f>
        <v>#N/A</v>
      </c>
      <c r="AK102" s="7" t="str">
        <f>vlookup(AE101, 'Week 1'!$A$2:$H$119, 4, False)</f>
        <v>#N/A</v>
      </c>
      <c r="AL102" s="7" t="str">
        <f>vlookup(AE101, 'Week 1'!$A$2:$H$119, 5, False)</f>
        <v>#N/A</v>
      </c>
      <c r="AM102" s="7" t="str">
        <f>vlookup(AE101, 'Week 1'!$A$2:$H$119, 8, False)</f>
        <v>#N/A</v>
      </c>
      <c r="AN102" s="148" t="str">
        <f t="shared" ref="AN102:AN108" si="230">if(AH102&gt;0, (AH102/(AH102+AM102)), "")</f>
        <v>#N/A</v>
      </c>
      <c r="AO102" s="145" t="s">
        <v>133</v>
      </c>
      <c r="AP102" s="4" t="str">
        <f t="shared" ref="AP102:AP110" si="231">if(AW102&gt;0, "Yes", "")</f>
        <v/>
      </c>
      <c r="AQ102" s="4" t="str">
        <f>if(AP102="Yes", vlookup(AO$1, 'Week 1'!$A$1:$H$119, 5, False), "")</f>
        <v/>
      </c>
      <c r="AR102" s="4" t="str">
        <f>vlookup(AO101, 'Week 1'!$A$2:$H$119, 3, False)</f>
        <v/>
      </c>
      <c r="AS102" s="7" t="str">
        <f>vlookup(AO101, 'Week 1'!$A$2:$H$119, 6, False)</f>
        <v/>
      </c>
      <c r="AT102" s="7" t="str">
        <f>vlookup(AO101, 'Week 1'!$A$2:$H$119, 7, False)</f>
        <v/>
      </c>
      <c r="AU102" s="7" t="str">
        <f>vlookup(AO101, 'Week 1'!$A$2:$H$119, 4, False)</f>
        <v/>
      </c>
      <c r="AV102" s="7" t="str">
        <f>vlookup(AO101, 'Week 1'!$A$2:$H$119, 5, False)</f>
        <v/>
      </c>
      <c r="AW102" s="7" t="str">
        <f>vlookup(AO101, 'Week 1'!$A$2:$H$119, 8, False)</f>
        <v/>
      </c>
      <c r="AX102" s="148" t="str">
        <f t="shared" ref="AX102:AX108" si="232">if(AR102&gt;0, (AR102/(AR102+AW102)), "")</f>
        <v>#DIV/0!</v>
      </c>
      <c r="AY102" s="145" t="s">
        <v>133</v>
      </c>
      <c r="AZ102" s="4" t="str">
        <f t="shared" ref="AZ102:AZ110" si="233">if(BG102&gt;0, "Yes", "")</f>
        <v>#N/A</v>
      </c>
      <c r="BA102" s="4" t="str">
        <f>if(AZ102="Yes", vlookup(AY$1, 'Week 1'!$A$1:$H$119, 5, False), "")</f>
        <v>#N/A</v>
      </c>
      <c r="BB102" s="146" t="str">
        <f>vlookup(AY101, 'Week 1'!$A$2:$H$119, 3, False)</f>
        <v>#N/A</v>
      </c>
      <c r="BC102" s="147" t="str">
        <f>vlookup(AY101, 'Week 1'!$A$2:$H$119, 6, False)</f>
        <v>#N/A</v>
      </c>
      <c r="BD102" s="147" t="str">
        <f>vlookup(AY101, 'Week 1'!$A$2:$H$119, 7, False)</f>
        <v>#N/A</v>
      </c>
      <c r="BE102" s="147" t="str">
        <f>vlookup(AY101, 'Week 1'!$A$2:$H$119, 4, False)</f>
        <v>#N/A</v>
      </c>
      <c r="BF102" s="147" t="str">
        <f>vlookup(AY101, 'Week 1'!$A$2:$H$119, 5, False)</f>
        <v>#N/A</v>
      </c>
      <c r="BG102" s="147" t="str">
        <f>vlookup(AY101, 'Week 1'!$A$2:$H$119, 8, False)</f>
        <v>#N/A</v>
      </c>
      <c r="BH102" s="148" t="str">
        <f t="shared" ref="BH102:BH108" si="234">if(BB102&gt;0, (BB102/(BB102+BG102)), "")</f>
        <v>#N/A</v>
      </c>
      <c r="BI102" s="7"/>
      <c r="BJ102" s="7"/>
      <c r="BK102" s="7"/>
      <c r="BL102" s="7"/>
    </row>
    <row r="103">
      <c r="A103" s="145" t="s">
        <v>135</v>
      </c>
      <c r="B103" s="4" t="str">
        <f t="shared" si="223"/>
        <v>#N/A</v>
      </c>
      <c r="C103" s="4" t="str">
        <f>if(B103="Yes", vlookup(A$1, 'Week 2'!$A$1:$H$119, 5, False), "")</f>
        <v>#N/A</v>
      </c>
      <c r="D103" s="4" t="str">
        <f>vlookup(A101, 'Week 2'!$A$2:$H$119, 3, False)</f>
        <v>#N/A</v>
      </c>
      <c r="E103" s="4" t="str">
        <f>vlookup(A101, 'Week 2'!$A$2:$H$119, 6, False)</f>
        <v>#N/A</v>
      </c>
      <c r="F103" s="4" t="str">
        <f>vlookup(A101, 'Week 2'!$A$2:$H$119, 7, False)</f>
        <v>#N/A</v>
      </c>
      <c r="G103" s="4" t="str">
        <f>vlookup(A101, 'Week 2'!$A$2:$H$119, 4, False)</f>
        <v>#N/A</v>
      </c>
      <c r="H103" s="4" t="str">
        <f>vlookup(A101, 'Week 2'!$A$2:$H$119, 5, False)</f>
        <v>#N/A</v>
      </c>
      <c r="I103" s="4" t="str">
        <f>vlookup(A101, 'Week 2'!$A$2:$H$119, 8, False)</f>
        <v>#N/A</v>
      </c>
      <c r="J103" s="148" t="str">
        <f t="shared" si="224"/>
        <v>#N/A</v>
      </c>
      <c r="K103" s="145" t="s">
        <v>135</v>
      </c>
      <c r="L103" s="4" t="str">
        <f t="shared" si="225"/>
        <v/>
      </c>
      <c r="M103" s="4" t="str">
        <f>if(L103="Yes", vlookup(K$1, 'Week 2'!$A$1:$H$119, 5, False), "")</f>
        <v/>
      </c>
      <c r="N103" s="4" t="str">
        <f>vlookup(K101, 'Week 2'!$A$2:$H$119, 3, False)</f>
        <v/>
      </c>
      <c r="O103" s="4" t="str">
        <f>vlookup(K101, 'Week 2'!$A$2:$H$119, 6, False)</f>
        <v/>
      </c>
      <c r="P103" s="4" t="str">
        <f>vlookup(K101, 'Week 2'!$A$2:$H$119, 7, False)</f>
        <v/>
      </c>
      <c r="Q103" s="4" t="str">
        <f>vlookup(K101, 'Week 2'!$A$2:$H$119, 4, False)</f>
        <v/>
      </c>
      <c r="R103" s="4" t="str">
        <f>vlookup(K101, 'Week 2'!$A$2:$H$119, 5, False)</f>
        <v/>
      </c>
      <c r="S103" s="4" t="str">
        <f>vlookup(K101, 'Week 2'!$A$2:$H$119, 8, False)</f>
        <v/>
      </c>
      <c r="T103" s="148" t="str">
        <f t="shared" si="226"/>
        <v>#DIV/0!</v>
      </c>
      <c r="U103" s="145" t="s">
        <v>135</v>
      </c>
      <c r="V103" s="4" t="str">
        <f t="shared" si="227"/>
        <v>#N/A</v>
      </c>
      <c r="W103" s="4" t="str">
        <f>if(V103="Yes", vlookup(U$1, 'Week 2'!$A$1:$H$119, 5, False), "")</f>
        <v>#N/A</v>
      </c>
      <c r="X103" s="4" t="str">
        <f>vlookup(U101, 'Week 2'!$A$2:$H$119, 3, False)</f>
        <v>#N/A</v>
      </c>
      <c r="Y103" s="4" t="str">
        <f>vlookup(U101, 'Week 2'!$A$2:$H$119, 6, False)</f>
        <v>#N/A</v>
      </c>
      <c r="Z103" s="4" t="str">
        <f>vlookup(U101, 'Week 2'!$A$2:$H$119, 7, False)</f>
        <v>#N/A</v>
      </c>
      <c r="AA103" s="4" t="str">
        <f>vlookup(U101, 'Week 2'!$A$2:$H$119, 4, False)</f>
        <v>#N/A</v>
      </c>
      <c r="AB103" s="4" t="str">
        <f>vlookup(U101, 'Week 2'!$A$2:$H$119, 5, False)</f>
        <v>#N/A</v>
      </c>
      <c r="AC103" s="4" t="str">
        <f>vlookup(U101, 'Week 2'!$A$2:$H$119, 8, False)</f>
        <v>#N/A</v>
      </c>
      <c r="AD103" s="148" t="str">
        <f t="shared" si="228"/>
        <v>#N/A</v>
      </c>
      <c r="AE103" s="145" t="s">
        <v>135</v>
      </c>
      <c r="AF103" s="4" t="str">
        <f t="shared" si="229"/>
        <v>#N/A</v>
      </c>
      <c r="AG103" s="4" t="str">
        <f>if(AF103="Yes", vlookup(AE$1, 'Week 2'!$A$1:$H$119, 5, False), "")</f>
        <v>#N/A</v>
      </c>
      <c r="AH103" s="4" t="str">
        <f>vlookup(AE101, 'Week 2'!$A$2:$H$119, 3, False)</f>
        <v>#N/A</v>
      </c>
      <c r="AI103" s="4" t="str">
        <f>vlookup(AE101, 'Week 2'!$A$2:$H$119, 6, False)</f>
        <v>#N/A</v>
      </c>
      <c r="AJ103" s="4" t="str">
        <f>vlookup(AE101, 'Week 2'!$A$2:$H$119, 7, False)</f>
        <v>#N/A</v>
      </c>
      <c r="AK103" s="4" t="str">
        <f>vlookup(AE101, 'Week 2'!$A$2:$H$119, 4, False)</f>
        <v>#N/A</v>
      </c>
      <c r="AL103" s="4" t="str">
        <f>vlookup(AE101, 'Week 2'!$A$2:$H$119, 5, False)</f>
        <v>#N/A</v>
      </c>
      <c r="AM103" s="4" t="str">
        <f>vlookup(AE101, 'Week 2'!$A$2:$H$119, 8, False)</f>
        <v>#N/A</v>
      </c>
      <c r="AN103" s="148" t="str">
        <f t="shared" si="230"/>
        <v>#N/A</v>
      </c>
      <c r="AO103" s="145" t="s">
        <v>135</v>
      </c>
      <c r="AP103" s="4" t="str">
        <f t="shared" si="231"/>
        <v/>
      </c>
      <c r="AQ103" s="4" t="str">
        <f>if(AP103="Yes", vlookup(AO$1, 'Week 2'!$A$1:$H$119, 5, False), "")</f>
        <v/>
      </c>
      <c r="AR103" s="4" t="str">
        <f>vlookup(AO101, 'Week 2'!$A$2:$H$119, 3, False)</f>
        <v/>
      </c>
      <c r="AS103" s="4" t="str">
        <f>vlookup(AO101, 'Week 2'!$A$2:$H$119, 6, False)</f>
        <v/>
      </c>
      <c r="AT103" s="4" t="str">
        <f>vlookup(AO101, 'Week 2'!$A$2:$H$119, 7, False)</f>
        <v/>
      </c>
      <c r="AU103" s="4" t="str">
        <f>vlookup(AO101, 'Week 2'!$A$2:$H$119, 4, False)</f>
        <v/>
      </c>
      <c r="AV103" s="4" t="str">
        <f>vlookup(AO101, 'Week 2'!$A$2:$H$119, 5, False)</f>
        <v/>
      </c>
      <c r="AW103" s="4" t="str">
        <f>vlookup(AO101, 'Week 2'!$A$2:$H$119, 8, False)</f>
        <v/>
      </c>
      <c r="AX103" s="148" t="str">
        <f t="shared" si="232"/>
        <v>#DIV/0!</v>
      </c>
      <c r="AY103" s="145" t="s">
        <v>135</v>
      </c>
      <c r="AZ103" s="4" t="str">
        <f t="shared" si="233"/>
        <v>#N/A</v>
      </c>
      <c r="BA103" s="4" t="str">
        <f>if(AZ103="Yes", vlookup(AY$1, 'Week 2'!$A$1:$H$119, 5, False), "")</f>
        <v>#N/A</v>
      </c>
      <c r="BB103" s="4" t="str">
        <f>vlookup(AY101, 'Week 2'!$A$2:$H$119, 3, False)</f>
        <v>#N/A</v>
      </c>
      <c r="BC103" s="4" t="str">
        <f>vlookup(AY101, 'Week 2'!$A$2:$H$119, 6, False)</f>
        <v>#N/A</v>
      </c>
      <c r="BD103" s="4" t="str">
        <f>vlookup(AY101, 'Week 2'!$A$2:$H$119, 7, False)</f>
        <v>#N/A</v>
      </c>
      <c r="BE103" s="4" t="str">
        <f>vlookup(AY101, 'Week 2'!$A$2:$H$119, 4, False)</f>
        <v>#N/A</v>
      </c>
      <c r="BF103" s="4" t="str">
        <f>vlookup(AY101, 'Week 2'!$A$2:$H$119, 5, False)</f>
        <v>#N/A</v>
      </c>
      <c r="BG103" s="4" t="str">
        <f>vlookup(AY101, 'Week 2'!$A$2:$H$119, 8, False)</f>
        <v>#N/A</v>
      </c>
      <c r="BH103" s="148" t="str">
        <f t="shared" si="234"/>
        <v>#N/A</v>
      </c>
      <c r="BI103" s="7"/>
      <c r="BJ103" s="7"/>
      <c r="BK103" s="7"/>
      <c r="BL103" s="7"/>
    </row>
    <row r="104">
      <c r="A104" s="145" t="s">
        <v>140</v>
      </c>
      <c r="B104" s="4" t="str">
        <f t="shared" si="223"/>
        <v>#N/A</v>
      </c>
      <c r="C104" s="4" t="str">
        <f>if(B104="Yes", vlookup(A$1, 'Week 3'!$A$1:$H$119, 5, False), "")</f>
        <v>#N/A</v>
      </c>
      <c r="D104" s="4" t="str">
        <f>vlookup(A101, 'Week 3'!$A$2:$H$119, 3, False)</f>
        <v>#N/A</v>
      </c>
      <c r="E104" s="4" t="str">
        <f>vlookup(A101, 'Week 3'!$A$2:$H$119, 6, False)</f>
        <v>#N/A</v>
      </c>
      <c r="F104" s="4" t="str">
        <f>vlookup(A101, 'Week 3'!$A$2:$H$119, 7, False)</f>
        <v>#N/A</v>
      </c>
      <c r="G104" s="4" t="str">
        <f>vlookup(A101, 'Week 3'!$A$2:$H$119, 4, False)</f>
        <v>#N/A</v>
      </c>
      <c r="H104" s="4" t="str">
        <f>vlookup(A101, 'Week 3'!$A$2:$H$119, 5, False)</f>
        <v>#N/A</v>
      </c>
      <c r="I104" s="4" t="str">
        <f>vlookup(A101, 'Week 3'!$A$2:$H$119, 8, False)</f>
        <v>#N/A</v>
      </c>
      <c r="J104" s="148" t="str">
        <f t="shared" si="224"/>
        <v>#N/A</v>
      </c>
      <c r="K104" s="145" t="s">
        <v>140</v>
      </c>
      <c r="L104" s="4" t="str">
        <f t="shared" si="225"/>
        <v/>
      </c>
      <c r="M104" s="4" t="str">
        <f>if(L104="Yes", vlookup(K$1, 'Week 3'!$A$1:$H$119, 5, False), "")</f>
        <v/>
      </c>
      <c r="N104" s="4" t="str">
        <f>vlookup(K101, 'Week 3'!$A$2:$H$119, 3, False)</f>
        <v/>
      </c>
      <c r="O104" s="4" t="str">
        <f>vlookup(K101, 'Week 3'!$A$2:$H$119, 6, False)</f>
        <v/>
      </c>
      <c r="P104" s="4" t="str">
        <f>vlookup(K101, 'Week 3'!$A$2:$H$119, 7, False)</f>
        <v/>
      </c>
      <c r="Q104" s="4" t="str">
        <f>vlookup(K101, 'Week 3'!$A$2:$H$119, 4, False)</f>
        <v/>
      </c>
      <c r="R104" s="4" t="str">
        <f>vlookup(K101, 'Week 3'!$A$2:$H$119, 5, False)</f>
        <v/>
      </c>
      <c r="S104" s="4" t="str">
        <f>vlookup(K101, 'Week 3'!$A$2:$H$119, 8, False)</f>
        <v/>
      </c>
      <c r="T104" s="148" t="str">
        <f t="shared" si="226"/>
        <v>#DIV/0!</v>
      </c>
      <c r="U104" s="145" t="s">
        <v>140</v>
      </c>
      <c r="V104" s="4" t="str">
        <f t="shared" si="227"/>
        <v>#N/A</v>
      </c>
      <c r="W104" s="4" t="str">
        <f>if(V104="Yes", vlookup(U$1, 'Week 3'!$A$1:$H$119, 5, False), "")</f>
        <v>#N/A</v>
      </c>
      <c r="X104" s="4" t="str">
        <f>vlookup(U101, 'Week 3'!$A$2:$H$119, 3, False)</f>
        <v>#N/A</v>
      </c>
      <c r="Y104" s="4" t="str">
        <f>vlookup(U101, 'Week 3'!$A$2:$H$119, 6, False)</f>
        <v>#N/A</v>
      </c>
      <c r="Z104" s="4" t="str">
        <f>vlookup(U101, 'Week 3'!$A$2:$H$119, 7, False)</f>
        <v>#N/A</v>
      </c>
      <c r="AA104" s="4" t="str">
        <f>vlookup(U101, 'Week 3'!$A$2:$H$119, 4, False)</f>
        <v>#N/A</v>
      </c>
      <c r="AB104" s="4" t="str">
        <f>vlookup(U101, 'Week 3'!$A$2:$H$119, 5, False)</f>
        <v>#N/A</v>
      </c>
      <c r="AC104" s="4" t="str">
        <f>vlookup(U101, 'Week 3'!$A$2:$H$119, 8, False)</f>
        <v>#N/A</v>
      </c>
      <c r="AD104" s="148" t="str">
        <f t="shared" si="228"/>
        <v>#N/A</v>
      </c>
      <c r="AE104" s="145" t="s">
        <v>140</v>
      </c>
      <c r="AF104" s="4" t="str">
        <f t="shared" si="229"/>
        <v>#N/A</v>
      </c>
      <c r="AG104" s="4" t="str">
        <f>if(AF104="Yes", vlookup(AE$1, 'Week 3'!$A$1:$H$119, 5, False), "")</f>
        <v>#N/A</v>
      </c>
      <c r="AH104" s="4" t="str">
        <f>vlookup(AE101, 'Week 3'!$A$2:$H$119, 3, False)</f>
        <v>#N/A</v>
      </c>
      <c r="AI104" s="4" t="str">
        <f>vlookup(AE101, 'Week 3'!$A$2:$H$119, 6, False)</f>
        <v>#N/A</v>
      </c>
      <c r="AJ104" s="4" t="str">
        <f>vlookup(AE101, 'Week 3'!$A$2:$H$119, 7, False)</f>
        <v>#N/A</v>
      </c>
      <c r="AK104" s="4" t="str">
        <f>vlookup(AE101, 'Week 3'!$A$2:$H$119, 4, False)</f>
        <v>#N/A</v>
      </c>
      <c r="AL104" s="4" t="str">
        <f>vlookup(AE101, 'Week 3'!$A$2:$H$119, 5, False)</f>
        <v>#N/A</v>
      </c>
      <c r="AM104" s="4" t="str">
        <f>vlookup(AE101, 'Week 3'!$A$2:$H$119, 8, False)</f>
        <v>#N/A</v>
      </c>
      <c r="AN104" s="148" t="str">
        <f t="shared" si="230"/>
        <v>#N/A</v>
      </c>
      <c r="AO104" s="145" t="s">
        <v>140</v>
      </c>
      <c r="AP104" s="4" t="str">
        <f t="shared" si="231"/>
        <v/>
      </c>
      <c r="AQ104" s="4" t="str">
        <f>if(AP104="Yes", vlookup(AO$1, 'Week 3'!$A$1:$H$119, 5, False), "")</f>
        <v/>
      </c>
      <c r="AR104" s="4" t="str">
        <f>vlookup(AO101, 'Week 3'!$A$2:$H$119, 3, False)</f>
        <v/>
      </c>
      <c r="AS104" s="4" t="str">
        <f>vlookup(AO101, 'Week 3'!$A$2:$H$119, 6, False)</f>
        <v/>
      </c>
      <c r="AT104" s="4" t="str">
        <f>vlookup(AO101, 'Week 3'!$A$2:$H$119, 7, False)</f>
        <v/>
      </c>
      <c r="AU104" s="4" t="str">
        <f>vlookup(AO101, 'Week 3'!$A$2:$H$119, 4, False)</f>
        <v/>
      </c>
      <c r="AV104" s="4" t="str">
        <f>vlookup(AO101, 'Week 3'!$A$2:$H$119, 5, False)</f>
        <v/>
      </c>
      <c r="AW104" s="4" t="str">
        <f>vlookup(AO101, 'Week 3'!$A$2:$H$119, 8, False)</f>
        <v/>
      </c>
      <c r="AX104" s="148" t="str">
        <f t="shared" si="232"/>
        <v>#DIV/0!</v>
      </c>
      <c r="AY104" s="145" t="s">
        <v>140</v>
      </c>
      <c r="AZ104" s="4" t="str">
        <f t="shared" si="233"/>
        <v>#N/A</v>
      </c>
      <c r="BA104" s="4" t="str">
        <f>if(AZ104="Yes", vlookup(AY$1, 'Week 3'!$A$1:$H$119, 5, False), "")</f>
        <v>#N/A</v>
      </c>
      <c r="BB104" s="4" t="str">
        <f>vlookup(AY101, 'Week 3'!$A$2:$H$119, 3, False)</f>
        <v>#N/A</v>
      </c>
      <c r="BC104" s="4" t="str">
        <f>vlookup(AY101, 'Week 3'!$A$2:$H$119, 6, False)</f>
        <v>#N/A</v>
      </c>
      <c r="BD104" s="4" t="str">
        <f>vlookup(AY101, 'Week 3'!$A$2:$H$119, 7, False)</f>
        <v>#N/A</v>
      </c>
      <c r="BE104" s="4" t="str">
        <f>vlookup(AY101, 'Week 3'!$A$2:$H$119, 4, False)</f>
        <v>#N/A</v>
      </c>
      <c r="BF104" s="4" t="str">
        <f>vlookup(AY101, 'Week 3'!$A$2:$H$119, 5, False)</f>
        <v>#N/A</v>
      </c>
      <c r="BG104" s="4" t="str">
        <f>vlookup(AY101, 'Week 3'!$A$2:$H$119, 8, False)</f>
        <v>#N/A</v>
      </c>
      <c r="BH104" s="148" t="str">
        <f t="shared" si="234"/>
        <v>#N/A</v>
      </c>
      <c r="BI104" s="7"/>
      <c r="BJ104" s="7"/>
      <c r="BK104" s="7"/>
      <c r="BL104" s="7"/>
    </row>
    <row r="105">
      <c r="A105" s="145" t="s">
        <v>144</v>
      </c>
      <c r="B105" s="4" t="str">
        <f t="shared" si="223"/>
        <v>#N/A</v>
      </c>
      <c r="C105" s="4" t="str">
        <f>if(B105="Yes", vlookup(A$1, 'Week 4'!$A$1:$H$119, 5, False), "")</f>
        <v>#N/A</v>
      </c>
      <c r="D105" s="4" t="str">
        <f>vlookup(A101, 'Week 4'!$A$2:$H$119, 3, False)</f>
        <v>#N/A</v>
      </c>
      <c r="E105" s="4" t="str">
        <f>vlookup(A101, 'Week 4'!$A$2:$H$119, 6, False)</f>
        <v>#N/A</v>
      </c>
      <c r="F105" s="4" t="str">
        <f>vlookup(A101, 'Week 4'!$A$2:$H$119, 7, False)</f>
        <v>#N/A</v>
      </c>
      <c r="G105" s="4" t="str">
        <f>vlookup(A101, 'Week 4'!$A$2:$H$119, 4, False)</f>
        <v>#N/A</v>
      </c>
      <c r="H105" s="4" t="str">
        <f>vlookup(A101, 'Week 4'!$A$2:$H$119, 5, False)</f>
        <v>#N/A</v>
      </c>
      <c r="I105" s="4" t="str">
        <f>vlookup(A101, 'Week 4'!$A$2:$H$119, 8, False)</f>
        <v>#N/A</v>
      </c>
      <c r="J105" s="148" t="str">
        <f t="shared" si="224"/>
        <v>#N/A</v>
      </c>
      <c r="K105" s="145" t="s">
        <v>144</v>
      </c>
      <c r="L105" s="4" t="str">
        <f t="shared" si="225"/>
        <v>Yes</v>
      </c>
      <c r="M105" s="4" t="str">
        <f>if(L105="Yes", vlookup(K$1, 'Week 4'!$A$1:$H$119, 5, False), "")</f>
        <v>Win</v>
      </c>
      <c r="N105" s="4">
        <f>vlookup(K101, 'Week 4'!$A$2:$H$119, 3, False)</f>
        <v>10</v>
      </c>
      <c r="O105" s="4">
        <f>vlookup(K101, 'Week 4'!$A$2:$H$119, 6, False)</f>
        <v>4</v>
      </c>
      <c r="P105" s="4">
        <f>vlookup(K101, 'Week 4'!$A$2:$H$119, 7, False)</f>
        <v>0</v>
      </c>
      <c r="Q105" s="4">
        <f>vlookup(K101, 'Week 4'!$A$2:$H$119, 4, False)</f>
        <v>6</v>
      </c>
      <c r="R105" s="4">
        <f>vlookup(K101, 'Week 4'!$A$2:$H$119, 5, False)</f>
        <v>0</v>
      </c>
      <c r="S105" s="4">
        <f>vlookup(K101, 'Week 4'!$A$2:$H$119, 8, False)</f>
        <v>27</v>
      </c>
      <c r="T105" s="148">
        <f t="shared" si="226"/>
        <v>0.2702702703</v>
      </c>
      <c r="U105" s="145" t="s">
        <v>144</v>
      </c>
      <c r="V105" s="4" t="str">
        <f t="shared" si="227"/>
        <v>#N/A</v>
      </c>
      <c r="W105" s="4" t="str">
        <f>if(V105="Yes", vlookup(U$1, 'Week 4'!$A$1:$H$119, 5, False), "")</f>
        <v>#N/A</v>
      </c>
      <c r="X105" s="4" t="str">
        <f>vlookup(U101, 'Week 4'!$A$2:$H$119, 3, False)</f>
        <v>#N/A</v>
      </c>
      <c r="Y105" s="4" t="str">
        <f>vlookup(U101, 'Week 4'!$A$2:$H$119, 6, False)</f>
        <v>#N/A</v>
      </c>
      <c r="Z105" s="4" t="str">
        <f>vlookup(U101, 'Week 4'!$A$2:$H$119, 7, False)</f>
        <v>#N/A</v>
      </c>
      <c r="AA105" s="4" t="str">
        <f>vlookup(U101, 'Week 4'!$A$2:$H$119, 4, False)</f>
        <v>#N/A</v>
      </c>
      <c r="AB105" s="4" t="str">
        <f>vlookup(U101, 'Week 4'!$A$2:$H$119, 5, False)</f>
        <v>#N/A</v>
      </c>
      <c r="AC105" s="4" t="str">
        <f>vlookup(U101, 'Week 4'!$A$2:$H$119, 8, False)</f>
        <v>#N/A</v>
      </c>
      <c r="AD105" s="148" t="str">
        <f t="shared" si="228"/>
        <v>#N/A</v>
      </c>
      <c r="AE105" s="145" t="s">
        <v>144</v>
      </c>
      <c r="AF105" s="4" t="str">
        <f t="shared" si="229"/>
        <v>#N/A</v>
      </c>
      <c r="AG105" s="4" t="str">
        <f>if(AF105="Yes", vlookup(AE$1, 'Week 4'!$A$1:$H$119, 5, False), "")</f>
        <v>#N/A</v>
      </c>
      <c r="AH105" s="4" t="str">
        <f>vlookup(AE101, 'Week 4'!$A$2:$H$119, 3, False)</f>
        <v>#N/A</v>
      </c>
      <c r="AI105" s="4" t="str">
        <f>vlookup(AE101, 'Week 4'!$A$2:$H$119, 6, False)</f>
        <v>#N/A</v>
      </c>
      <c r="AJ105" s="4" t="str">
        <f>vlookup(AE101, 'Week 4'!$A$2:$H$119, 7, False)</f>
        <v>#N/A</v>
      </c>
      <c r="AK105" s="4" t="str">
        <f>vlookup(AE101, 'Week 4'!$A$2:$H$119, 4, False)</f>
        <v>#N/A</v>
      </c>
      <c r="AL105" s="4" t="str">
        <f>vlookup(AE101, 'Week 4'!$A$2:$H$119, 5, False)</f>
        <v>#N/A</v>
      </c>
      <c r="AM105" s="4" t="str">
        <f>vlookup(AE101, 'Week 4'!$A$2:$H$119, 8, False)</f>
        <v>#N/A</v>
      </c>
      <c r="AN105" s="148" t="str">
        <f t="shared" si="230"/>
        <v>#N/A</v>
      </c>
      <c r="AO105" s="145" t="s">
        <v>144</v>
      </c>
      <c r="AP105" s="4" t="str">
        <f t="shared" si="231"/>
        <v/>
      </c>
      <c r="AQ105" s="4" t="str">
        <f>if(AP105="Yes", vlookup(AO$1, 'Week 4'!$A$1:$H$119, 5, False), "")</f>
        <v/>
      </c>
      <c r="AR105" s="4" t="str">
        <f>vlookup(AO101, 'Week 4'!$A$2:$H$119, 3, False)</f>
        <v/>
      </c>
      <c r="AS105" s="4" t="str">
        <f>vlookup(AO101, 'Week 4'!$A$2:$H$119, 6, False)</f>
        <v/>
      </c>
      <c r="AT105" s="4" t="str">
        <f>vlookup(AO101, 'Week 4'!$A$2:$H$119, 7, False)</f>
        <v/>
      </c>
      <c r="AU105" s="4" t="str">
        <f>vlookup(AO101, 'Week 4'!$A$2:$H$119, 4, False)</f>
        <v/>
      </c>
      <c r="AV105" s="4" t="str">
        <f>vlookup(AO101, 'Week 4'!$A$2:$H$119, 5, False)</f>
        <v/>
      </c>
      <c r="AW105" s="4" t="str">
        <f>vlookup(AO101, 'Week 4'!$A$2:$H$119, 8, False)</f>
        <v/>
      </c>
      <c r="AX105" s="148" t="str">
        <f t="shared" si="232"/>
        <v>#DIV/0!</v>
      </c>
      <c r="AY105" s="145" t="s">
        <v>144</v>
      </c>
      <c r="AZ105" s="4" t="str">
        <f t="shared" si="233"/>
        <v>#N/A</v>
      </c>
      <c r="BA105" s="4" t="str">
        <f>if(AZ105="Yes", vlookup(AY$1, 'Week 4'!$A$1:$H$119, 5, False), "")</f>
        <v>#N/A</v>
      </c>
      <c r="BB105" s="4" t="str">
        <f>vlookup(AY101, 'Week 4'!$A$2:$H$119, 3, False)</f>
        <v>#N/A</v>
      </c>
      <c r="BC105" s="4" t="str">
        <f>vlookup(AY101, 'Week 4'!$A$2:$H$119, 6, False)</f>
        <v>#N/A</v>
      </c>
      <c r="BD105" s="4" t="str">
        <f>vlookup(AY101, 'Week 4'!$A$2:$H$119, 7, False)</f>
        <v>#N/A</v>
      </c>
      <c r="BE105" s="4" t="str">
        <f>vlookup(AY101, 'Week 4'!$A$2:$H$119, 4, False)</f>
        <v>#N/A</v>
      </c>
      <c r="BF105" s="4" t="str">
        <f>vlookup(AY101, 'Week 4'!$A$2:$H$119, 5, False)</f>
        <v>#N/A</v>
      </c>
      <c r="BG105" s="4" t="str">
        <f>vlookup(AY101, 'Week 4'!$A$2:$H$119, 8, False)</f>
        <v>#N/A</v>
      </c>
      <c r="BH105" s="148" t="str">
        <f t="shared" si="234"/>
        <v>#N/A</v>
      </c>
      <c r="BI105" s="7"/>
      <c r="BJ105" s="7"/>
      <c r="BK105" s="7"/>
      <c r="BL105" s="7"/>
    </row>
    <row r="106">
      <c r="A106" s="145" t="s">
        <v>146</v>
      </c>
      <c r="B106" s="4" t="str">
        <f t="shared" si="223"/>
        <v>#N/A</v>
      </c>
      <c r="C106" s="4" t="str">
        <f>if(B106="Yes", vlookup(A$1, 'Week 5'!$A$1:$H$119, 5, False), "")</f>
        <v>#N/A</v>
      </c>
      <c r="D106" s="4" t="str">
        <f>vlookup(A101, 'Week 5'!$A$2:$H$119, 3, False)</f>
        <v>#N/A</v>
      </c>
      <c r="E106" s="4" t="str">
        <f>vlookup(A101, 'Week 5'!$A$2:$H$119, 6, False)</f>
        <v>#N/A</v>
      </c>
      <c r="F106" s="4" t="str">
        <f>vlookup(A101, 'Week 5'!$A$2:$H$119, 7, False)</f>
        <v>#N/A</v>
      </c>
      <c r="G106" s="4" t="str">
        <f>vlookup(A101, 'Week 5'!$A$2:$H$119, 4, False)</f>
        <v>#N/A</v>
      </c>
      <c r="H106" s="4" t="str">
        <f>vlookup(A101, 'Week 5'!$A$2:$H$119, 5, False)</f>
        <v>#N/A</v>
      </c>
      <c r="I106" s="4" t="str">
        <f>vlookup(A101, 'Week 5'!$A$2:$H$119, 8, False)</f>
        <v>#N/A</v>
      </c>
      <c r="J106" s="148" t="str">
        <f t="shared" si="224"/>
        <v>#N/A</v>
      </c>
      <c r="K106" s="145" t="s">
        <v>146</v>
      </c>
      <c r="L106" s="4" t="str">
        <f t="shared" si="225"/>
        <v/>
      </c>
      <c r="M106" s="4" t="str">
        <f>if(L106="Yes", vlookup(K$1, 'Week 5'!$A$1:$H$119, 5, False), "")</f>
        <v/>
      </c>
      <c r="N106" s="4" t="str">
        <f>vlookup(K101, 'Week 5'!$A$2:$H$119, 3, False)</f>
        <v/>
      </c>
      <c r="O106" s="4" t="str">
        <f>vlookup(K101, 'Week 5'!$A$2:$H$119, 6, False)</f>
        <v/>
      </c>
      <c r="P106" s="4" t="str">
        <f>vlookup(K101, 'Week 5'!$A$2:$H$119, 7, False)</f>
        <v/>
      </c>
      <c r="Q106" s="4" t="str">
        <f>vlookup(K101, 'Week 5'!$A$2:$H$119, 4, False)</f>
        <v/>
      </c>
      <c r="R106" s="4" t="str">
        <f>vlookup(K101, 'Week 5'!$A$2:$H$119, 5, False)</f>
        <v/>
      </c>
      <c r="S106" s="4" t="str">
        <f>vlookup(K101, 'Week 5'!$A$2:$H$119, 8, False)</f>
        <v/>
      </c>
      <c r="T106" s="148" t="str">
        <f t="shared" si="226"/>
        <v>#DIV/0!</v>
      </c>
      <c r="U106" s="145" t="s">
        <v>146</v>
      </c>
      <c r="V106" s="4" t="str">
        <f t="shared" si="227"/>
        <v>#N/A</v>
      </c>
      <c r="W106" s="4" t="str">
        <f>if(V106="Yes", vlookup(U$1, 'Week 5'!$A$1:$H$119, 5, False), "")</f>
        <v>#N/A</v>
      </c>
      <c r="X106" s="4" t="str">
        <f>vlookup(U101, 'Week 5'!$A$2:$H$119, 3, False)</f>
        <v>#N/A</v>
      </c>
      <c r="Y106" s="4" t="str">
        <f>vlookup(U101, 'Week 5'!$A$2:$H$119, 6, False)</f>
        <v>#N/A</v>
      </c>
      <c r="Z106" s="4" t="str">
        <f>vlookup(U101, 'Week 5'!$A$2:$H$119, 7, False)</f>
        <v>#N/A</v>
      </c>
      <c r="AA106" s="4" t="str">
        <f>vlookup(U101, 'Week 5'!$A$2:$H$119, 4, False)</f>
        <v>#N/A</v>
      </c>
      <c r="AB106" s="4" t="str">
        <f>vlookup(U101, 'Week 5'!$A$2:$H$119, 5, False)</f>
        <v>#N/A</v>
      </c>
      <c r="AC106" s="4" t="str">
        <f>vlookup(U101, 'Week 5'!$A$2:$H$119, 8, False)</f>
        <v>#N/A</v>
      </c>
      <c r="AD106" s="148" t="str">
        <f t="shared" si="228"/>
        <v>#N/A</v>
      </c>
      <c r="AE106" s="145" t="s">
        <v>146</v>
      </c>
      <c r="AF106" s="4" t="str">
        <f t="shared" si="229"/>
        <v>#N/A</v>
      </c>
      <c r="AG106" s="4" t="str">
        <f>if(AF106="Yes", vlookup(AE$1, 'Week 5'!$A$1:$H$119, 5, False), "")</f>
        <v>#N/A</v>
      </c>
      <c r="AH106" s="4" t="str">
        <f>vlookup(AE101, 'Week 5'!$A$2:$H$119, 3, False)</f>
        <v>#N/A</v>
      </c>
      <c r="AI106" s="4" t="str">
        <f>vlookup(AE101, 'Week 5'!$A$2:$H$119, 6, False)</f>
        <v>#N/A</v>
      </c>
      <c r="AJ106" s="4" t="str">
        <f>vlookup(AE101, 'Week 5'!$A$2:$H$119, 7, False)</f>
        <v>#N/A</v>
      </c>
      <c r="AK106" s="4" t="str">
        <f>vlookup(AE101, 'Week 5'!$A$2:$H$119, 4, False)</f>
        <v>#N/A</v>
      </c>
      <c r="AL106" s="4" t="str">
        <f>vlookup(AE101, 'Week 5'!$A$2:$H$119, 5, False)</f>
        <v>#N/A</v>
      </c>
      <c r="AM106" s="4" t="str">
        <f>vlookup(AE101, 'Week 5'!$A$2:$H$119, 8, False)</f>
        <v>#N/A</v>
      </c>
      <c r="AN106" s="148" t="str">
        <f t="shared" si="230"/>
        <v>#N/A</v>
      </c>
      <c r="AO106" s="145" t="s">
        <v>146</v>
      </c>
      <c r="AP106" s="4" t="str">
        <f t="shared" si="231"/>
        <v/>
      </c>
      <c r="AQ106" s="4" t="str">
        <f>if(AP106="Yes", vlookup(AO$1, 'Week 5'!$A$1:$H$119, 5, False), "")</f>
        <v/>
      </c>
      <c r="AR106" s="4" t="str">
        <f>vlookup(AO101, 'Week 5'!$A$2:$H$119, 3, False)</f>
        <v/>
      </c>
      <c r="AS106" s="4" t="str">
        <f>vlookup(AO101, 'Week 5'!$A$2:$H$119, 6, False)</f>
        <v/>
      </c>
      <c r="AT106" s="4" t="str">
        <f>vlookup(AO101, 'Week 5'!$A$2:$H$119, 7, False)</f>
        <v/>
      </c>
      <c r="AU106" s="4" t="str">
        <f>vlookup(AO101, 'Week 5'!$A$2:$H$119, 4, False)</f>
        <v/>
      </c>
      <c r="AV106" s="4" t="str">
        <f>vlookup(AO101, 'Week 5'!$A$2:$H$119, 5, False)</f>
        <v/>
      </c>
      <c r="AW106" s="4" t="str">
        <f>vlookup(AO101, 'Week 5'!$A$2:$H$119, 8, False)</f>
        <v/>
      </c>
      <c r="AX106" s="148" t="str">
        <f t="shared" si="232"/>
        <v>#DIV/0!</v>
      </c>
      <c r="AY106" s="145" t="s">
        <v>146</v>
      </c>
      <c r="AZ106" s="4" t="str">
        <f t="shared" si="233"/>
        <v>#N/A</v>
      </c>
      <c r="BA106" s="4" t="str">
        <f>if(AZ106="Yes", vlookup(AY$1, 'Week 5'!$A$1:$H$119, 5, False), "")</f>
        <v>#N/A</v>
      </c>
      <c r="BB106" s="4" t="str">
        <f>vlookup(AY101, 'Week 5'!$A$2:$H$119, 3, False)</f>
        <v>#N/A</v>
      </c>
      <c r="BC106" s="4" t="str">
        <f>vlookup(AY101, 'Week 5'!$A$2:$H$119, 6, False)</f>
        <v>#N/A</v>
      </c>
      <c r="BD106" s="4" t="str">
        <f>vlookup(AY101, 'Week 5'!$A$2:$H$119, 7, False)</f>
        <v>#N/A</v>
      </c>
      <c r="BE106" s="4" t="str">
        <f>vlookup(AY101, 'Week 5'!$A$2:$H$119, 4, False)</f>
        <v>#N/A</v>
      </c>
      <c r="BF106" s="4" t="str">
        <f>vlookup(AY101, 'Week 5'!$A$2:$H$119, 5, False)</f>
        <v>#N/A</v>
      </c>
      <c r="BG106" s="4" t="str">
        <f>vlookup(AY101, 'Week 5'!$A$2:$H$119, 8, False)</f>
        <v>#N/A</v>
      </c>
      <c r="BH106" s="148" t="str">
        <f t="shared" si="234"/>
        <v>#N/A</v>
      </c>
      <c r="BI106" s="7"/>
      <c r="BJ106" s="7"/>
      <c r="BK106" s="7"/>
      <c r="BL106" s="7"/>
    </row>
    <row r="107">
      <c r="A107" s="145" t="s">
        <v>148</v>
      </c>
      <c r="B107" s="4" t="str">
        <f t="shared" si="223"/>
        <v>#N/A</v>
      </c>
      <c r="C107" s="4" t="str">
        <f>if(B107="Yes", vlookup(A$1, 'Week 6'!$A$1:$H$119, 5, False), "")</f>
        <v>#N/A</v>
      </c>
      <c r="D107" s="4" t="str">
        <f>vlookup(A101, 'Week 6'!$A$2:$H$119, 3, False)</f>
        <v>#N/A</v>
      </c>
      <c r="E107" s="4" t="str">
        <f>vlookup(A101, 'Week 6'!$A$2:$H$119, 6, False)</f>
        <v>#N/A</v>
      </c>
      <c r="F107" s="4" t="str">
        <f>vlookup(A101, 'Week 6'!$A$2:$H$119, 7, False)</f>
        <v>#N/A</v>
      </c>
      <c r="G107" s="4" t="str">
        <f>vlookup(A101, 'Week 6'!$A$2:$H$119, 4, False)</f>
        <v>#N/A</v>
      </c>
      <c r="H107" s="4" t="str">
        <f>vlookup(A101, 'Week 6'!$A$2:$H$119, 5, False)</f>
        <v>#N/A</v>
      </c>
      <c r="I107" s="4" t="str">
        <f>vlookup(A101, 'Week 6'!$A$2:$H$119, 8, False)</f>
        <v>#N/A</v>
      </c>
      <c r="J107" s="148" t="str">
        <f t="shared" si="224"/>
        <v>#N/A</v>
      </c>
      <c r="K107" s="145" t="s">
        <v>148</v>
      </c>
      <c r="L107" s="4" t="str">
        <f t="shared" si="225"/>
        <v/>
      </c>
      <c r="M107" s="4" t="str">
        <f>if(L107="Yes", vlookup(K$1, 'Week 6'!$A$1:$H$119, 5, False), "")</f>
        <v/>
      </c>
      <c r="N107" s="4" t="str">
        <f>vlookup(K101, 'Week 6'!$A$2:$H$119, 3, False)</f>
        <v/>
      </c>
      <c r="O107" s="4" t="str">
        <f>vlookup(K101, 'Week 6'!$A$2:$H$119, 6, False)</f>
        <v/>
      </c>
      <c r="P107" s="4" t="str">
        <f>vlookup(K101, 'Week 6'!$A$2:$H$119, 7, False)</f>
        <v/>
      </c>
      <c r="Q107" s="4" t="str">
        <f>vlookup(K101, 'Week 6'!$A$2:$H$119, 4, False)</f>
        <v/>
      </c>
      <c r="R107" s="4" t="str">
        <f>vlookup(K101, 'Week 6'!$A$2:$H$119, 5, False)</f>
        <v/>
      </c>
      <c r="S107" s="4" t="str">
        <f>vlookup(K101, 'Week 6'!$A$2:$H$119, 8, False)</f>
        <v/>
      </c>
      <c r="T107" s="148" t="str">
        <f t="shared" si="226"/>
        <v>#DIV/0!</v>
      </c>
      <c r="U107" s="145" t="s">
        <v>148</v>
      </c>
      <c r="V107" s="4" t="str">
        <f t="shared" si="227"/>
        <v>#N/A</v>
      </c>
      <c r="W107" s="4" t="str">
        <f>if(V107="Yes", vlookup(U$1, 'Week 6'!$A$1:$H$119, 5, False), "")</f>
        <v>#N/A</v>
      </c>
      <c r="X107" s="4" t="str">
        <f>vlookup(U101, 'Week 6'!$A$2:$H$119, 3, False)</f>
        <v>#N/A</v>
      </c>
      <c r="Y107" s="4" t="str">
        <f>vlookup(U101, 'Week 6'!$A$2:$H$119, 6, False)</f>
        <v>#N/A</v>
      </c>
      <c r="Z107" s="4" t="str">
        <f>vlookup(U101, 'Week 6'!$A$2:$H$119, 7, False)</f>
        <v>#N/A</v>
      </c>
      <c r="AA107" s="4" t="str">
        <f>vlookup(U101, 'Week 6'!$A$2:$H$119, 4, False)</f>
        <v>#N/A</v>
      </c>
      <c r="AB107" s="4" t="str">
        <f>vlookup(U101, 'Week 6'!$A$2:$H$119, 5, False)</f>
        <v>#N/A</v>
      </c>
      <c r="AC107" s="4" t="str">
        <f>vlookup(U101, 'Week 6'!$A$2:$H$119, 8, False)</f>
        <v>#N/A</v>
      </c>
      <c r="AD107" s="148" t="str">
        <f t="shared" si="228"/>
        <v>#N/A</v>
      </c>
      <c r="AE107" s="145" t="s">
        <v>148</v>
      </c>
      <c r="AF107" s="4" t="str">
        <f t="shared" si="229"/>
        <v>#N/A</v>
      </c>
      <c r="AG107" s="4" t="str">
        <f>if(AF107="Yes", vlookup(AE$1, 'Week 6'!$A$1:$H$119, 5, False), "")</f>
        <v>#N/A</v>
      </c>
      <c r="AH107" s="4" t="str">
        <f>vlookup(AE101, 'Week 6'!$A$2:$H$119, 3, False)</f>
        <v>#N/A</v>
      </c>
      <c r="AI107" s="4" t="str">
        <f>vlookup(AE101, 'Week 6'!$A$2:$H$119, 6, False)</f>
        <v>#N/A</v>
      </c>
      <c r="AJ107" s="4" t="str">
        <f>vlookup(AE101, 'Week 6'!$A$2:$H$119, 7, False)</f>
        <v>#N/A</v>
      </c>
      <c r="AK107" s="4" t="str">
        <f>vlookup(AE101, 'Week 6'!$A$2:$H$119, 4, False)</f>
        <v>#N/A</v>
      </c>
      <c r="AL107" s="4" t="str">
        <f>vlookup(AE101, 'Week 6'!$A$2:$H$119, 5, False)</f>
        <v>#N/A</v>
      </c>
      <c r="AM107" s="4" t="str">
        <f>vlookup(AE101, 'Week 6'!$A$2:$H$119, 8, False)</f>
        <v>#N/A</v>
      </c>
      <c r="AN107" s="148" t="str">
        <f t="shared" si="230"/>
        <v>#N/A</v>
      </c>
      <c r="AO107" s="145" t="s">
        <v>148</v>
      </c>
      <c r="AP107" s="4" t="str">
        <f t="shared" si="231"/>
        <v/>
      </c>
      <c r="AQ107" s="4" t="str">
        <f>if(AP107="Yes", vlookup(AO$1, 'Week 6'!$A$1:$H$119, 5, False), "")</f>
        <v/>
      </c>
      <c r="AR107" s="4" t="str">
        <f>vlookup(AO101, 'Week 6'!$A$2:$H$119, 3, False)</f>
        <v/>
      </c>
      <c r="AS107" s="4" t="str">
        <f>vlookup(AO101, 'Week 6'!$A$2:$H$119, 6, False)</f>
        <v/>
      </c>
      <c r="AT107" s="4" t="str">
        <f>vlookup(AO101, 'Week 6'!$A$2:$H$119, 7, False)</f>
        <v/>
      </c>
      <c r="AU107" s="4" t="str">
        <f>vlookup(AO101, 'Week 6'!$A$2:$H$119, 4, False)</f>
        <v/>
      </c>
      <c r="AV107" s="4" t="str">
        <f>vlookup(AO101, 'Week 6'!$A$2:$H$119, 5, False)</f>
        <v/>
      </c>
      <c r="AW107" s="4" t="str">
        <f>vlookup(AO101, 'Week 6'!$A$2:$H$119, 8, False)</f>
        <v/>
      </c>
      <c r="AX107" s="148" t="str">
        <f t="shared" si="232"/>
        <v>#DIV/0!</v>
      </c>
      <c r="AY107" s="145" t="s">
        <v>148</v>
      </c>
      <c r="AZ107" s="4" t="str">
        <f t="shared" si="233"/>
        <v>#N/A</v>
      </c>
      <c r="BA107" s="4" t="str">
        <f>if(AZ107="Yes", vlookup(AY$1, 'Week 6'!$A$1:$H$119, 5, False), "")</f>
        <v>#N/A</v>
      </c>
      <c r="BB107" s="4" t="str">
        <f>vlookup(AY101, 'Week 6'!$A$2:$H$119, 3, False)</f>
        <v>#N/A</v>
      </c>
      <c r="BC107" s="4" t="str">
        <f>vlookup(AY101, 'Week 6'!$A$2:$H$119, 6, False)</f>
        <v>#N/A</v>
      </c>
      <c r="BD107" s="4" t="str">
        <f>vlookup(AY101, 'Week 6'!$A$2:$H$119, 7, False)</f>
        <v>#N/A</v>
      </c>
      <c r="BE107" s="4" t="str">
        <f>vlookup(AY101, 'Week 6'!$A$2:$H$119, 4, False)</f>
        <v>#N/A</v>
      </c>
      <c r="BF107" s="4" t="str">
        <f>vlookup(AY101, 'Week 6'!$A$2:$H$119, 5, False)</f>
        <v>#N/A</v>
      </c>
      <c r="BG107" s="4" t="str">
        <f>vlookup(AY101, 'Week 6'!$A$2:$H$119, 8, False)</f>
        <v>#N/A</v>
      </c>
      <c r="BH107" s="148" t="str">
        <f t="shared" si="234"/>
        <v>#N/A</v>
      </c>
      <c r="BI107" s="7"/>
      <c r="BJ107" s="7"/>
      <c r="BK107" s="7"/>
      <c r="BL107" s="7"/>
    </row>
    <row r="108">
      <c r="A108" s="145" t="s">
        <v>154</v>
      </c>
      <c r="B108" s="4" t="str">
        <f t="shared" si="223"/>
        <v>#N/A</v>
      </c>
      <c r="C108" s="4" t="str">
        <f>if(B108="Yes", vlookup(A$1, 'Week 7'!$A$1:$H$119, 5, False), "")</f>
        <v>#N/A</v>
      </c>
      <c r="D108" s="4" t="str">
        <f>vlookup(A101, 'Week 7'!$A$2:$H$119, 3, False)</f>
        <v>#N/A</v>
      </c>
      <c r="E108" s="4" t="str">
        <f>vlookup(A101, 'Week 7'!$A$2:$H$119, 6, False)</f>
        <v>#N/A</v>
      </c>
      <c r="F108" s="4" t="str">
        <f>vlookup(A101, 'Week 7'!$A$2:$H$119, 7, False)</f>
        <v>#N/A</v>
      </c>
      <c r="G108" s="4" t="str">
        <f>vlookup(A101, 'Week 7'!$A$2:$H$119, 4, False)</f>
        <v>#N/A</v>
      </c>
      <c r="H108" s="4" t="str">
        <f>vlookup(A101, 'Week 7'!$A$2:$H$119, 5, False)</f>
        <v>#N/A</v>
      </c>
      <c r="I108" s="4" t="str">
        <f>vlookup(A101, 'Week 7'!$A$2:$H$119, 8, False)</f>
        <v>#N/A</v>
      </c>
      <c r="J108" s="148" t="str">
        <f t="shared" si="224"/>
        <v>#N/A</v>
      </c>
      <c r="K108" s="145" t="s">
        <v>154</v>
      </c>
      <c r="L108" s="4" t="str">
        <f t="shared" si="225"/>
        <v/>
      </c>
      <c r="M108" s="4" t="str">
        <f>if(L108="Yes", vlookup(K$1, 'Week 7'!$A$1:$H$119, 5, False), "")</f>
        <v/>
      </c>
      <c r="N108" s="4" t="str">
        <f>vlookup(K101, 'Week 7'!$A$2:$H$119, 3, False)</f>
        <v/>
      </c>
      <c r="O108" s="4" t="str">
        <f>vlookup(K101, 'Week 7'!$A$2:$H$119, 6, False)</f>
        <v/>
      </c>
      <c r="P108" s="4" t="str">
        <f>vlookup(K101, 'Week 7'!$A$2:$H$119, 7, False)</f>
        <v/>
      </c>
      <c r="Q108" s="4" t="str">
        <f>vlookup(K101, 'Week 7'!$A$2:$H$119, 4, False)</f>
        <v/>
      </c>
      <c r="R108" s="4" t="str">
        <f>vlookup(K101, 'Week 7'!$A$2:$H$119, 5, False)</f>
        <v/>
      </c>
      <c r="S108" s="4" t="str">
        <f>vlookup(K101, 'Week 7'!$A$2:$H$119, 8, False)</f>
        <v/>
      </c>
      <c r="T108" s="148" t="str">
        <f t="shared" si="226"/>
        <v>#DIV/0!</v>
      </c>
      <c r="U108" s="145" t="s">
        <v>154</v>
      </c>
      <c r="V108" s="4" t="str">
        <f t="shared" si="227"/>
        <v>#N/A</v>
      </c>
      <c r="W108" s="4" t="str">
        <f>if(V108="Yes", vlookup(U$1, 'Week 7'!$A$1:$H$119, 5, False), "")</f>
        <v>#N/A</v>
      </c>
      <c r="X108" s="4" t="str">
        <f>vlookup(U101, 'Week 7'!$A$2:$H$119, 3, False)</f>
        <v>#N/A</v>
      </c>
      <c r="Y108" s="4" t="str">
        <f>vlookup(U101, 'Week 7'!$A$2:$H$119, 6, False)</f>
        <v>#N/A</v>
      </c>
      <c r="Z108" s="4" t="str">
        <f>vlookup(U101, 'Week 7'!$A$2:$H$119, 7, False)</f>
        <v>#N/A</v>
      </c>
      <c r="AA108" s="4" t="str">
        <f>vlookup(U101, 'Week 7'!$A$2:$H$119, 4, False)</f>
        <v>#N/A</v>
      </c>
      <c r="AB108" s="4" t="str">
        <f>vlookup(U101, 'Week 7'!$A$2:$H$119, 5, False)</f>
        <v>#N/A</v>
      </c>
      <c r="AC108" s="4" t="str">
        <f>vlookup(U101, 'Week 7'!$A$2:$H$119, 8, False)</f>
        <v>#N/A</v>
      </c>
      <c r="AD108" s="148" t="str">
        <f t="shared" si="228"/>
        <v>#N/A</v>
      </c>
      <c r="AE108" s="145" t="s">
        <v>154</v>
      </c>
      <c r="AF108" s="4" t="str">
        <f t="shared" si="229"/>
        <v>#N/A</v>
      </c>
      <c r="AG108" s="4" t="str">
        <f>if(AF108="Yes", vlookup(AE$1, 'Week 7'!$A$1:$H$119, 5, False), "")</f>
        <v>#N/A</v>
      </c>
      <c r="AH108" s="4" t="str">
        <f>vlookup(AE101, 'Week 7'!$A$2:$H$119, 3, False)</f>
        <v>#N/A</v>
      </c>
      <c r="AI108" s="4" t="str">
        <f>vlookup(AE101, 'Week 7'!$A$2:$H$119, 6, False)</f>
        <v>#N/A</v>
      </c>
      <c r="AJ108" s="4" t="str">
        <f>vlookup(AE101, 'Week 7'!$A$2:$H$119, 7, False)</f>
        <v>#N/A</v>
      </c>
      <c r="AK108" s="4" t="str">
        <f>vlookup(AE101, 'Week 7'!$A$2:$H$119, 4, False)</f>
        <v>#N/A</v>
      </c>
      <c r="AL108" s="4" t="str">
        <f>vlookup(AE101, 'Week 7'!$A$2:$H$119, 5, False)</f>
        <v>#N/A</v>
      </c>
      <c r="AM108" s="4" t="str">
        <f>vlookup(AE101, 'Week 7'!$A$2:$H$119, 8, False)</f>
        <v>#N/A</v>
      </c>
      <c r="AN108" s="148" t="str">
        <f t="shared" si="230"/>
        <v>#N/A</v>
      </c>
      <c r="AO108" s="145" t="s">
        <v>154</v>
      </c>
      <c r="AP108" s="4" t="str">
        <f t="shared" si="231"/>
        <v>Yes</v>
      </c>
      <c r="AQ108" s="4" t="str">
        <f>if(AP108="Yes", vlookup(AO$1, 'Week 7'!$A$1:$H$119, 5, False), "")</f>
        <v>Loss</v>
      </c>
      <c r="AR108" s="4">
        <f>vlookup(AO101, 'Week 7'!$A$2:$H$119, 3, False)</f>
        <v>12</v>
      </c>
      <c r="AS108" s="4">
        <f>vlookup(AO101, 'Week 7'!$A$2:$H$119, 6, False)</f>
        <v>6</v>
      </c>
      <c r="AT108" s="4">
        <f>vlookup(AO101, 'Week 7'!$A$2:$H$119, 7, False)</f>
        <v>0</v>
      </c>
      <c r="AU108" s="4">
        <f>vlookup(AO101, 'Week 7'!$A$2:$H$119, 4, False)</f>
        <v>5</v>
      </c>
      <c r="AV108" s="4">
        <f>vlookup(AO101, 'Week 7'!$A$2:$H$119, 5, False)</f>
        <v>1</v>
      </c>
      <c r="AW108" s="4">
        <f>vlookup(AO101, 'Week 7'!$A$2:$H$119, 8, False)</f>
        <v>27</v>
      </c>
      <c r="AX108" s="148">
        <f t="shared" si="232"/>
        <v>0.3076923077</v>
      </c>
      <c r="AY108" s="145" t="s">
        <v>154</v>
      </c>
      <c r="AZ108" s="4" t="str">
        <f t="shared" si="233"/>
        <v>#N/A</v>
      </c>
      <c r="BA108" s="4" t="str">
        <f>if(AZ108="Yes", vlookup(AY$1, 'Week 7'!$A$1:$H$119, 5, False), "")</f>
        <v>#N/A</v>
      </c>
      <c r="BB108" s="4" t="str">
        <f>vlookup(AY101, 'Week 7'!$A$2:$H$119, 3, False)</f>
        <v>#N/A</v>
      </c>
      <c r="BC108" s="4" t="str">
        <f>vlookup(AY101, 'Week 7'!$A$2:$H$119, 6, False)</f>
        <v>#N/A</v>
      </c>
      <c r="BD108" s="4" t="str">
        <f>vlookup(AY101, 'Week 7'!$A$2:$H$119, 7, False)</f>
        <v>#N/A</v>
      </c>
      <c r="BE108" s="4" t="str">
        <f>vlookup(AY101, 'Week 7'!$A$2:$H$119, 4, False)</f>
        <v>#N/A</v>
      </c>
      <c r="BF108" s="4" t="str">
        <f>vlookup(AY101, 'Week 7'!$A$2:$H$119, 5, False)</f>
        <v>#N/A</v>
      </c>
      <c r="BG108" s="4" t="str">
        <f>vlookup(AY101, 'Week 7'!$A$2:$H$119, 8, False)</f>
        <v>#N/A</v>
      </c>
      <c r="BH108" s="148" t="str">
        <f t="shared" si="234"/>
        <v>#N/A</v>
      </c>
      <c r="BI108" s="7"/>
      <c r="BJ108" s="7"/>
      <c r="BK108" s="7"/>
      <c r="BL108" s="7"/>
    </row>
    <row r="109">
      <c r="A109" s="145" t="s">
        <v>211</v>
      </c>
      <c r="B109" s="4" t="str">
        <f t="shared" si="223"/>
        <v/>
      </c>
      <c r="C109" s="4" t="str">
        <f>if(B109="Yes", vlookup(A$1, 'Week 1'!$A$1:$H$119, 5, False), "")</f>
        <v/>
      </c>
      <c r="D109" s="4"/>
      <c r="E109" s="4"/>
      <c r="F109" s="4"/>
      <c r="G109" s="4"/>
      <c r="H109" s="4"/>
      <c r="I109" s="4"/>
      <c r="J109" s="123"/>
      <c r="K109" s="145" t="s">
        <v>211</v>
      </c>
      <c r="L109" s="4" t="str">
        <f t="shared" si="225"/>
        <v/>
      </c>
      <c r="M109" s="4" t="str">
        <f>if(L109="Yes", vlookup(K$1, 'Week 1'!$A$1:$H$119, 5, False), "")</f>
        <v/>
      </c>
      <c r="N109" s="4"/>
      <c r="O109" s="4"/>
      <c r="P109" s="4"/>
      <c r="Q109" s="4"/>
      <c r="R109" s="4"/>
      <c r="S109" s="4"/>
      <c r="T109" s="123"/>
      <c r="U109" s="145" t="s">
        <v>211</v>
      </c>
      <c r="V109" s="4" t="str">
        <f t="shared" si="227"/>
        <v/>
      </c>
      <c r="W109" s="4" t="str">
        <f>if(V109="Yes", vlookup(U$1, 'Week 1'!$A$1:$H$119, 5, False), "")</f>
        <v/>
      </c>
      <c r="X109" s="4"/>
      <c r="Y109" s="4"/>
      <c r="Z109" s="4"/>
      <c r="AA109" s="4"/>
      <c r="AB109" s="4"/>
      <c r="AC109" s="4"/>
      <c r="AD109" s="123"/>
      <c r="AE109" s="145" t="s">
        <v>211</v>
      </c>
      <c r="AF109" s="4" t="str">
        <f t="shared" si="229"/>
        <v/>
      </c>
      <c r="AG109" s="4" t="str">
        <f>if(AF109="Yes", vlookup(AE$1, 'Week 1'!$A$1:$H$119, 5, False), "")</f>
        <v/>
      </c>
      <c r="AH109" s="4"/>
      <c r="AI109" s="4"/>
      <c r="AJ109" s="4"/>
      <c r="AK109" s="4"/>
      <c r="AL109" s="4"/>
      <c r="AM109" s="4"/>
      <c r="AN109" s="123"/>
      <c r="AO109" s="145" t="s">
        <v>211</v>
      </c>
      <c r="AP109" s="4" t="str">
        <f t="shared" si="231"/>
        <v/>
      </c>
      <c r="AQ109" s="4" t="str">
        <f>if(AP109="Yes", vlookup(AO$1, 'Week 1'!$A$1:$H$119, 5, False), "")</f>
        <v/>
      </c>
      <c r="AR109" s="4"/>
      <c r="AS109" s="4"/>
      <c r="AT109" s="4"/>
      <c r="AU109" s="4"/>
      <c r="AV109" s="4"/>
      <c r="AW109" s="4"/>
      <c r="AX109" s="123"/>
      <c r="AY109" s="145" t="s">
        <v>211</v>
      </c>
      <c r="AZ109" s="4" t="str">
        <f t="shared" si="233"/>
        <v/>
      </c>
      <c r="BA109" s="4" t="str">
        <f>if(AZ109="Yes", vlookup(AY$1, 'Week 1'!$A$1:$H$119, 5, False), "")</f>
        <v/>
      </c>
      <c r="BB109" s="4"/>
      <c r="BC109" s="4"/>
      <c r="BD109" s="4"/>
      <c r="BE109" s="4"/>
      <c r="BF109" s="4"/>
      <c r="BG109" s="4"/>
      <c r="BH109" s="123"/>
      <c r="BI109" s="7"/>
      <c r="BJ109" s="7"/>
      <c r="BK109" s="7"/>
      <c r="BL109" s="7"/>
    </row>
    <row r="110">
      <c r="A110" s="145" t="s">
        <v>212</v>
      </c>
      <c r="B110" s="4" t="str">
        <f t="shared" si="223"/>
        <v/>
      </c>
      <c r="C110" s="4" t="str">
        <f>if(B110="Yes", vlookup(A$1, 'Week 1'!$A$1:$H$119, 5, False), "")</f>
        <v/>
      </c>
      <c r="D110" s="4"/>
      <c r="E110" s="4"/>
      <c r="F110" s="4"/>
      <c r="G110" s="4"/>
      <c r="H110" s="4"/>
      <c r="I110" s="4"/>
      <c r="J110" s="123"/>
      <c r="K110" s="145" t="s">
        <v>212</v>
      </c>
      <c r="L110" s="4" t="str">
        <f t="shared" si="225"/>
        <v/>
      </c>
      <c r="M110" s="4" t="str">
        <f>if(L110="Yes", vlookup(K$1, 'Week 1'!$A$1:$H$119, 5, False), "")</f>
        <v/>
      </c>
      <c r="N110" s="4"/>
      <c r="O110" s="4"/>
      <c r="P110" s="4"/>
      <c r="Q110" s="4"/>
      <c r="R110" s="4"/>
      <c r="S110" s="4"/>
      <c r="T110" s="123"/>
      <c r="U110" s="145" t="s">
        <v>212</v>
      </c>
      <c r="V110" s="4" t="str">
        <f t="shared" si="227"/>
        <v/>
      </c>
      <c r="W110" s="4" t="str">
        <f>if(V110="Yes", vlookup(U$1, 'Week 1'!$A$1:$H$119, 5, False), "")</f>
        <v/>
      </c>
      <c r="X110" s="4"/>
      <c r="Y110" s="4"/>
      <c r="Z110" s="4"/>
      <c r="AA110" s="4"/>
      <c r="AB110" s="4"/>
      <c r="AC110" s="4"/>
      <c r="AD110" s="123"/>
      <c r="AE110" s="145" t="s">
        <v>212</v>
      </c>
      <c r="AF110" s="4" t="str">
        <f t="shared" si="229"/>
        <v/>
      </c>
      <c r="AG110" s="4" t="str">
        <f>if(AF110="Yes", vlookup(AE$1, 'Week 1'!$A$1:$H$119, 5, False), "")</f>
        <v/>
      </c>
      <c r="AH110" s="4"/>
      <c r="AI110" s="4"/>
      <c r="AJ110" s="4"/>
      <c r="AK110" s="4"/>
      <c r="AL110" s="4"/>
      <c r="AM110" s="4"/>
      <c r="AN110" s="123"/>
      <c r="AO110" s="145" t="s">
        <v>212</v>
      </c>
      <c r="AP110" s="4" t="str">
        <f t="shared" si="231"/>
        <v/>
      </c>
      <c r="AQ110" s="4" t="str">
        <f>if(AP110="Yes", vlookup(AO$1, 'Week 1'!$A$1:$H$119, 5, False), "")</f>
        <v/>
      </c>
      <c r="AR110" s="4"/>
      <c r="AS110" s="4"/>
      <c r="AT110" s="4"/>
      <c r="AU110" s="4"/>
      <c r="AV110" s="4"/>
      <c r="AW110" s="4"/>
      <c r="AX110" s="123"/>
      <c r="AY110" s="145" t="s">
        <v>212</v>
      </c>
      <c r="AZ110" s="4" t="str">
        <f t="shared" si="233"/>
        <v/>
      </c>
      <c r="BA110" s="4" t="str">
        <f>if(AZ110="Yes", vlookup(AY$1, 'Week 1'!$A$1:$H$119, 5, False), "")</f>
        <v/>
      </c>
      <c r="BB110" s="4"/>
      <c r="BC110" s="4"/>
      <c r="BD110" s="4"/>
      <c r="BE110" s="4"/>
      <c r="BF110" s="4"/>
      <c r="BG110" s="4"/>
      <c r="BH110" s="123"/>
      <c r="BI110" s="7"/>
      <c r="BJ110" s="7"/>
      <c r="BK110" s="7"/>
      <c r="BL110" s="7"/>
    </row>
    <row r="111">
      <c r="A111" s="2" t="s">
        <v>213</v>
      </c>
      <c r="B111" s="149">
        <f>countif(B102:B110, "Yes")</f>
        <v>0</v>
      </c>
      <c r="C111" s="153" t="str">
        <f>countif(C102:C110, "Win")/(countif(C102:C110, "Win")+countif(C102:C110, "Loss"))</f>
        <v>#DIV/0!</v>
      </c>
      <c r="D111" s="151" t="str">
        <f t="shared" ref="D111:I111" si="235">average(D102:D110)</f>
        <v>#N/A</v>
      </c>
      <c r="E111" s="151" t="str">
        <f t="shared" si="235"/>
        <v>#N/A</v>
      </c>
      <c r="F111" s="151" t="str">
        <f t="shared" si="235"/>
        <v>#N/A</v>
      </c>
      <c r="G111" s="151" t="str">
        <f t="shared" si="235"/>
        <v>#N/A</v>
      </c>
      <c r="H111" s="151" t="str">
        <f t="shared" si="235"/>
        <v>#N/A</v>
      </c>
      <c r="I111" s="152" t="str">
        <f t="shared" si="235"/>
        <v>#N/A</v>
      </c>
      <c r="J111" s="153" t="str">
        <f>D111/(I111+D111)</f>
        <v>#N/A</v>
      </c>
      <c r="K111" s="2" t="s">
        <v>213</v>
      </c>
      <c r="L111" s="149">
        <f>countif(L102:L110, "Yes")</f>
        <v>1</v>
      </c>
      <c r="M111" s="153">
        <f>countif(M102:M110, "Win")/(countif(M102:M110, "Win")+countif(M102:M110, "Loss"))</f>
        <v>1</v>
      </c>
      <c r="N111" s="151">
        <f t="shared" ref="N111:S111" si="236">average(N102:N110)</f>
        <v>10</v>
      </c>
      <c r="O111" s="151">
        <f t="shared" si="236"/>
        <v>4</v>
      </c>
      <c r="P111" s="151">
        <f t="shared" si="236"/>
        <v>0</v>
      </c>
      <c r="Q111" s="151">
        <f t="shared" si="236"/>
        <v>6</v>
      </c>
      <c r="R111" s="151">
        <f t="shared" si="236"/>
        <v>0</v>
      </c>
      <c r="S111" s="152">
        <f t="shared" si="236"/>
        <v>27</v>
      </c>
      <c r="T111" s="153">
        <f>N111/(S111+N111)</f>
        <v>0.2702702703</v>
      </c>
      <c r="U111" s="2" t="s">
        <v>213</v>
      </c>
      <c r="V111" s="149">
        <f>countif(V102:V110, "Yes")</f>
        <v>0</v>
      </c>
      <c r="W111" s="153" t="str">
        <f>countif(W102:W110, "Win")/(countif(W102:W110, "Win")+countif(W102:W110, "Loss"))</f>
        <v>#DIV/0!</v>
      </c>
      <c r="X111" s="151" t="str">
        <f t="shared" ref="X111:AC111" si="237">average(X102:X110)</f>
        <v>#N/A</v>
      </c>
      <c r="Y111" s="151" t="str">
        <f t="shared" si="237"/>
        <v>#N/A</v>
      </c>
      <c r="Z111" s="151" t="str">
        <f t="shared" si="237"/>
        <v>#N/A</v>
      </c>
      <c r="AA111" s="151" t="str">
        <f t="shared" si="237"/>
        <v>#N/A</v>
      </c>
      <c r="AB111" s="151" t="str">
        <f t="shared" si="237"/>
        <v>#N/A</v>
      </c>
      <c r="AC111" s="152" t="str">
        <f t="shared" si="237"/>
        <v>#N/A</v>
      </c>
      <c r="AD111" s="153" t="str">
        <f>X111/(AC111+X111)</f>
        <v>#N/A</v>
      </c>
      <c r="AE111" s="2" t="s">
        <v>213</v>
      </c>
      <c r="AF111" s="149">
        <f>countif(AF102:AF110, "Yes")</f>
        <v>0</v>
      </c>
      <c r="AG111" s="153" t="str">
        <f>countif(AG102:AG110, "Win")/(countif(AG102:AG110, "Win")+countif(AG102:AG110, "Loss"))</f>
        <v>#DIV/0!</v>
      </c>
      <c r="AH111" s="151" t="str">
        <f t="shared" ref="AH111:AM111" si="238">average(AH102:AH110)</f>
        <v>#N/A</v>
      </c>
      <c r="AI111" s="151" t="str">
        <f t="shared" si="238"/>
        <v>#N/A</v>
      </c>
      <c r="AJ111" s="151" t="str">
        <f t="shared" si="238"/>
        <v>#N/A</v>
      </c>
      <c r="AK111" s="151" t="str">
        <f t="shared" si="238"/>
        <v>#N/A</v>
      </c>
      <c r="AL111" s="151" t="str">
        <f t="shared" si="238"/>
        <v>#N/A</v>
      </c>
      <c r="AM111" s="152" t="str">
        <f t="shared" si="238"/>
        <v>#N/A</v>
      </c>
      <c r="AN111" s="153" t="str">
        <f>AH111/(AM111+AH111)</f>
        <v>#N/A</v>
      </c>
      <c r="AO111" s="2" t="s">
        <v>213</v>
      </c>
      <c r="AP111" s="149">
        <f>countif(AP102:AP110, "Yes")</f>
        <v>1</v>
      </c>
      <c r="AQ111" s="153">
        <f>countif(AQ102:AQ110, "Win")/(countif(AQ102:AQ110, "Win")+countif(AQ102:AQ110, "Loss"))</f>
        <v>0</v>
      </c>
      <c r="AR111" s="151">
        <f t="shared" ref="AR111:AW111" si="239">average(AR102:AR110)</f>
        <v>12</v>
      </c>
      <c r="AS111" s="151">
        <f t="shared" si="239"/>
        <v>6</v>
      </c>
      <c r="AT111" s="151">
        <f t="shared" si="239"/>
        <v>0</v>
      </c>
      <c r="AU111" s="151">
        <f t="shared" si="239"/>
        <v>5</v>
      </c>
      <c r="AV111" s="151">
        <f t="shared" si="239"/>
        <v>1</v>
      </c>
      <c r="AW111" s="152">
        <f t="shared" si="239"/>
        <v>27</v>
      </c>
      <c r="AX111" s="153">
        <f>AR111/(AW111+AR111)</f>
        <v>0.3076923077</v>
      </c>
      <c r="AY111" s="2" t="s">
        <v>213</v>
      </c>
      <c r="AZ111" s="149">
        <f>countif(AZ102:AZ110, "Yes")</f>
        <v>0</v>
      </c>
      <c r="BA111" s="150" t="str">
        <f>countif(BA102:BA110, "Win")/(countif(BA102:BA110, "Win")+countif(BA102:BA110, "Loss"))</f>
        <v>#DIV/0!</v>
      </c>
      <c r="BB111" s="151" t="str">
        <f t="shared" ref="BB111:BG111" si="240">average(BB102:BB110)</f>
        <v>#N/A</v>
      </c>
      <c r="BC111" s="151" t="str">
        <f t="shared" si="240"/>
        <v>#N/A</v>
      </c>
      <c r="BD111" s="151" t="str">
        <f t="shared" si="240"/>
        <v>#N/A</v>
      </c>
      <c r="BE111" s="151" t="str">
        <f t="shared" si="240"/>
        <v>#N/A</v>
      </c>
      <c r="BF111" s="151" t="str">
        <f t="shared" si="240"/>
        <v>#N/A</v>
      </c>
      <c r="BG111" s="152" t="str">
        <f t="shared" si="240"/>
        <v>#N/A</v>
      </c>
      <c r="BH111" s="153" t="str">
        <f>BB111/(BG111+BB111)</f>
        <v>#N/A</v>
      </c>
      <c r="BI111" s="7"/>
      <c r="BJ111" s="7"/>
      <c r="BK111" s="7"/>
      <c r="BL111" s="7"/>
    </row>
    <row r="112">
      <c r="A112" s="154" t="str">
        <f>Draft!B5</f>
        <v/>
      </c>
      <c r="B112" s="124">
        <f t="shared" ref="B112:J112" si="241">B122</f>
        <v>0</v>
      </c>
      <c r="C112" s="139" t="str">
        <f t="shared" si="241"/>
        <v>#DIV/0!</v>
      </c>
      <c r="D112" s="137" t="str">
        <f t="shared" si="241"/>
        <v>#N/A</v>
      </c>
      <c r="E112" s="137" t="str">
        <f t="shared" si="241"/>
        <v>#N/A</v>
      </c>
      <c r="F112" s="137" t="str">
        <f t="shared" si="241"/>
        <v>#N/A</v>
      </c>
      <c r="G112" s="137" t="str">
        <f t="shared" si="241"/>
        <v>#N/A</v>
      </c>
      <c r="H112" s="137" t="str">
        <f t="shared" si="241"/>
        <v>#N/A</v>
      </c>
      <c r="I112" s="138" t="str">
        <f t="shared" si="241"/>
        <v>#N/A</v>
      </c>
      <c r="J112" s="139" t="str">
        <f t="shared" si="241"/>
        <v>#N/A</v>
      </c>
      <c r="K112" s="155" t="str">
        <f>Draft!C55</f>
        <v/>
      </c>
      <c r="L112" s="124">
        <f t="shared" ref="L112:T112" si="242">L122</f>
        <v>0</v>
      </c>
      <c r="M112" s="139" t="str">
        <f t="shared" si="242"/>
        <v>#DIV/0!</v>
      </c>
      <c r="N112" s="137" t="str">
        <f t="shared" si="242"/>
        <v>#N/A</v>
      </c>
      <c r="O112" s="137" t="str">
        <f t="shared" si="242"/>
        <v>#N/A</v>
      </c>
      <c r="P112" s="137" t="str">
        <f t="shared" si="242"/>
        <v>#N/A</v>
      </c>
      <c r="Q112" s="137" t="str">
        <f t="shared" si="242"/>
        <v>#N/A</v>
      </c>
      <c r="R112" s="137" t="str">
        <f t="shared" si="242"/>
        <v>#N/A</v>
      </c>
      <c r="S112" s="138" t="str">
        <f t="shared" si="242"/>
        <v>#N/A</v>
      </c>
      <c r="T112" s="139" t="str">
        <f t="shared" si="242"/>
        <v>#N/A</v>
      </c>
      <c r="U112" s="156" t="str">
        <f>Draft!D55</f>
        <v/>
      </c>
      <c r="V112" s="124">
        <f t="shared" ref="V112:AD112" si="243">V122</f>
        <v>0</v>
      </c>
      <c r="W112" s="136" t="str">
        <f t="shared" si="243"/>
        <v>#DIV/0!</v>
      </c>
      <c r="X112" s="137" t="str">
        <f t="shared" si="243"/>
        <v>#N/A</v>
      </c>
      <c r="Y112" s="137" t="str">
        <f t="shared" si="243"/>
        <v>#N/A</v>
      </c>
      <c r="Z112" s="137" t="str">
        <f t="shared" si="243"/>
        <v>#N/A</v>
      </c>
      <c r="AA112" s="137" t="str">
        <f t="shared" si="243"/>
        <v>#N/A</v>
      </c>
      <c r="AB112" s="137" t="str">
        <f t="shared" si="243"/>
        <v>#N/A</v>
      </c>
      <c r="AC112" s="138" t="str">
        <f t="shared" si="243"/>
        <v>#N/A</v>
      </c>
      <c r="AD112" s="139" t="str">
        <f t="shared" si="243"/>
        <v>#N/A</v>
      </c>
      <c r="AE112" s="157" t="str">
        <f>Draft!E55</f>
        <v/>
      </c>
      <c r="AF112" s="124">
        <f t="shared" ref="AF112:AN112" si="244">AF122</f>
        <v>0</v>
      </c>
      <c r="AG112" s="136" t="str">
        <f t="shared" si="244"/>
        <v>#DIV/0!</v>
      </c>
      <c r="AH112" s="137" t="str">
        <f t="shared" si="244"/>
        <v>#N/A</v>
      </c>
      <c r="AI112" s="137" t="str">
        <f t="shared" si="244"/>
        <v>#N/A</v>
      </c>
      <c r="AJ112" s="137" t="str">
        <f t="shared" si="244"/>
        <v>#N/A</v>
      </c>
      <c r="AK112" s="137" t="str">
        <f t="shared" si="244"/>
        <v>#N/A</v>
      </c>
      <c r="AL112" s="137" t="str">
        <f t="shared" si="244"/>
        <v>#N/A</v>
      </c>
      <c r="AM112" s="138" t="str">
        <f t="shared" si="244"/>
        <v>#N/A</v>
      </c>
      <c r="AN112" s="139" t="str">
        <f t="shared" si="244"/>
        <v>#N/A</v>
      </c>
      <c r="AO112" s="158" t="str">
        <f>Draft!F55</f>
        <v/>
      </c>
      <c r="AP112" s="124">
        <f t="shared" ref="AP112:AX112" si="245">AP122</f>
        <v>0</v>
      </c>
      <c r="AQ112" s="139" t="str">
        <f t="shared" si="245"/>
        <v>#DIV/0!</v>
      </c>
      <c r="AR112" s="137" t="str">
        <f t="shared" si="245"/>
        <v>#N/A</v>
      </c>
      <c r="AS112" s="137" t="str">
        <f t="shared" si="245"/>
        <v>#N/A</v>
      </c>
      <c r="AT112" s="137" t="str">
        <f t="shared" si="245"/>
        <v>#N/A</v>
      </c>
      <c r="AU112" s="137" t="str">
        <f t="shared" si="245"/>
        <v>#N/A</v>
      </c>
      <c r="AV112" s="137" t="str">
        <f t="shared" si="245"/>
        <v>#N/A</v>
      </c>
      <c r="AW112" s="138" t="str">
        <f t="shared" si="245"/>
        <v>#N/A</v>
      </c>
      <c r="AX112" s="139" t="str">
        <f t="shared" si="245"/>
        <v>#N/A</v>
      </c>
      <c r="AY112" s="19" t="str">
        <f>Draft!G55</f>
        <v/>
      </c>
      <c r="AZ112" s="124">
        <f t="shared" ref="AZ112:BH112" si="246">AZ122</f>
        <v>0</v>
      </c>
      <c r="BA112" s="139" t="str">
        <f t="shared" si="246"/>
        <v>#DIV/0!</v>
      </c>
      <c r="BB112" s="137" t="str">
        <f t="shared" si="246"/>
        <v>#N/A</v>
      </c>
      <c r="BC112" s="137" t="str">
        <f t="shared" si="246"/>
        <v>#N/A</v>
      </c>
      <c r="BD112" s="137" t="str">
        <f t="shared" si="246"/>
        <v>#N/A</v>
      </c>
      <c r="BE112" s="137" t="str">
        <f t="shared" si="246"/>
        <v>#N/A</v>
      </c>
      <c r="BF112" s="137" t="str">
        <f t="shared" si="246"/>
        <v>#N/A</v>
      </c>
      <c r="BG112" s="138" t="str">
        <f t="shared" si="246"/>
        <v>#N/A</v>
      </c>
      <c r="BH112" s="139" t="str">
        <f t="shared" si="246"/>
        <v>#N/A</v>
      </c>
      <c r="BI112" s="7"/>
      <c r="BJ112" s="7"/>
      <c r="BK112" s="7"/>
      <c r="BL112" s="7"/>
    </row>
    <row r="113">
      <c r="A113" s="145" t="s">
        <v>133</v>
      </c>
      <c r="B113" s="159" t="str">
        <f t="shared" ref="B113:B121" si="247">if(I113&gt;0, "Yes", "")</f>
        <v>#N/A</v>
      </c>
      <c r="C113" s="159" t="str">
        <f>if(B113="Yes", vlookup(A$1, 'Week 1'!$A$1:$H$119, 5, False), "")</f>
        <v>#N/A</v>
      </c>
      <c r="D113" s="159" t="str">
        <f>vlookup(A112, 'Week 1'!$A$2:$H$119, 3, False)</f>
        <v>#N/A</v>
      </c>
      <c r="E113" s="160" t="str">
        <f>vlookup(A112, 'Week 1'!$A$2:$H$119, 6, False)</f>
        <v>#N/A</v>
      </c>
      <c r="F113" s="160" t="str">
        <f>vlookup(A112, 'Week 1'!$A$2:$H$119, 7, False)</f>
        <v>#N/A</v>
      </c>
      <c r="G113" s="160" t="str">
        <f>vlookup(A112, 'Week 1'!$A$2:$H$119, 4, False)</f>
        <v>#N/A</v>
      </c>
      <c r="H113" s="160" t="str">
        <f>vlookup(A112, 'Week 1'!$A$2:$H$119, 5, False)</f>
        <v>#N/A</v>
      </c>
      <c r="I113" s="160" t="str">
        <f>vlookup(A112, 'Week 1'!$A$2:$H$119, 8, False)</f>
        <v>#N/A</v>
      </c>
      <c r="J113" s="148" t="str">
        <f t="shared" ref="J113:J119" si="248">if(D113&gt;0, (D113/(D113+I113)), "")</f>
        <v>#N/A</v>
      </c>
      <c r="K113" s="145" t="s">
        <v>133</v>
      </c>
      <c r="L113" s="159" t="str">
        <f t="shared" ref="L113:L121" si="249">if(S113&gt;0, "Yes", "")</f>
        <v>#N/A</v>
      </c>
      <c r="M113" s="159" t="str">
        <f>if(L113="Yes", vlookup(K$1, 'Week 1'!$A$1:$H$119, 5, False), "")</f>
        <v>#N/A</v>
      </c>
      <c r="N113" s="159" t="str">
        <f>vlookup(K112, 'Week 1'!$A$2:$H$119, 3, False)</f>
        <v>#N/A</v>
      </c>
      <c r="O113" s="160" t="str">
        <f>vlookup(K112, 'Week 1'!$A$2:$H$119, 6, False)</f>
        <v>#N/A</v>
      </c>
      <c r="P113" s="160" t="str">
        <f>vlookup(K112, 'Week 1'!$A$2:$H$119, 7, False)</f>
        <v>#N/A</v>
      </c>
      <c r="Q113" s="160" t="str">
        <f>vlookup(K112, 'Week 1'!$A$2:$H$119, 4, False)</f>
        <v>#N/A</v>
      </c>
      <c r="R113" s="160" t="str">
        <f>vlookup(K112, 'Week 1'!$A$2:$H$119, 5, False)</f>
        <v>#N/A</v>
      </c>
      <c r="S113" s="160" t="str">
        <f>vlookup(K112, 'Week 1'!$A$2:$H$119, 8, False)</f>
        <v>#N/A</v>
      </c>
      <c r="T113" s="148" t="str">
        <f t="shared" ref="T113:T119" si="250">if(N113&gt;0, (N113/(N113+S113)), "")</f>
        <v>#N/A</v>
      </c>
      <c r="U113" s="145" t="s">
        <v>133</v>
      </c>
      <c r="V113" s="4" t="str">
        <f t="shared" ref="V113:V121" si="251">if(AC113&gt;0, "Yes", "")</f>
        <v>#N/A</v>
      </c>
      <c r="W113" s="4" t="str">
        <f>if(V113="Yes", vlookup(U$1, 'Week 1'!$A$1:$H$119, 5, False), "")</f>
        <v>#N/A</v>
      </c>
      <c r="X113" s="4" t="str">
        <f>vlookup(U112, 'Week 1'!$A$2:$H$119, 3, False)</f>
        <v>#N/A</v>
      </c>
      <c r="Y113" s="7" t="str">
        <f>vlookup(U112, 'Week 1'!$A$2:$H$119, 6, False)</f>
        <v>#N/A</v>
      </c>
      <c r="Z113" s="7" t="str">
        <f>vlookup(U112, 'Week 1'!$A$2:$H$119, 7, False)</f>
        <v>#N/A</v>
      </c>
      <c r="AA113" s="7" t="str">
        <f>vlookup(U112, 'Week 1'!$A$2:$H$119, 4, False)</f>
        <v>#N/A</v>
      </c>
      <c r="AB113" s="7" t="str">
        <f>vlookup(U112, 'Week 1'!$A$2:$H$119, 5, False)</f>
        <v>#N/A</v>
      </c>
      <c r="AC113" s="7" t="str">
        <f>vlookup(U112, 'Week 1'!$A$2:$H$119, 8, False)</f>
        <v>#N/A</v>
      </c>
      <c r="AD113" s="148" t="str">
        <f t="shared" ref="AD113:AD119" si="252">if(X113&gt;0, (X113/(X113+AC113)), "")</f>
        <v>#N/A</v>
      </c>
      <c r="AE113" s="145" t="s">
        <v>133</v>
      </c>
      <c r="AF113" s="4" t="str">
        <f t="shared" ref="AF113:AF121" si="253">if(AM113&gt;0, "Yes", "")</f>
        <v>#N/A</v>
      </c>
      <c r="AG113" s="4" t="str">
        <f>if(AF113="Yes", vlookup(AE$1, 'Week 1'!$A$1:$H$119, 5, False), "")</f>
        <v>#N/A</v>
      </c>
      <c r="AH113" s="4" t="str">
        <f>vlookup(AE112, 'Week 1'!$A$2:$H$119, 3, False)</f>
        <v>#N/A</v>
      </c>
      <c r="AI113" s="7" t="str">
        <f>vlookup(AE112, 'Week 1'!$A$2:$H$119, 6, False)</f>
        <v>#N/A</v>
      </c>
      <c r="AJ113" s="7" t="str">
        <f>vlookup(AE112, 'Week 1'!$A$2:$H$119, 7, False)</f>
        <v>#N/A</v>
      </c>
      <c r="AK113" s="7" t="str">
        <f>vlookup(AE112, 'Week 1'!$A$2:$H$119, 4, False)</f>
        <v>#N/A</v>
      </c>
      <c r="AL113" s="7" t="str">
        <f>vlookup(AE112, 'Week 1'!$A$2:$H$119, 5, False)</f>
        <v>#N/A</v>
      </c>
      <c r="AM113" s="7" t="str">
        <f>vlookup(AE112, 'Week 1'!$A$2:$H$119, 8, False)</f>
        <v>#N/A</v>
      </c>
      <c r="AN113" s="148" t="str">
        <f t="shared" ref="AN113:AN119" si="254">if(AH113&gt;0, (AH113/(AH113+AM113)), "")</f>
        <v>#N/A</v>
      </c>
      <c r="AO113" s="145" t="s">
        <v>133</v>
      </c>
      <c r="AP113" s="4" t="str">
        <f t="shared" ref="AP113:AP121" si="255">if(AW113&gt;0, "Yes", "")</f>
        <v>#N/A</v>
      </c>
      <c r="AQ113" s="4" t="str">
        <f>if(AP113="Yes", vlookup(AO$1, 'Week 1'!$A$1:$H$119, 5, False), "")</f>
        <v>#N/A</v>
      </c>
      <c r="AR113" s="4" t="str">
        <f>vlookup(AO112, 'Week 1'!$A$2:$H$119, 3, False)</f>
        <v>#N/A</v>
      </c>
      <c r="AS113" s="7" t="str">
        <f>vlookup(AO112, 'Week 1'!$A$2:$H$119, 6, False)</f>
        <v>#N/A</v>
      </c>
      <c r="AT113" s="7" t="str">
        <f>vlookup(AO112, 'Week 1'!$A$2:$H$119, 7, False)</f>
        <v>#N/A</v>
      </c>
      <c r="AU113" s="7" t="str">
        <f>vlookup(AO112, 'Week 1'!$A$2:$H$119, 4, False)</f>
        <v>#N/A</v>
      </c>
      <c r="AV113" s="7" t="str">
        <f>vlookup(AO112, 'Week 1'!$A$2:$H$119, 5, False)</f>
        <v>#N/A</v>
      </c>
      <c r="AW113" s="7" t="str">
        <f>vlookup(AO112, 'Week 1'!$A$2:$H$119, 8, False)</f>
        <v>#N/A</v>
      </c>
      <c r="AX113" s="148" t="str">
        <f t="shared" ref="AX113:AX119" si="256">if(AR113&gt;0, (AR113/(AR113+AW113)), "")</f>
        <v>#N/A</v>
      </c>
      <c r="AY113" s="145" t="s">
        <v>133</v>
      </c>
      <c r="AZ113" s="4" t="str">
        <f t="shared" ref="AZ113:AZ121" si="257">if(BG113&gt;0, "Yes", "")</f>
        <v>#N/A</v>
      </c>
      <c r="BA113" s="4" t="str">
        <f>if(AZ113="Yes", vlookup(AY$1, 'Week 1'!$A$1:$H$119, 5, False), "")</f>
        <v>#N/A</v>
      </c>
      <c r="BB113" s="4" t="str">
        <f>vlookup(AY112, 'Week 1'!$A$2:$H$119, 3, False)</f>
        <v>#N/A</v>
      </c>
      <c r="BC113" s="7" t="str">
        <f>vlookup(AY112, 'Week 1'!$A$2:$H$119, 6, False)</f>
        <v>#N/A</v>
      </c>
      <c r="BD113" s="7" t="str">
        <f>vlookup(AY112, 'Week 1'!$A$2:$H$119, 7, False)</f>
        <v>#N/A</v>
      </c>
      <c r="BE113" s="7" t="str">
        <f>vlookup(AY112, 'Week 1'!$A$2:$H$119, 4, False)</f>
        <v>#N/A</v>
      </c>
      <c r="BF113" s="7" t="str">
        <f>vlookup(AY112, 'Week 1'!$A$2:$H$119, 5, False)</f>
        <v>#N/A</v>
      </c>
      <c r="BG113" s="7" t="str">
        <f>vlookup(AY112, 'Week 1'!$A$2:$H$119, 8, False)</f>
        <v>#N/A</v>
      </c>
      <c r="BH113" s="148" t="str">
        <f t="shared" ref="BH113:BH119" si="258">if(BB113&gt;0, (BB113/(BB113+BG113)), "")</f>
        <v>#N/A</v>
      </c>
      <c r="BI113" s="7"/>
      <c r="BJ113" s="7"/>
      <c r="BK113" s="7"/>
      <c r="BL113" s="7"/>
    </row>
    <row r="114">
      <c r="A114" s="145" t="s">
        <v>135</v>
      </c>
      <c r="B114" s="159" t="str">
        <f t="shared" si="247"/>
        <v>#N/A</v>
      </c>
      <c r="C114" s="159" t="str">
        <f>if(B114="Yes", vlookup(A$1, 'Week 2'!$A$1:$H$119, 5, False), "")</f>
        <v>#N/A</v>
      </c>
      <c r="D114" s="159" t="str">
        <f>vlookup(A112, 'Week 2'!$A$2:$H$119, 3, False)</f>
        <v>#N/A</v>
      </c>
      <c r="E114" s="159" t="str">
        <f>vlookup(A112, 'Week 2'!$A$2:$H$119, 6, False)</f>
        <v>#N/A</v>
      </c>
      <c r="F114" s="159" t="str">
        <f>vlookup(A112, 'Week 2'!$A$2:$H$119, 7, False)</f>
        <v>#N/A</v>
      </c>
      <c r="G114" s="159" t="str">
        <f>vlookup(A112, 'Week 2'!$A$2:$H$119, 4, False)</f>
        <v>#N/A</v>
      </c>
      <c r="H114" s="159" t="str">
        <f>vlookup(A112, 'Week 2'!$A$2:$H$119, 5, False)</f>
        <v>#N/A</v>
      </c>
      <c r="I114" s="159" t="str">
        <f>vlookup(A112, 'Week 2'!$A$2:$H$119, 8, False)</f>
        <v>#N/A</v>
      </c>
      <c r="J114" s="148" t="str">
        <f t="shared" si="248"/>
        <v>#N/A</v>
      </c>
      <c r="K114" s="145" t="s">
        <v>135</v>
      </c>
      <c r="L114" s="159" t="str">
        <f t="shared" si="249"/>
        <v>#N/A</v>
      </c>
      <c r="M114" s="159" t="str">
        <f>if(L114="Yes", vlookup(K$1, 'Week 2'!$A$1:$H$119, 5, False), "")</f>
        <v>#N/A</v>
      </c>
      <c r="N114" s="159" t="str">
        <f>vlookup(K112, 'Week 2'!$A$2:$H$119, 3, False)</f>
        <v>#N/A</v>
      </c>
      <c r="O114" s="159" t="str">
        <f>vlookup(K112, 'Week 2'!$A$2:$H$119, 6, False)</f>
        <v>#N/A</v>
      </c>
      <c r="P114" s="159" t="str">
        <f>vlookup(K112, 'Week 2'!$A$2:$H$119, 7, False)</f>
        <v>#N/A</v>
      </c>
      <c r="Q114" s="159" t="str">
        <f>vlookup(K112, 'Week 2'!$A$2:$H$119, 4, False)</f>
        <v>#N/A</v>
      </c>
      <c r="R114" s="159" t="str">
        <f>vlookup(K112, 'Week 2'!$A$2:$H$119, 5, False)</f>
        <v>#N/A</v>
      </c>
      <c r="S114" s="159" t="str">
        <f>vlookup(K112, 'Week 2'!$A$2:$H$119, 8, False)</f>
        <v>#N/A</v>
      </c>
      <c r="T114" s="148" t="str">
        <f t="shared" si="250"/>
        <v>#N/A</v>
      </c>
      <c r="U114" s="145" t="s">
        <v>135</v>
      </c>
      <c r="V114" s="4" t="str">
        <f t="shared" si="251"/>
        <v>#N/A</v>
      </c>
      <c r="W114" s="4" t="str">
        <f>if(V114="Yes", vlookup(U$1, 'Week 2'!$A$1:$H$119, 5, False), "")</f>
        <v>#N/A</v>
      </c>
      <c r="X114" s="4" t="str">
        <f>vlookup(U112, 'Week 2'!$A$2:$H$119, 3, False)</f>
        <v>#N/A</v>
      </c>
      <c r="Y114" s="4" t="str">
        <f>vlookup(U112, 'Week 2'!$A$2:$H$119, 6, False)</f>
        <v>#N/A</v>
      </c>
      <c r="Z114" s="4" t="str">
        <f>vlookup(U112, 'Week 2'!$A$2:$H$119, 7, False)</f>
        <v>#N/A</v>
      </c>
      <c r="AA114" s="4" t="str">
        <f>vlookup(U112, 'Week 2'!$A$2:$H$119, 4, False)</f>
        <v>#N/A</v>
      </c>
      <c r="AB114" s="4" t="str">
        <f>vlookup(U112, 'Week 2'!$A$2:$H$119, 5, False)</f>
        <v>#N/A</v>
      </c>
      <c r="AC114" s="4" t="str">
        <f>vlookup(U112, 'Week 2'!$A$2:$H$119, 8, False)</f>
        <v>#N/A</v>
      </c>
      <c r="AD114" s="148" t="str">
        <f t="shared" si="252"/>
        <v>#N/A</v>
      </c>
      <c r="AE114" s="145" t="s">
        <v>135</v>
      </c>
      <c r="AF114" s="4" t="str">
        <f t="shared" si="253"/>
        <v>#N/A</v>
      </c>
      <c r="AG114" s="4" t="str">
        <f>if(AF114="Yes", vlookup(AE$1, 'Week 2'!$A$1:$H$119, 5, False), "")</f>
        <v>#N/A</v>
      </c>
      <c r="AH114" s="4" t="str">
        <f>vlookup(AE112, 'Week 2'!$A$2:$H$119, 3, False)</f>
        <v>#N/A</v>
      </c>
      <c r="AI114" s="4" t="str">
        <f>vlookup(AE112, 'Week 2'!$A$2:$H$119, 6, False)</f>
        <v>#N/A</v>
      </c>
      <c r="AJ114" s="4" t="str">
        <f>vlookup(AE112, 'Week 2'!$A$2:$H$119, 7, False)</f>
        <v>#N/A</v>
      </c>
      <c r="AK114" s="4" t="str">
        <f>vlookup(AE112, 'Week 2'!$A$2:$H$119, 4, False)</f>
        <v>#N/A</v>
      </c>
      <c r="AL114" s="4" t="str">
        <f>vlookup(AE112, 'Week 2'!$A$2:$H$119, 5, False)</f>
        <v>#N/A</v>
      </c>
      <c r="AM114" s="4" t="str">
        <f>vlookup(AE112, 'Week 2'!$A$2:$H$119, 8, False)</f>
        <v>#N/A</v>
      </c>
      <c r="AN114" s="148" t="str">
        <f t="shared" si="254"/>
        <v>#N/A</v>
      </c>
      <c r="AO114" s="145" t="s">
        <v>135</v>
      </c>
      <c r="AP114" s="4" t="str">
        <f t="shared" si="255"/>
        <v>#N/A</v>
      </c>
      <c r="AQ114" s="4" t="str">
        <f>if(AP114="Yes", vlookup(AO$1, 'Week 2'!$A$1:$H$119, 5, False), "")</f>
        <v>#N/A</v>
      </c>
      <c r="AR114" s="4" t="str">
        <f>vlookup(AO112, 'Week 2'!$A$2:$H$119, 3, False)</f>
        <v>#N/A</v>
      </c>
      <c r="AS114" s="4" t="str">
        <f>vlookup(AO112, 'Week 2'!$A$2:$H$119, 6, False)</f>
        <v>#N/A</v>
      </c>
      <c r="AT114" s="4" t="str">
        <f>vlookup(AO112, 'Week 2'!$A$2:$H$119, 7, False)</f>
        <v>#N/A</v>
      </c>
      <c r="AU114" s="4" t="str">
        <f>vlookup(AO112, 'Week 2'!$A$2:$H$119, 4, False)</f>
        <v>#N/A</v>
      </c>
      <c r="AV114" s="4" t="str">
        <f>vlookup(AO112, 'Week 2'!$A$2:$H$119, 5, False)</f>
        <v>#N/A</v>
      </c>
      <c r="AW114" s="4" t="str">
        <f>vlookup(AO112, 'Week 2'!$A$2:$H$119, 8, False)</f>
        <v>#N/A</v>
      </c>
      <c r="AX114" s="148" t="str">
        <f t="shared" si="256"/>
        <v>#N/A</v>
      </c>
      <c r="AY114" s="145" t="s">
        <v>135</v>
      </c>
      <c r="AZ114" s="4" t="str">
        <f t="shared" si="257"/>
        <v>#N/A</v>
      </c>
      <c r="BA114" s="4" t="str">
        <f>if(AZ114="Yes", vlookup(AY$1, 'Week 2'!$A$1:$H$119, 5, False), "")</f>
        <v>#N/A</v>
      </c>
      <c r="BB114" s="4" t="str">
        <f>vlookup(AY112, 'Week 2'!$A$2:$H$119, 3, False)</f>
        <v>#N/A</v>
      </c>
      <c r="BC114" s="4" t="str">
        <f>vlookup(AY112, 'Week 2'!$A$2:$H$119, 6, False)</f>
        <v>#N/A</v>
      </c>
      <c r="BD114" s="4" t="str">
        <f>vlookup(AY112, 'Week 2'!$A$2:$H$119, 7, False)</f>
        <v>#N/A</v>
      </c>
      <c r="BE114" s="4" t="str">
        <f>vlookup(AY112, 'Week 2'!$A$2:$H$119, 4, False)</f>
        <v>#N/A</v>
      </c>
      <c r="BF114" s="4" t="str">
        <f>vlookup(AY112, 'Week 2'!$A$2:$H$119, 5, False)</f>
        <v>#N/A</v>
      </c>
      <c r="BG114" s="4" t="str">
        <f>vlookup(AY112, 'Week 2'!$A$2:$H$119, 8, False)</f>
        <v>#N/A</v>
      </c>
      <c r="BH114" s="148" t="str">
        <f t="shared" si="258"/>
        <v>#N/A</v>
      </c>
      <c r="BI114" s="7"/>
      <c r="BJ114" s="7"/>
      <c r="BK114" s="7"/>
      <c r="BL114" s="7"/>
    </row>
    <row r="115">
      <c r="A115" s="145" t="s">
        <v>140</v>
      </c>
      <c r="B115" s="159" t="str">
        <f t="shared" si="247"/>
        <v>#N/A</v>
      </c>
      <c r="C115" s="159" t="str">
        <f>if(B115="Yes", vlookup(A$1, 'Week 3'!$A$1:$H$119, 5, False), "")</f>
        <v>#N/A</v>
      </c>
      <c r="D115" s="159" t="str">
        <f>vlookup(A112, 'Week 3'!$A$2:$H$119, 3, False)</f>
        <v>#N/A</v>
      </c>
      <c r="E115" s="159" t="str">
        <f>vlookup(A112, 'Week 3'!$A$2:$H$119, 6, False)</f>
        <v>#N/A</v>
      </c>
      <c r="F115" s="159" t="str">
        <f>vlookup(A112, 'Week 3'!$A$2:$H$119, 7, False)</f>
        <v>#N/A</v>
      </c>
      <c r="G115" s="159" t="str">
        <f>vlookup(A112, 'Week 3'!$A$2:$H$119, 4, False)</f>
        <v>#N/A</v>
      </c>
      <c r="H115" s="159" t="str">
        <f>vlookup(A112, 'Week 3'!$A$2:$H$119, 5, False)</f>
        <v>#N/A</v>
      </c>
      <c r="I115" s="159" t="str">
        <f>vlookup(A112, 'Week 3'!$A$2:$H$119, 8, False)</f>
        <v>#N/A</v>
      </c>
      <c r="J115" s="148" t="str">
        <f t="shared" si="248"/>
        <v>#N/A</v>
      </c>
      <c r="K115" s="145" t="s">
        <v>140</v>
      </c>
      <c r="L115" s="159" t="str">
        <f t="shared" si="249"/>
        <v>#N/A</v>
      </c>
      <c r="M115" s="159" t="str">
        <f>if(L115="Yes", vlookup(K$1, 'Week 3'!$A$1:$H$119, 5, False), "")</f>
        <v>#N/A</v>
      </c>
      <c r="N115" s="159" t="str">
        <f>vlookup(K112, 'Week 3'!$A$2:$H$119, 3, False)</f>
        <v>#N/A</v>
      </c>
      <c r="O115" s="159" t="str">
        <f>vlookup(K112, 'Week 3'!$A$2:$H$119, 6, False)</f>
        <v>#N/A</v>
      </c>
      <c r="P115" s="159" t="str">
        <f>vlookup(K112, 'Week 3'!$A$2:$H$119, 7, False)</f>
        <v>#N/A</v>
      </c>
      <c r="Q115" s="159" t="str">
        <f>vlookup(K112, 'Week 3'!$A$2:$H$119, 4, False)</f>
        <v>#N/A</v>
      </c>
      <c r="R115" s="159" t="str">
        <f>vlookup(K112, 'Week 3'!$A$2:$H$119, 5, False)</f>
        <v>#N/A</v>
      </c>
      <c r="S115" s="159" t="str">
        <f>vlookup(K112, 'Week 3'!$A$2:$H$119, 8, False)</f>
        <v>#N/A</v>
      </c>
      <c r="T115" s="148" t="str">
        <f t="shared" si="250"/>
        <v>#N/A</v>
      </c>
      <c r="U115" s="145" t="s">
        <v>140</v>
      </c>
      <c r="V115" s="4" t="str">
        <f t="shared" si="251"/>
        <v>#N/A</v>
      </c>
      <c r="W115" s="4" t="str">
        <f>if(V115="Yes", vlookup(U$1, 'Week 3'!$A$1:$H$119, 5, False), "")</f>
        <v>#N/A</v>
      </c>
      <c r="X115" s="4" t="str">
        <f>vlookup(U112, 'Week 3'!$A$2:$H$119, 3, False)</f>
        <v>#N/A</v>
      </c>
      <c r="Y115" s="4" t="str">
        <f>vlookup(U112, 'Week 3'!$A$2:$H$119, 6, False)</f>
        <v>#N/A</v>
      </c>
      <c r="Z115" s="4" t="str">
        <f>vlookup(U112, 'Week 3'!$A$2:$H$119, 7, False)</f>
        <v>#N/A</v>
      </c>
      <c r="AA115" s="4" t="str">
        <f>vlookup(U112, 'Week 3'!$A$2:$H$119, 4, False)</f>
        <v>#N/A</v>
      </c>
      <c r="AB115" s="4" t="str">
        <f>vlookup(U112, 'Week 3'!$A$2:$H$119, 5, False)</f>
        <v>#N/A</v>
      </c>
      <c r="AC115" s="4" t="str">
        <f>vlookup(U112, 'Week 3'!$A$2:$H$119, 8, False)</f>
        <v>#N/A</v>
      </c>
      <c r="AD115" s="148" t="str">
        <f t="shared" si="252"/>
        <v>#N/A</v>
      </c>
      <c r="AE115" s="145" t="s">
        <v>140</v>
      </c>
      <c r="AF115" s="4" t="str">
        <f t="shared" si="253"/>
        <v>#N/A</v>
      </c>
      <c r="AG115" s="4" t="str">
        <f>if(AF115="Yes", vlookup(AE$1, 'Week 3'!$A$1:$H$119, 5, False), "")</f>
        <v>#N/A</v>
      </c>
      <c r="AH115" s="4" t="str">
        <f>vlookup(AE112, 'Week 3'!$A$2:$H$119, 3, False)</f>
        <v>#N/A</v>
      </c>
      <c r="AI115" s="4" t="str">
        <f>vlookup(AE112, 'Week 3'!$A$2:$H$119, 6, False)</f>
        <v>#N/A</v>
      </c>
      <c r="AJ115" s="4" t="str">
        <f>vlookup(AE112, 'Week 3'!$A$2:$H$119, 7, False)</f>
        <v>#N/A</v>
      </c>
      <c r="AK115" s="4" t="str">
        <f>vlookup(AE112, 'Week 3'!$A$2:$H$119, 4, False)</f>
        <v>#N/A</v>
      </c>
      <c r="AL115" s="4" t="str">
        <f>vlookup(AE112, 'Week 3'!$A$2:$H$119, 5, False)</f>
        <v>#N/A</v>
      </c>
      <c r="AM115" s="4" t="str">
        <f>vlookup(AE112, 'Week 3'!$A$2:$H$119, 8, False)</f>
        <v>#N/A</v>
      </c>
      <c r="AN115" s="148" t="str">
        <f t="shared" si="254"/>
        <v>#N/A</v>
      </c>
      <c r="AO115" s="145" t="s">
        <v>140</v>
      </c>
      <c r="AP115" s="4" t="str">
        <f t="shared" si="255"/>
        <v>#N/A</v>
      </c>
      <c r="AQ115" s="4" t="str">
        <f>if(AP115="Yes", vlookup(AO$1, 'Week 3'!$A$1:$H$119, 5, False), "")</f>
        <v>#N/A</v>
      </c>
      <c r="AR115" s="4" t="str">
        <f>vlookup(AO112, 'Week 3'!$A$2:$H$119, 3, False)</f>
        <v>#N/A</v>
      </c>
      <c r="AS115" s="4" t="str">
        <f>vlookup(AO112, 'Week 3'!$A$2:$H$119, 6, False)</f>
        <v>#N/A</v>
      </c>
      <c r="AT115" s="4" t="str">
        <f>vlookup(AO112, 'Week 3'!$A$2:$H$119, 7, False)</f>
        <v>#N/A</v>
      </c>
      <c r="AU115" s="4" t="str">
        <f>vlookup(AO112, 'Week 3'!$A$2:$H$119, 4, False)</f>
        <v>#N/A</v>
      </c>
      <c r="AV115" s="4" t="str">
        <f>vlookup(AO112, 'Week 3'!$A$2:$H$119, 5, False)</f>
        <v>#N/A</v>
      </c>
      <c r="AW115" s="4" t="str">
        <f>vlookup(AO112, 'Week 3'!$A$2:$H$119, 8, False)</f>
        <v>#N/A</v>
      </c>
      <c r="AX115" s="148" t="str">
        <f t="shared" si="256"/>
        <v>#N/A</v>
      </c>
      <c r="AY115" s="145" t="s">
        <v>140</v>
      </c>
      <c r="AZ115" s="4" t="str">
        <f t="shared" si="257"/>
        <v>#N/A</v>
      </c>
      <c r="BA115" s="4" t="str">
        <f>if(AZ115="Yes", vlookup(AY$1, 'Week 3'!$A$1:$H$119, 5, False), "")</f>
        <v>#N/A</v>
      </c>
      <c r="BB115" s="4" t="str">
        <f>vlookup(AY112, 'Week 3'!$A$2:$H$119, 3, False)</f>
        <v>#N/A</v>
      </c>
      <c r="BC115" s="4" t="str">
        <f>vlookup(AY112, 'Week 3'!$A$2:$H$119, 6, False)</f>
        <v>#N/A</v>
      </c>
      <c r="BD115" s="4" t="str">
        <f>vlookup(AY112, 'Week 3'!$A$2:$H$119, 7, False)</f>
        <v>#N/A</v>
      </c>
      <c r="BE115" s="4" t="str">
        <f>vlookup(AY112, 'Week 3'!$A$2:$H$119, 4, False)</f>
        <v>#N/A</v>
      </c>
      <c r="BF115" s="4" t="str">
        <f>vlookup(AY112, 'Week 3'!$A$2:$H$119, 5, False)</f>
        <v>#N/A</v>
      </c>
      <c r="BG115" s="4" t="str">
        <f>vlookup(AY112, 'Week 3'!$A$2:$H$119, 8, False)</f>
        <v>#N/A</v>
      </c>
      <c r="BH115" s="148" t="str">
        <f t="shared" si="258"/>
        <v>#N/A</v>
      </c>
      <c r="BI115" s="7"/>
      <c r="BJ115" s="7"/>
      <c r="BK115" s="7"/>
      <c r="BL115" s="7"/>
    </row>
    <row r="116">
      <c r="A116" s="145" t="s">
        <v>144</v>
      </c>
      <c r="B116" s="159" t="str">
        <f t="shared" si="247"/>
        <v>#N/A</v>
      </c>
      <c r="C116" s="159" t="str">
        <f>if(B116="Yes", vlookup(A$1, 'Week 4'!$A$1:$H$119, 5, False), "")</f>
        <v>#N/A</v>
      </c>
      <c r="D116" s="159" t="str">
        <f>vlookup(A112, 'Week 4'!$A$2:$H$119, 3, False)</f>
        <v>#N/A</v>
      </c>
      <c r="E116" s="159" t="str">
        <f>vlookup(A112, 'Week 4'!$A$2:$H$119, 6, False)</f>
        <v>#N/A</v>
      </c>
      <c r="F116" s="159" t="str">
        <f>vlookup(A112, 'Week 4'!$A$2:$H$119, 7, False)</f>
        <v>#N/A</v>
      </c>
      <c r="G116" s="159" t="str">
        <f>vlookup(A112, 'Week 4'!$A$2:$H$119, 4, False)</f>
        <v>#N/A</v>
      </c>
      <c r="H116" s="159" t="str">
        <f>vlookup(A112, 'Week 4'!$A$2:$H$119, 5, False)</f>
        <v>#N/A</v>
      </c>
      <c r="I116" s="159" t="str">
        <f>vlookup(A112, 'Week 4'!$A$2:$H$119, 8, False)</f>
        <v>#N/A</v>
      </c>
      <c r="J116" s="148" t="str">
        <f t="shared" si="248"/>
        <v>#N/A</v>
      </c>
      <c r="K116" s="145" t="s">
        <v>144</v>
      </c>
      <c r="L116" s="159" t="str">
        <f t="shared" si="249"/>
        <v>#N/A</v>
      </c>
      <c r="M116" s="159" t="str">
        <f>if(L116="Yes", vlookup(K$1, 'Week 4'!$A$1:$H$119, 5, False), "")</f>
        <v>#N/A</v>
      </c>
      <c r="N116" s="159" t="str">
        <f>vlookup(K112, 'Week 4'!$A$2:$H$119, 3, False)</f>
        <v>#N/A</v>
      </c>
      <c r="O116" s="159" t="str">
        <f>vlookup(K112, 'Week 4'!$A$2:$H$119, 6, False)</f>
        <v>#N/A</v>
      </c>
      <c r="P116" s="159" t="str">
        <f>vlookup(K112, 'Week 4'!$A$2:$H$119, 7, False)</f>
        <v>#N/A</v>
      </c>
      <c r="Q116" s="159" t="str">
        <f>vlookup(K112, 'Week 4'!$A$2:$H$119, 4, False)</f>
        <v>#N/A</v>
      </c>
      <c r="R116" s="159" t="str">
        <f>vlookup(K112, 'Week 4'!$A$2:$H$119, 5, False)</f>
        <v>#N/A</v>
      </c>
      <c r="S116" s="159" t="str">
        <f>vlookup(K112, 'Week 4'!$A$2:$H$119, 8, False)</f>
        <v>#N/A</v>
      </c>
      <c r="T116" s="148" t="str">
        <f t="shared" si="250"/>
        <v>#N/A</v>
      </c>
      <c r="U116" s="145" t="s">
        <v>144</v>
      </c>
      <c r="V116" s="4" t="str">
        <f t="shared" si="251"/>
        <v>#N/A</v>
      </c>
      <c r="W116" s="4" t="str">
        <f>if(V116="Yes", vlookup(U$1, 'Week 4'!$A$1:$H$119, 5, False), "")</f>
        <v>#N/A</v>
      </c>
      <c r="X116" s="4" t="str">
        <f>vlookup(U112, 'Week 4'!$A$2:$H$119, 3, False)</f>
        <v>#N/A</v>
      </c>
      <c r="Y116" s="4" t="str">
        <f>vlookup(U112, 'Week 4'!$A$2:$H$119, 6, False)</f>
        <v>#N/A</v>
      </c>
      <c r="Z116" s="4" t="str">
        <f>vlookup(U112, 'Week 4'!$A$2:$H$119, 7, False)</f>
        <v>#N/A</v>
      </c>
      <c r="AA116" s="4" t="str">
        <f>vlookup(U112, 'Week 4'!$A$2:$H$119, 4, False)</f>
        <v>#N/A</v>
      </c>
      <c r="AB116" s="4" t="str">
        <f>vlookup(U112, 'Week 4'!$A$2:$H$119, 5, False)</f>
        <v>#N/A</v>
      </c>
      <c r="AC116" s="4" t="str">
        <f>vlookup(U112, 'Week 4'!$A$2:$H$119, 8, False)</f>
        <v>#N/A</v>
      </c>
      <c r="AD116" s="148" t="str">
        <f t="shared" si="252"/>
        <v>#N/A</v>
      </c>
      <c r="AE116" s="145" t="s">
        <v>144</v>
      </c>
      <c r="AF116" s="4" t="str">
        <f t="shared" si="253"/>
        <v>#N/A</v>
      </c>
      <c r="AG116" s="4" t="str">
        <f>if(AF116="Yes", vlookup(AE$1, 'Week 4'!$A$1:$H$119, 5, False), "")</f>
        <v>#N/A</v>
      </c>
      <c r="AH116" s="4" t="str">
        <f>vlookup(AE112, 'Week 4'!$A$2:$H$119, 3, False)</f>
        <v>#N/A</v>
      </c>
      <c r="AI116" s="4" t="str">
        <f>vlookup(AE112, 'Week 4'!$A$2:$H$119, 6, False)</f>
        <v>#N/A</v>
      </c>
      <c r="AJ116" s="4" t="str">
        <f>vlookup(AE112, 'Week 4'!$A$2:$H$119, 7, False)</f>
        <v>#N/A</v>
      </c>
      <c r="AK116" s="4" t="str">
        <f>vlookup(AE112, 'Week 4'!$A$2:$H$119, 4, False)</f>
        <v>#N/A</v>
      </c>
      <c r="AL116" s="4" t="str">
        <f>vlookup(AE112, 'Week 4'!$A$2:$H$119, 5, False)</f>
        <v>#N/A</v>
      </c>
      <c r="AM116" s="4" t="str">
        <f>vlookup(AE112, 'Week 4'!$A$2:$H$119, 8, False)</f>
        <v>#N/A</v>
      </c>
      <c r="AN116" s="148" t="str">
        <f t="shared" si="254"/>
        <v>#N/A</v>
      </c>
      <c r="AO116" s="145" t="s">
        <v>144</v>
      </c>
      <c r="AP116" s="4" t="str">
        <f t="shared" si="255"/>
        <v>#N/A</v>
      </c>
      <c r="AQ116" s="4" t="str">
        <f>if(AP116="Yes", vlookup(AO$1, 'Week 4'!$A$1:$H$119, 5, False), "")</f>
        <v>#N/A</v>
      </c>
      <c r="AR116" s="4" t="str">
        <f>vlookup(AO112, 'Week 4'!$A$2:$H$119, 3, False)</f>
        <v>#N/A</v>
      </c>
      <c r="AS116" s="4" t="str">
        <f>vlookup(AO112, 'Week 4'!$A$2:$H$119, 6, False)</f>
        <v>#N/A</v>
      </c>
      <c r="AT116" s="4" t="str">
        <f>vlookup(AO112, 'Week 4'!$A$2:$H$119, 7, False)</f>
        <v>#N/A</v>
      </c>
      <c r="AU116" s="4" t="str">
        <f>vlookup(AO112, 'Week 4'!$A$2:$H$119, 4, False)</f>
        <v>#N/A</v>
      </c>
      <c r="AV116" s="4" t="str">
        <f>vlookup(AO112, 'Week 4'!$A$2:$H$119, 5, False)</f>
        <v>#N/A</v>
      </c>
      <c r="AW116" s="4" t="str">
        <f>vlookup(AO112, 'Week 4'!$A$2:$H$119, 8, False)</f>
        <v>#N/A</v>
      </c>
      <c r="AX116" s="148" t="str">
        <f t="shared" si="256"/>
        <v>#N/A</v>
      </c>
      <c r="AY116" s="145" t="s">
        <v>144</v>
      </c>
      <c r="AZ116" s="4" t="str">
        <f t="shared" si="257"/>
        <v>#N/A</v>
      </c>
      <c r="BA116" s="4" t="str">
        <f>if(AZ116="Yes", vlookup(AY$1, 'Week 4'!$A$1:$H$119, 5, False), "")</f>
        <v>#N/A</v>
      </c>
      <c r="BB116" s="4" t="str">
        <f>vlookup(AY112, 'Week 4'!$A$2:$H$119, 3, False)</f>
        <v>#N/A</v>
      </c>
      <c r="BC116" s="4" t="str">
        <f>vlookup(AY112, 'Week 4'!$A$2:$H$119, 6, False)</f>
        <v>#N/A</v>
      </c>
      <c r="BD116" s="4" t="str">
        <f>vlookup(AY112, 'Week 4'!$A$2:$H$119, 7, False)</f>
        <v>#N/A</v>
      </c>
      <c r="BE116" s="4" t="str">
        <f>vlookup(AY112, 'Week 4'!$A$2:$H$119, 4, False)</f>
        <v>#N/A</v>
      </c>
      <c r="BF116" s="4" t="str">
        <f>vlookup(AY112, 'Week 4'!$A$2:$H$119, 5, False)</f>
        <v>#N/A</v>
      </c>
      <c r="BG116" s="4" t="str">
        <f>vlookup(AY112, 'Week 4'!$A$2:$H$119, 8, False)</f>
        <v>#N/A</v>
      </c>
      <c r="BH116" s="148" t="str">
        <f t="shared" si="258"/>
        <v>#N/A</v>
      </c>
      <c r="BI116" s="7"/>
      <c r="BJ116" s="7"/>
      <c r="BK116" s="7"/>
      <c r="BL116" s="7"/>
    </row>
    <row r="117">
      <c r="A117" s="145" t="s">
        <v>146</v>
      </c>
      <c r="B117" s="159" t="str">
        <f t="shared" si="247"/>
        <v>#N/A</v>
      </c>
      <c r="C117" s="159" t="str">
        <f>if(B117="Yes", vlookup(A$1, 'Week 5'!$A$1:$H$119, 5, False), "")</f>
        <v>#N/A</v>
      </c>
      <c r="D117" s="159" t="str">
        <f>vlookup(A112, 'Week 5'!$A$2:$H$119, 3, False)</f>
        <v>#N/A</v>
      </c>
      <c r="E117" s="159" t="str">
        <f>vlookup(A112, 'Week 5'!$A$2:$H$119, 6, False)</f>
        <v>#N/A</v>
      </c>
      <c r="F117" s="159" t="str">
        <f>vlookup(A112, 'Week 5'!$A$2:$H$119, 7, False)</f>
        <v>#N/A</v>
      </c>
      <c r="G117" s="159" t="str">
        <f>vlookup(A112, 'Week 5'!$A$2:$H$119, 4, False)</f>
        <v>#N/A</v>
      </c>
      <c r="H117" s="159" t="str">
        <f>vlookup(A112, 'Week 5'!$A$2:$H$119, 5, False)</f>
        <v>#N/A</v>
      </c>
      <c r="I117" s="159" t="str">
        <f>vlookup(A112, 'Week 5'!$A$2:$H$119, 8, False)</f>
        <v>#N/A</v>
      </c>
      <c r="J117" s="148" t="str">
        <f t="shared" si="248"/>
        <v>#N/A</v>
      </c>
      <c r="K117" s="145" t="s">
        <v>146</v>
      </c>
      <c r="L117" s="159" t="str">
        <f t="shared" si="249"/>
        <v>#N/A</v>
      </c>
      <c r="M117" s="159" t="str">
        <f>if(L117="Yes", vlookup(K$1, 'Week 5'!$A$1:$H$119, 5, False), "")</f>
        <v>#N/A</v>
      </c>
      <c r="N117" s="159" t="str">
        <f>vlookup(K112, 'Week 5'!$A$2:$H$119, 3, False)</f>
        <v>#N/A</v>
      </c>
      <c r="O117" s="159" t="str">
        <f>vlookup(K112, 'Week 5'!$A$2:$H$119, 6, False)</f>
        <v>#N/A</v>
      </c>
      <c r="P117" s="159" t="str">
        <f>vlookup(K112, 'Week 5'!$A$2:$H$119, 7, False)</f>
        <v>#N/A</v>
      </c>
      <c r="Q117" s="159" t="str">
        <f>vlookup(K112, 'Week 5'!$A$2:$H$119, 4, False)</f>
        <v>#N/A</v>
      </c>
      <c r="R117" s="159" t="str">
        <f>vlookup(K112, 'Week 5'!$A$2:$H$119, 5, False)</f>
        <v>#N/A</v>
      </c>
      <c r="S117" s="159" t="str">
        <f>vlookup(K112, 'Week 5'!$A$2:$H$119, 8, False)</f>
        <v>#N/A</v>
      </c>
      <c r="T117" s="148" t="str">
        <f t="shared" si="250"/>
        <v>#N/A</v>
      </c>
      <c r="U117" s="145" t="s">
        <v>146</v>
      </c>
      <c r="V117" s="4" t="str">
        <f t="shared" si="251"/>
        <v>#N/A</v>
      </c>
      <c r="W117" s="4" t="str">
        <f>if(V117="Yes", vlookup(U$1, 'Week 5'!$A$1:$H$119, 5, False), "")</f>
        <v>#N/A</v>
      </c>
      <c r="X117" s="4" t="str">
        <f>vlookup(U112, 'Week 5'!$A$2:$H$119, 3, False)</f>
        <v>#N/A</v>
      </c>
      <c r="Y117" s="4" t="str">
        <f>vlookup(U112, 'Week 5'!$A$2:$H$119, 6, False)</f>
        <v>#N/A</v>
      </c>
      <c r="Z117" s="4" t="str">
        <f>vlookup(U112, 'Week 5'!$A$2:$H$119, 7, False)</f>
        <v>#N/A</v>
      </c>
      <c r="AA117" s="4" t="str">
        <f>vlookup(U112, 'Week 5'!$A$2:$H$119, 4, False)</f>
        <v>#N/A</v>
      </c>
      <c r="AB117" s="4" t="str">
        <f>vlookup(U112, 'Week 5'!$A$2:$H$119, 5, False)</f>
        <v>#N/A</v>
      </c>
      <c r="AC117" s="4" t="str">
        <f>vlookup(U112, 'Week 5'!$A$2:$H$119, 8, False)</f>
        <v>#N/A</v>
      </c>
      <c r="AD117" s="148" t="str">
        <f t="shared" si="252"/>
        <v>#N/A</v>
      </c>
      <c r="AE117" s="145" t="s">
        <v>146</v>
      </c>
      <c r="AF117" s="4" t="str">
        <f t="shared" si="253"/>
        <v>#N/A</v>
      </c>
      <c r="AG117" s="4" t="str">
        <f>if(AF117="Yes", vlookup(AE$1, 'Week 5'!$A$1:$H$119, 5, False), "")</f>
        <v>#N/A</v>
      </c>
      <c r="AH117" s="146" t="str">
        <f>vlookup(AE112, 'Week 5'!$A$2:$H$119, 3, False)</f>
        <v>#N/A</v>
      </c>
      <c r="AI117" s="146" t="str">
        <f>vlookup(AE112, 'Week 5'!$A$2:$H$119, 6, False)</f>
        <v>#N/A</v>
      </c>
      <c r="AJ117" s="146" t="str">
        <f>vlookup(AE112, 'Week 5'!$A$2:$H$119, 7, False)</f>
        <v>#N/A</v>
      </c>
      <c r="AK117" s="146" t="str">
        <f>vlookup(AE112, 'Week 5'!$A$2:$H$119, 4, False)</f>
        <v>#N/A</v>
      </c>
      <c r="AL117" s="146" t="str">
        <f>vlookup(AE112, 'Week 5'!$A$2:$H$119, 5, False)</f>
        <v>#N/A</v>
      </c>
      <c r="AM117" s="146" t="str">
        <f>vlookup(AE112, 'Week 5'!$A$2:$H$119, 8, False)</f>
        <v>#N/A</v>
      </c>
      <c r="AN117" s="148" t="str">
        <f t="shared" si="254"/>
        <v>#N/A</v>
      </c>
      <c r="AO117" s="145" t="s">
        <v>146</v>
      </c>
      <c r="AP117" s="4" t="str">
        <f t="shared" si="255"/>
        <v>#N/A</v>
      </c>
      <c r="AQ117" s="4" t="str">
        <f>if(AP117="Yes", vlookup(AO$1, 'Week 5'!$A$1:$H$119, 5, False), "")</f>
        <v>#N/A</v>
      </c>
      <c r="AR117" s="4" t="str">
        <f>vlookup(AO112, 'Week 5'!$A$2:$H$119, 3, False)</f>
        <v>#N/A</v>
      </c>
      <c r="AS117" s="4" t="str">
        <f>vlookup(AO112, 'Week 5'!$A$2:$H$119, 6, False)</f>
        <v>#N/A</v>
      </c>
      <c r="AT117" s="4" t="str">
        <f>vlookup(AO112, 'Week 5'!$A$2:$H$119, 7, False)</f>
        <v>#N/A</v>
      </c>
      <c r="AU117" s="4" t="str">
        <f>vlookup(AO112, 'Week 5'!$A$2:$H$119, 4, False)</f>
        <v>#N/A</v>
      </c>
      <c r="AV117" s="4" t="str">
        <f>vlookup(AO112, 'Week 5'!$A$2:$H$119, 5, False)</f>
        <v>#N/A</v>
      </c>
      <c r="AW117" s="4" t="str">
        <f>vlookup(AO112, 'Week 5'!$A$2:$H$119, 8, False)</f>
        <v>#N/A</v>
      </c>
      <c r="AX117" s="148" t="str">
        <f t="shared" si="256"/>
        <v>#N/A</v>
      </c>
      <c r="AY117" s="145" t="s">
        <v>146</v>
      </c>
      <c r="AZ117" s="4" t="str">
        <f t="shared" si="257"/>
        <v>#N/A</v>
      </c>
      <c r="BA117" s="4" t="str">
        <f>if(AZ117="Yes", vlookup(AY$1, 'Week 5'!$A$1:$H$119, 5, False), "")</f>
        <v>#N/A</v>
      </c>
      <c r="BB117" s="4" t="str">
        <f>vlookup(AY112, 'Week 5'!$A$2:$H$119, 3, False)</f>
        <v>#N/A</v>
      </c>
      <c r="BC117" s="4" t="str">
        <f>vlookup(AY112, 'Week 5'!$A$2:$H$119, 6, False)</f>
        <v>#N/A</v>
      </c>
      <c r="BD117" s="4" t="str">
        <f>vlookup(AY112, 'Week 5'!$A$2:$H$119, 7, False)</f>
        <v>#N/A</v>
      </c>
      <c r="BE117" s="4" t="str">
        <f>vlookup(AY112, 'Week 5'!$A$2:$H$119, 4, False)</f>
        <v>#N/A</v>
      </c>
      <c r="BF117" s="4" t="str">
        <f>vlookup(AY112, 'Week 5'!$A$2:$H$119, 5, False)</f>
        <v>#N/A</v>
      </c>
      <c r="BG117" s="4" t="str">
        <f>vlookup(AY112, 'Week 5'!$A$2:$H$119, 8, False)</f>
        <v>#N/A</v>
      </c>
      <c r="BH117" s="148" t="str">
        <f t="shared" si="258"/>
        <v>#N/A</v>
      </c>
      <c r="BI117" s="7"/>
      <c r="BJ117" s="7"/>
      <c r="BK117" s="7"/>
      <c r="BL117" s="7"/>
    </row>
    <row r="118">
      <c r="A118" s="145" t="s">
        <v>148</v>
      </c>
      <c r="B118" s="159" t="str">
        <f t="shared" si="247"/>
        <v>#N/A</v>
      </c>
      <c r="C118" s="159" t="str">
        <f>if(B118="Yes", vlookup(A$1, 'Week 6'!$A$1:$H$119, 5, False), "")</f>
        <v>#N/A</v>
      </c>
      <c r="D118" s="159" t="str">
        <f>vlookup(A112, 'Week 6'!$A$2:$H$119, 3, False)</f>
        <v>#N/A</v>
      </c>
      <c r="E118" s="159" t="str">
        <f>vlookup(A112, 'Week 6'!$A$2:$H$119, 6, False)</f>
        <v>#N/A</v>
      </c>
      <c r="F118" s="159" t="str">
        <f>vlookup(A112, 'Week 6'!$A$2:$H$119, 7, False)</f>
        <v>#N/A</v>
      </c>
      <c r="G118" s="159" t="str">
        <f>vlookup(A112, 'Week 6'!$A$2:$H$119, 4, False)</f>
        <v>#N/A</v>
      </c>
      <c r="H118" s="159" t="str">
        <f>vlookup(A112, 'Week 6'!$A$2:$H$119, 5, False)</f>
        <v>#N/A</v>
      </c>
      <c r="I118" s="159" t="str">
        <f>vlookup(A112, 'Week 6'!$A$2:$H$119, 8, False)</f>
        <v>#N/A</v>
      </c>
      <c r="J118" s="148" t="str">
        <f t="shared" si="248"/>
        <v>#N/A</v>
      </c>
      <c r="K118" s="145" t="s">
        <v>148</v>
      </c>
      <c r="L118" s="159" t="str">
        <f t="shared" si="249"/>
        <v>#N/A</v>
      </c>
      <c r="M118" s="159" t="str">
        <f>if(L118="Yes", vlookup(K$1, 'Week 6'!$A$1:$H$119, 5, False), "")</f>
        <v>#N/A</v>
      </c>
      <c r="N118" s="159" t="str">
        <f>vlookup(K112, 'Week 6'!$A$2:$H$119, 3, False)</f>
        <v>#N/A</v>
      </c>
      <c r="O118" s="159" t="str">
        <f>vlookup(K112, 'Week 6'!$A$2:$H$119, 6, False)</f>
        <v>#N/A</v>
      </c>
      <c r="P118" s="159" t="str">
        <f>vlookup(K112, 'Week 6'!$A$2:$H$119, 7, False)</f>
        <v>#N/A</v>
      </c>
      <c r="Q118" s="159" t="str">
        <f>vlookup(K112, 'Week 6'!$A$2:$H$119, 4, False)</f>
        <v>#N/A</v>
      </c>
      <c r="R118" s="159" t="str">
        <f>vlookup(K112, 'Week 6'!$A$2:$H$119, 5, False)</f>
        <v>#N/A</v>
      </c>
      <c r="S118" s="159" t="str">
        <f>vlookup(K112, 'Week 6'!$A$2:$H$119, 8, False)</f>
        <v>#N/A</v>
      </c>
      <c r="T118" s="148" t="str">
        <f t="shared" si="250"/>
        <v>#N/A</v>
      </c>
      <c r="U118" s="145" t="s">
        <v>148</v>
      </c>
      <c r="V118" s="4" t="str">
        <f t="shared" si="251"/>
        <v>#N/A</v>
      </c>
      <c r="W118" s="4" t="str">
        <f>if(V118="Yes", vlookup(U$1, 'Week 6'!$A$1:$H$119, 5, False), "")</f>
        <v>#N/A</v>
      </c>
      <c r="X118" s="4" t="str">
        <f>vlookup(U112, 'Week 6'!$A$2:$H$119, 3, False)</f>
        <v>#N/A</v>
      </c>
      <c r="Y118" s="4" t="str">
        <f>vlookup(U112, 'Week 6'!$A$2:$H$119, 6, False)</f>
        <v>#N/A</v>
      </c>
      <c r="Z118" s="4" t="str">
        <f>vlookup(U112, 'Week 6'!$A$2:$H$119, 7, False)</f>
        <v>#N/A</v>
      </c>
      <c r="AA118" s="4" t="str">
        <f>vlookup(U112, 'Week 6'!$A$2:$H$119, 4, False)</f>
        <v>#N/A</v>
      </c>
      <c r="AB118" s="4" t="str">
        <f>vlookup(U112, 'Week 6'!$A$2:$H$119, 5, False)</f>
        <v>#N/A</v>
      </c>
      <c r="AC118" s="4" t="str">
        <f>vlookup(U112, 'Week 6'!$A$2:$H$119, 8, False)</f>
        <v>#N/A</v>
      </c>
      <c r="AD118" s="148" t="str">
        <f t="shared" si="252"/>
        <v>#N/A</v>
      </c>
      <c r="AE118" s="145" t="s">
        <v>148</v>
      </c>
      <c r="AF118" s="4" t="str">
        <f t="shared" si="253"/>
        <v>#N/A</v>
      </c>
      <c r="AG118" s="4" t="str">
        <f>if(AF118="Yes", vlookup(AE$1, 'Week 6'!$A$1:$H$119, 5, False), "")</f>
        <v>#N/A</v>
      </c>
      <c r="AH118" s="4" t="str">
        <f>vlookup(AE112, 'Week 6'!$A$2:$H$119, 3, False)</f>
        <v>#N/A</v>
      </c>
      <c r="AI118" s="4" t="str">
        <f>vlookup(AE112, 'Week 6'!$A$2:$H$119, 6, False)</f>
        <v>#N/A</v>
      </c>
      <c r="AJ118" s="4" t="str">
        <f>vlookup(AE112, 'Week 6'!$A$2:$H$119, 7, False)</f>
        <v>#N/A</v>
      </c>
      <c r="AK118" s="4" t="str">
        <f>vlookup(AE112, 'Week 6'!$A$2:$H$119, 4, False)</f>
        <v>#N/A</v>
      </c>
      <c r="AL118" s="4" t="str">
        <f>vlookup(AE112, 'Week 6'!$A$2:$H$119, 5, False)</f>
        <v>#N/A</v>
      </c>
      <c r="AM118" s="4" t="str">
        <f>vlookup(AE112, 'Week 6'!$A$2:$H$119, 8, False)</f>
        <v>#N/A</v>
      </c>
      <c r="AN118" s="148" t="str">
        <f t="shared" si="254"/>
        <v>#N/A</v>
      </c>
      <c r="AO118" s="145" t="s">
        <v>148</v>
      </c>
      <c r="AP118" s="4" t="str">
        <f t="shared" si="255"/>
        <v>#N/A</v>
      </c>
      <c r="AQ118" s="4" t="str">
        <f>if(AP118="Yes", vlookup(AO$1, 'Week 6'!$A$1:$H$119, 5, False), "")</f>
        <v>#N/A</v>
      </c>
      <c r="AR118" s="4" t="str">
        <f>vlookup(AO112, 'Week 6'!$A$2:$H$119, 3, False)</f>
        <v>#N/A</v>
      </c>
      <c r="AS118" s="4" t="str">
        <f>vlookup(AO112, 'Week 6'!$A$2:$H$119, 6, False)</f>
        <v>#N/A</v>
      </c>
      <c r="AT118" s="4" t="str">
        <f>vlookup(AO112, 'Week 6'!$A$2:$H$119, 7, False)</f>
        <v>#N/A</v>
      </c>
      <c r="AU118" s="4" t="str">
        <f>vlookup(AO112, 'Week 6'!$A$2:$H$119, 4, False)</f>
        <v>#N/A</v>
      </c>
      <c r="AV118" s="4" t="str">
        <f>vlookup(AO112, 'Week 6'!$A$2:$H$119, 5, False)</f>
        <v>#N/A</v>
      </c>
      <c r="AW118" s="4" t="str">
        <f>vlookup(AO112, 'Week 6'!$A$2:$H$119, 8, False)</f>
        <v>#N/A</v>
      </c>
      <c r="AX118" s="148" t="str">
        <f t="shared" si="256"/>
        <v>#N/A</v>
      </c>
      <c r="AY118" s="145" t="s">
        <v>148</v>
      </c>
      <c r="AZ118" s="4" t="str">
        <f t="shared" si="257"/>
        <v>#N/A</v>
      </c>
      <c r="BA118" s="4" t="str">
        <f>if(AZ118="Yes", vlookup(AY$1, 'Week 6'!$A$1:$H$119, 5, False), "")</f>
        <v>#N/A</v>
      </c>
      <c r="BB118" s="4" t="str">
        <f>vlookup(AY112, 'Week 6'!$A$2:$H$119, 3, False)</f>
        <v>#N/A</v>
      </c>
      <c r="BC118" s="4" t="str">
        <f>vlookup(AY112, 'Week 6'!$A$2:$H$119, 6, False)</f>
        <v>#N/A</v>
      </c>
      <c r="BD118" s="4" t="str">
        <f>vlookup(AY112, 'Week 6'!$A$2:$H$119, 7, False)</f>
        <v>#N/A</v>
      </c>
      <c r="BE118" s="4" t="str">
        <f>vlookup(AY112, 'Week 6'!$A$2:$H$119, 4, False)</f>
        <v>#N/A</v>
      </c>
      <c r="BF118" s="4" t="str">
        <f>vlookup(AY112, 'Week 6'!$A$2:$H$119, 5, False)</f>
        <v>#N/A</v>
      </c>
      <c r="BG118" s="4" t="str">
        <f>vlookup(AY112, 'Week 6'!$A$2:$H$119, 8, False)</f>
        <v>#N/A</v>
      </c>
      <c r="BH118" s="148" t="str">
        <f t="shared" si="258"/>
        <v>#N/A</v>
      </c>
      <c r="BI118" s="7"/>
      <c r="BJ118" s="7"/>
      <c r="BK118" s="7"/>
      <c r="BL118" s="7"/>
    </row>
    <row r="119">
      <c r="A119" s="145" t="s">
        <v>154</v>
      </c>
      <c r="B119" s="159" t="str">
        <f t="shared" si="247"/>
        <v>#N/A</v>
      </c>
      <c r="C119" s="159" t="str">
        <f>if(B119="Yes", vlookup(A$1, 'Week 7'!$A$1:$H$119, 5, False), "")</f>
        <v>#N/A</v>
      </c>
      <c r="D119" s="159" t="str">
        <f>vlookup(A112, 'Week 7'!$A$2:$H$119, 3, False)</f>
        <v>#N/A</v>
      </c>
      <c r="E119" s="159" t="str">
        <f>vlookup(A112, 'Week 7'!$A$2:$H$119, 6, False)</f>
        <v>#N/A</v>
      </c>
      <c r="F119" s="159" t="str">
        <f>vlookup(A112, 'Week 7'!$A$2:$H$119, 7, False)</f>
        <v>#N/A</v>
      </c>
      <c r="G119" s="159" t="str">
        <f>vlookup(A112, 'Week 7'!$A$2:$H$119, 4, False)</f>
        <v>#N/A</v>
      </c>
      <c r="H119" s="159" t="str">
        <f>vlookup(A112, 'Week 7'!$A$2:$H$119, 5, False)</f>
        <v>#N/A</v>
      </c>
      <c r="I119" s="159" t="str">
        <f>vlookup(A112, 'Week 7'!$A$2:$H$119, 8, False)</f>
        <v>#N/A</v>
      </c>
      <c r="J119" s="148" t="str">
        <f t="shared" si="248"/>
        <v>#N/A</v>
      </c>
      <c r="K119" s="145" t="s">
        <v>154</v>
      </c>
      <c r="L119" s="159" t="str">
        <f t="shared" si="249"/>
        <v>#N/A</v>
      </c>
      <c r="M119" s="159" t="str">
        <f>if(L119="Yes", vlookup(K$1, 'Week 7'!$A$1:$H$119, 5, False), "")</f>
        <v>#N/A</v>
      </c>
      <c r="N119" s="159" t="str">
        <f>vlookup(K112, 'Week 7'!$A$2:$H$119, 3, False)</f>
        <v>#N/A</v>
      </c>
      <c r="O119" s="159" t="str">
        <f>vlookup(K112, 'Week 7'!$A$2:$H$119, 6, False)</f>
        <v>#N/A</v>
      </c>
      <c r="P119" s="159" t="str">
        <f>vlookup(K112, 'Week 7'!$A$2:$H$119, 7, False)</f>
        <v>#N/A</v>
      </c>
      <c r="Q119" s="159" t="str">
        <f>vlookup(K112, 'Week 7'!$A$2:$H$119, 4, False)</f>
        <v>#N/A</v>
      </c>
      <c r="R119" s="159" t="str">
        <f>vlookup(K112, 'Week 7'!$A$2:$H$119, 5, False)</f>
        <v>#N/A</v>
      </c>
      <c r="S119" s="159" t="str">
        <f>vlookup(K112, 'Week 7'!$A$2:$H$119, 8, False)</f>
        <v>#N/A</v>
      </c>
      <c r="T119" s="148" t="str">
        <f t="shared" si="250"/>
        <v>#N/A</v>
      </c>
      <c r="U119" s="145" t="s">
        <v>154</v>
      </c>
      <c r="V119" s="4" t="str">
        <f t="shared" si="251"/>
        <v>#N/A</v>
      </c>
      <c r="W119" s="4" t="str">
        <f>if(V119="Yes", vlookup(U$1, 'Week 7'!$A$1:$H$119, 5, False), "")</f>
        <v>#N/A</v>
      </c>
      <c r="X119" s="146" t="str">
        <f>vlookup(U112, 'Week 7'!$A$2:$H$119, 3, False)</f>
        <v>#N/A</v>
      </c>
      <c r="Y119" s="146" t="str">
        <f>vlookup(U112, 'Week 7'!$A$2:$H$119, 6, False)</f>
        <v>#N/A</v>
      </c>
      <c r="Z119" s="146" t="str">
        <f>vlookup(U112, 'Week 7'!$A$2:$H$119, 7, False)</f>
        <v>#N/A</v>
      </c>
      <c r="AA119" s="146" t="str">
        <f>vlookup(U112, 'Week 7'!$A$2:$H$119, 4, False)</f>
        <v>#N/A</v>
      </c>
      <c r="AB119" s="146" t="str">
        <f>vlookup(U112, 'Week 7'!$A$2:$H$119, 5, False)</f>
        <v>#N/A</v>
      </c>
      <c r="AC119" s="146" t="str">
        <f>vlookup(U112, 'Week 7'!$A$2:$H$119, 8, False)</f>
        <v>#N/A</v>
      </c>
      <c r="AD119" s="148" t="str">
        <f t="shared" si="252"/>
        <v>#N/A</v>
      </c>
      <c r="AE119" s="145" t="s">
        <v>154</v>
      </c>
      <c r="AF119" s="4" t="str">
        <f t="shared" si="253"/>
        <v>#N/A</v>
      </c>
      <c r="AG119" s="4" t="str">
        <f>if(AF119="Yes", vlookup(AE$1, 'Week 7'!$A$1:$H$119, 5, False), "")</f>
        <v>#N/A</v>
      </c>
      <c r="AH119" s="4" t="str">
        <f>vlookup(AE112, 'Week 7'!$A$2:$H$119, 3, False)</f>
        <v>#N/A</v>
      </c>
      <c r="AI119" s="4" t="str">
        <f>vlookup(AE112, 'Week 7'!$A$2:$H$119, 6, False)</f>
        <v>#N/A</v>
      </c>
      <c r="AJ119" s="4" t="str">
        <f>vlookup(AE112, 'Week 7'!$A$2:$H$119, 7, False)</f>
        <v>#N/A</v>
      </c>
      <c r="AK119" s="4" t="str">
        <f>vlookup(AE112, 'Week 7'!$A$2:$H$119, 4, False)</f>
        <v>#N/A</v>
      </c>
      <c r="AL119" s="4" t="str">
        <f>vlookup(AE112, 'Week 7'!$A$2:$H$119, 5, False)</f>
        <v>#N/A</v>
      </c>
      <c r="AM119" s="4" t="str">
        <f>vlookup(AE112, 'Week 7'!$A$2:$H$119, 8, False)</f>
        <v>#N/A</v>
      </c>
      <c r="AN119" s="148" t="str">
        <f t="shared" si="254"/>
        <v>#N/A</v>
      </c>
      <c r="AO119" s="145" t="s">
        <v>154</v>
      </c>
      <c r="AP119" s="4" t="str">
        <f t="shared" si="255"/>
        <v>#N/A</v>
      </c>
      <c r="AQ119" s="4" t="str">
        <f>if(AP119="Yes", vlookup(AO$1, 'Week 7'!$A$1:$H$119, 5, False), "")</f>
        <v>#N/A</v>
      </c>
      <c r="AR119" s="4" t="str">
        <f>vlookup(AO112, 'Week 7'!$A$2:$H$119, 3, False)</f>
        <v>#N/A</v>
      </c>
      <c r="AS119" s="4" t="str">
        <f>vlookup(AO112, 'Week 7'!$A$2:$H$119, 6, False)</f>
        <v>#N/A</v>
      </c>
      <c r="AT119" s="4" t="str">
        <f>vlookup(AO112, 'Week 7'!$A$2:$H$119, 7, False)</f>
        <v>#N/A</v>
      </c>
      <c r="AU119" s="4" t="str">
        <f>vlookup(AO112, 'Week 7'!$A$2:$H$119, 4, False)</f>
        <v>#N/A</v>
      </c>
      <c r="AV119" s="4" t="str">
        <f>vlookup(AO112, 'Week 7'!$A$2:$H$119, 5, False)</f>
        <v>#N/A</v>
      </c>
      <c r="AW119" s="4" t="str">
        <f>vlookup(AO112, 'Week 7'!$A$2:$H$119, 8, False)</f>
        <v>#N/A</v>
      </c>
      <c r="AX119" s="148" t="str">
        <f t="shared" si="256"/>
        <v>#N/A</v>
      </c>
      <c r="AY119" s="145" t="s">
        <v>154</v>
      </c>
      <c r="AZ119" s="4" t="str">
        <f t="shared" si="257"/>
        <v>#N/A</v>
      </c>
      <c r="BA119" s="4" t="str">
        <f>if(AZ119="Yes", vlookup(AY$1, 'Week 7'!$A$1:$H$119, 5, False), "")</f>
        <v>#N/A</v>
      </c>
      <c r="BB119" s="4" t="str">
        <f>vlookup(AY112, 'Week 7'!$A$2:$H$119, 3, False)</f>
        <v>#N/A</v>
      </c>
      <c r="BC119" s="4" t="str">
        <f>vlookup(AY112, 'Week 7'!$A$2:$H$119, 6, False)</f>
        <v>#N/A</v>
      </c>
      <c r="BD119" s="4" t="str">
        <f>vlookup(AY112, 'Week 7'!$A$2:$H$119, 7, False)</f>
        <v>#N/A</v>
      </c>
      <c r="BE119" s="4" t="str">
        <f>vlookup(AY112, 'Week 7'!$A$2:$H$119, 4, False)</f>
        <v>#N/A</v>
      </c>
      <c r="BF119" s="4" t="str">
        <f>vlookup(AY112, 'Week 7'!$A$2:$H$119, 5, False)</f>
        <v>#N/A</v>
      </c>
      <c r="BG119" s="4" t="str">
        <f>vlookup(AY112, 'Week 7'!$A$2:$H$119, 8, False)</f>
        <v>#N/A</v>
      </c>
      <c r="BH119" s="148" t="str">
        <f t="shared" si="258"/>
        <v>#N/A</v>
      </c>
      <c r="BI119" s="7"/>
      <c r="BJ119" s="7"/>
      <c r="BK119" s="7"/>
      <c r="BL119" s="7"/>
    </row>
    <row r="120">
      <c r="A120" s="145" t="s">
        <v>211</v>
      </c>
      <c r="B120" s="4" t="str">
        <f t="shared" si="247"/>
        <v/>
      </c>
      <c r="C120" s="4" t="str">
        <f>if(B120="Yes", vlookup(A$1, 'Week 1'!$A$1:$H$119, 5, False), "")</f>
        <v/>
      </c>
      <c r="D120" s="4"/>
      <c r="E120" s="4"/>
      <c r="F120" s="4"/>
      <c r="G120" s="4"/>
      <c r="H120" s="4"/>
      <c r="I120" s="4"/>
      <c r="J120" s="123"/>
      <c r="K120" s="145" t="s">
        <v>211</v>
      </c>
      <c r="L120" s="4" t="str">
        <f t="shared" si="249"/>
        <v/>
      </c>
      <c r="M120" s="4" t="str">
        <f>if(L120="Yes", vlookup(K$1, 'Week 1'!$A$1:$H$119, 5, False), "")</f>
        <v/>
      </c>
      <c r="N120" s="4"/>
      <c r="O120" s="4"/>
      <c r="P120" s="4"/>
      <c r="Q120" s="4"/>
      <c r="R120" s="4"/>
      <c r="S120" s="4"/>
      <c r="T120" s="123"/>
      <c r="U120" s="145" t="s">
        <v>211</v>
      </c>
      <c r="V120" s="4" t="str">
        <f t="shared" si="251"/>
        <v/>
      </c>
      <c r="W120" s="4" t="str">
        <f>if(V120="Yes", vlookup(U$1, 'Week 1'!$A$1:$H$119, 5, False), "")</f>
        <v/>
      </c>
      <c r="X120" s="4"/>
      <c r="Y120" s="4"/>
      <c r="Z120" s="4"/>
      <c r="AA120" s="4"/>
      <c r="AB120" s="4"/>
      <c r="AC120" s="4"/>
      <c r="AD120" s="123"/>
      <c r="AE120" s="145" t="s">
        <v>211</v>
      </c>
      <c r="AF120" s="4" t="str">
        <f t="shared" si="253"/>
        <v/>
      </c>
      <c r="AG120" s="4" t="str">
        <f>if(AF120="Yes", vlookup(AE$1, 'Week 1'!$A$1:$H$119, 5, False), "")</f>
        <v/>
      </c>
      <c r="AH120" s="4"/>
      <c r="AI120" s="4"/>
      <c r="AJ120" s="4"/>
      <c r="AK120" s="4"/>
      <c r="AL120" s="4"/>
      <c r="AM120" s="4"/>
      <c r="AN120" s="123"/>
      <c r="AO120" s="145" t="s">
        <v>211</v>
      </c>
      <c r="AP120" s="4" t="str">
        <f t="shared" si="255"/>
        <v/>
      </c>
      <c r="AQ120" s="4" t="str">
        <f>if(AP120="Yes", vlookup(AO$1, 'Week 1'!$A$1:$H$119, 5, False), "")</f>
        <v/>
      </c>
      <c r="AR120" s="4"/>
      <c r="AS120" s="4"/>
      <c r="AT120" s="4"/>
      <c r="AU120" s="4"/>
      <c r="AV120" s="4"/>
      <c r="AW120" s="4"/>
      <c r="AX120" s="123"/>
      <c r="AY120" s="145" t="s">
        <v>211</v>
      </c>
      <c r="AZ120" s="4" t="str">
        <f t="shared" si="257"/>
        <v/>
      </c>
      <c r="BA120" s="4" t="str">
        <f>if(AZ120="Yes", vlookup(AY$1, 'Week 1'!$A$1:$H$119, 5, False), "")</f>
        <v/>
      </c>
      <c r="BB120" s="4"/>
      <c r="BC120" s="4"/>
      <c r="BD120" s="4"/>
      <c r="BE120" s="4"/>
      <c r="BF120" s="4"/>
      <c r="BG120" s="4"/>
      <c r="BH120" s="123"/>
      <c r="BI120" s="7"/>
      <c r="BJ120" s="7"/>
      <c r="BK120" s="7"/>
      <c r="BL120" s="7"/>
    </row>
    <row r="121">
      <c r="A121" s="145" t="s">
        <v>212</v>
      </c>
      <c r="B121" s="4" t="str">
        <f t="shared" si="247"/>
        <v/>
      </c>
      <c r="C121" s="4" t="str">
        <f>if(B121="Yes", vlookup(A$1, 'Week 1'!$A$1:$H$119, 5, False), "")</f>
        <v/>
      </c>
      <c r="D121" s="4"/>
      <c r="E121" s="4"/>
      <c r="F121" s="4"/>
      <c r="G121" s="4"/>
      <c r="H121" s="4"/>
      <c r="I121" s="4"/>
      <c r="J121" s="123"/>
      <c r="K121" s="145" t="s">
        <v>212</v>
      </c>
      <c r="L121" s="4" t="str">
        <f t="shared" si="249"/>
        <v/>
      </c>
      <c r="M121" s="4" t="str">
        <f>if(L121="Yes", vlookup(K$1, 'Week 1'!$A$1:$H$119, 5, False), "")</f>
        <v/>
      </c>
      <c r="N121" s="4"/>
      <c r="O121" s="4"/>
      <c r="P121" s="4"/>
      <c r="Q121" s="4"/>
      <c r="R121" s="4"/>
      <c r="S121" s="4"/>
      <c r="T121" s="123"/>
      <c r="U121" s="145" t="s">
        <v>212</v>
      </c>
      <c r="V121" s="4" t="str">
        <f t="shared" si="251"/>
        <v/>
      </c>
      <c r="W121" s="4" t="str">
        <f>if(V121="Yes", vlookup(U$1, 'Week 1'!$A$1:$H$119, 5, False), "")</f>
        <v/>
      </c>
      <c r="X121" s="4"/>
      <c r="Y121" s="4"/>
      <c r="Z121" s="4"/>
      <c r="AA121" s="4"/>
      <c r="AB121" s="4"/>
      <c r="AC121" s="4"/>
      <c r="AD121" s="123"/>
      <c r="AE121" s="145" t="s">
        <v>212</v>
      </c>
      <c r="AF121" s="4" t="str">
        <f t="shared" si="253"/>
        <v/>
      </c>
      <c r="AG121" s="4" t="str">
        <f>if(AF121="Yes", vlookup(AE$1, 'Week 1'!$A$1:$H$119, 5, False), "")</f>
        <v/>
      </c>
      <c r="AH121" s="4"/>
      <c r="AI121" s="4"/>
      <c r="AJ121" s="4"/>
      <c r="AK121" s="4"/>
      <c r="AL121" s="4"/>
      <c r="AM121" s="4"/>
      <c r="AN121" s="123"/>
      <c r="AO121" s="145" t="s">
        <v>212</v>
      </c>
      <c r="AP121" s="4" t="str">
        <f t="shared" si="255"/>
        <v/>
      </c>
      <c r="AQ121" s="4" t="str">
        <f>if(AP121="Yes", vlookup(AO$1, 'Week 1'!$A$1:$H$119, 5, False), "")</f>
        <v/>
      </c>
      <c r="AR121" s="4"/>
      <c r="AS121" s="4"/>
      <c r="AT121" s="4"/>
      <c r="AU121" s="4"/>
      <c r="AV121" s="4"/>
      <c r="AW121" s="4"/>
      <c r="AX121" s="123"/>
      <c r="AY121" s="145" t="s">
        <v>212</v>
      </c>
      <c r="AZ121" s="4" t="str">
        <f t="shared" si="257"/>
        <v/>
      </c>
      <c r="BA121" s="4" t="str">
        <f>if(AZ121="Yes", vlookup(AY$1, 'Week 1'!$A$1:$H$119, 5, False), "")</f>
        <v/>
      </c>
      <c r="BB121" s="4"/>
      <c r="BC121" s="4"/>
      <c r="BD121" s="4"/>
      <c r="BE121" s="4"/>
      <c r="BF121" s="4"/>
      <c r="BG121" s="4"/>
      <c r="BH121" s="123"/>
      <c r="BI121" s="7"/>
      <c r="BJ121" s="7"/>
      <c r="BK121" s="7"/>
      <c r="BL121" s="7"/>
    </row>
    <row r="122">
      <c r="A122" s="2" t="s">
        <v>213</v>
      </c>
      <c r="B122" s="149">
        <f>countif(B113:B121, "Yes")</f>
        <v>0</v>
      </c>
      <c r="C122" s="153" t="str">
        <f>countif(C113:C121, "Win")/(countif(C113:C121, "Win")+countif(C113:C121, "Loss"))</f>
        <v>#DIV/0!</v>
      </c>
      <c r="D122" s="151" t="str">
        <f t="shared" ref="D122:I122" si="259">average(D113:D121)</f>
        <v>#N/A</v>
      </c>
      <c r="E122" s="151" t="str">
        <f t="shared" si="259"/>
        <v>#N/A</v>
      </c>
      <c r="F122" s="151" t="str">
        <f t="shared" si="259"/>
        <v>#N/A</v>
      </c>
      <c r="G122" s="151" t="str">
        <f t="shared" si="259"/>
        <v>#N/A</v>
      </c>
      <c r="H122" s="151" t="str">
        <f t="shared" si="259"/>
        <v>#N/A</v>
      </c>
      <c r="I122" s="152" t="str">
        <f t="shared" si="259"/>
        <v>#N/A</v>
      </c>
      <c r="J122" s="153" t="str">
        <f>D122/(I122+D122)</f>
        <v>#N/A</v>
      </c>
      <c r="K122" s="2" t="s">
        <v>213</v>
      </c>
      <c r="L122" s="149">
        <f>countif(L113:L121, "Yes")</f>
        <v>0</v>
      </c>
      <c r="M122" s="153" t="str">
        <f>countif(M113:M121, "Win")/(countif(M113:M121, "Win")+countif(M113:M121, "Loss"))</f>
        <v>#DIV/0!</v>
      </c>
      <c r="N122" s="151" t="str">
        <f t="shared" ref="N122:S122" si="260">average(N113:N121)</f>
        <v>#N/A</v>
      </c>
      <c r="O122" s="151" t="str">
        <f t="shared" si="260"/>
        <v>#N/A</v>
      </c>
      <c r="P122" s="151" t="str">
        <f t="shared" si="260"/>
        <v>#N/A</v>
      </c>
      <c r="Q122" s="151" t="str">
        <f t="shared" si="260"/>
        <v>#N/A</v>
      </c>
      <c r="R122" s="151" t="str">
        <f t="shared" si="260"/>
        <v>#N/A</v>
      </c>
      <c r="S122" s="152" t="str">
        <f t="shared" si="260"/>
        <v>#N/A</v>
      </c>
      <c r="T122" s="153" t="str">
        <f>N122/(S122+N122)</f>
        <v>#N/A</v>
      </c>
      <c r="U122" s="2" t="s">
        <v>213</v>
      </c>
      <c r="V122" s="149">
        <f>countif(V113:V121, "Yes")</f>
        <v>0</v>
      </c>
      <c r="W122" s="150" t="str">
        <f>countif(W113:W121, "Win")/(countif(W113:W121, "Win")+countif(W113:W121, "Loss"))</f>
        <v>#DIV/0!</v>
      </c>
      <c r="X122" s="151" t="str">
        <f t="shared" ref="X122:AC122" si="261">average(X113:X121)</f>
        <v>#N/A</v>
      </c>
      <c r="Y122" s="151" t="str">
        <f t="shared" si="261"/>
        <v>#N/A</v>
      </c>
      <c r="Z122" s="151" t="str">
        <f t="shared" si="261"/>
        <v>#N/A</v>
      </c>
      <c r="AA122" s="151" t="str">
        <f t="shared" si="261"/>
        <v>#N/A</v>
      </c>
      <c r="AB122" s="151" t="str">
        <f t="shared" si="261"/>
        <v>#N/A</v>
      </c>
      <c r="AC122" s="152" t="str">
        <f t="shared" si="261"/>
        <v>#N/A</v>
      </c>
      <c r="AD122" s="153" t="str">
        <f>X122/(AC122+X122)</f>
        <v>#N/A</v>
      </c>
      <c r="AE122" s="2" t="s">
        <v>213</v>
      </c>
      <c r="AF122" s="149">
        <f>countif(AF113:AF121, "Yes")</f>
        <v>0</v>
      </c>
      <c r="AG122" s="150" t="str">
        <f>countif(AG113:AG121, "Win")/(countif(AG113:AG121, "Win")+countif(AG113:AG121, "Loss"))</f>
        <v>#DIV/0!</v>
      </c>
      <c r="AH122" s="151" t="str">
        <f t="shared" ref="AH122:AM122" si="262">average(AH113:AH121)</f>
        <v>#N/A</v>
      </c>
      <c r="AI122" s="151" t="str">
        <f t="shared" si="262"/>
        <v>#N/A</v>
      </c>
      <c r="AJ122" s="151" t="str">
        <f t="shared" si="262"/>
        <v>#N/A</v>
      </c>
      <c r="AK122" s="151" t="str">
        <f t="shared" si="262"/>
        <v>#N/A</v>
      </c>
      <c r="AL122" s="151" t="str">
        <f t="shared" si="262"/>
        <v>#N/A</v>
      </c>
      <c r="AM122" s="152" t="str">
        <f t="shared" si="262"/>
        <v>#N/A</v>
      </c>
      <c r="AN122" s="153" t="str">
        <f>AH122/(AM122+AH122)</f>
        <v>#N/A</v>
      </c>
      <c r="AO122" s="2" t="s">
        <v>213</v>
      </c>
      <c r="AP122" s="149">
        <f>countif(AP113:AP121, "Yes")</f>
        <v>0</v>
      </c>
      <c r="AQ122" s="153" t="str">
        <f>countif(AQ113:AQ121, "Win")/(countif(AQ113:AQ121, "Win")+countif(AQ113:AQ121, "Loss"))</f>
        <v>#DIV/0!</v>
      </c>
      <c r="AR122" s="151" t="str">
        <f t="shared" ref="AR122:AW122" si="263">average(AR113:AR121)</f>
        <v>#N/A</v>
      </c>
      <c r="AS122" s="151" t="str">
        <f t="shared" si="263"/>
        <v>#N/A</v>
      </c>
      <c r="AT122" s="151" t="str">
        <f t="shared" si="263"/>
        <v>#N/A</v>
      </c>
      <c r="AU122" s="151" t="str">
        <f t="shared" si="263"/>
        <v>#N/A</v>
      </c>
      <c r="AV122" s="151" t="str">
        <f t="shared" si="263"/>
        <v>#N/A</v>
      </c>
      <c r="AW122" s="152" t="str">
        <f t="shared" si="263"/>
        <v>#N/A</v>
      </c>
      <c r="AX122" s="153" t="str">
        <f>AR122/(AW122+AR122)</f>
        <v>#N/A</v>
      </c>
      <c r="AY122" s="2" t="s">
        <v>213</v>
      </c>
      <c r="AZ122" s="149">
        <f>countif(AZ113:AZ121, "Yes")</f>
        <v>0</v>
      </c>
      <c r="BA122" s="153" t="str">
        <f>countif(BA113:BA121, "Win")/(countif(BA113:BA121, "Win")+countif(BA113:BA121, "Loss"))</f>
        <v>#DIV/0!</v>
      </c>
      <c r="BB122" s="151" t="str">
        <f t="shared" ref="BB122:BG122" si="264">average(BB113:BB121)</f>
        <v>#N/A</v>
      </c>
      <c r="BC122" s="151" t="str">
        <f t="shared" si="264"/>
        <v>#N/A</v>
      </c>
      <c r="BD122" s="151" t="str">
        <f t="shared" si="264"/>
        <v>#N/A</v>
      </c>
      <c r="BE122" s="151" t="str">
        <f t="shared" si="264"/>
        <v>#N/A</v>
      </c>
      <c r="BF122" s="151" t="str">
        <f t="shared" si="264"/>
        <v>#N/A</v>
      </c>
      <c r="BG122" s="152" t="str">
        <f t="shared" si="264"/>
        <v>#N/A</v>
      </c>
      <c r="BH122" s="153" t="str">
        <f>BB122/(BG122+BB122)</f>
        <v>#N/A</v>
      </c>
      <c r="BI122" s="7"/>
      <c r="BJ122" s="7"/>
      <c r="BK122" s="7"/>
      <c r="BL122" s="7"/>
    </row>
    <row r="123">
      <c r="A123" s="154" t="str">
        <f>Draft!B56</f>
        <v/>
      </c>
      <c r="B123" s="124">
        <f t="shared" ref="B123:J123" si="265">B133</f>
        <v>0</v>
      </c>
      <c r="C123" s="139" t="str">
        <f t="shared" si="265"/>
        <v>#DIV/0!</v>
      </c>
      <c r="D123" s="137" t="str">
        <f t="shared" si="265"/>
        <v>#N/A</v>
      </c>
      <c r="E123" s="137" t="str">
        <f t="shared" si="265"/>
        <v>#N/A</v>
      </c>
      <c r="F123" s="137" t="str">
        <f t="shared" si="265"/>
        <v>#N/A</v>
      </c>
      <c r="G123" s="137" t="str">
        <f t="shared" si="265"/>
        <v>#N/A</v>
      </c>
      <c r="H123" s="137" t="str">
        <f t="shared" si="265"/>
        <v>#N/A</v>
      </c>
      <c r="I123" s="138" t="str">
        <f t="shared" si="265"/>
        <v>#N/A</v>
      </c>
      <c r="J123" s="139" t="str">
        <f t="shared" si="265"/>
        <v>#N/A</v>
      </c>
      <c r="K123" s="155" t="str">
        <f>Draft!C56</f>
        <v/>
      </c>
      <c r="L123" s="124">
        <f t="shared" ref="L123:T123" si="266">L133</f>
        <v>0</v>
      </c>
      <c r="M123" s="139" t="str">
        <f t="shared" si="266"/>
        <v>#DIV/0!</v>
      </c>
      <c r="N123" s="137" t="str">
        <f t="shared" si="266"/>
        <v>#N/A</v>
      </c>
      <c r="O123" s="137" t="str">
        <f t="shared" si="266"/>
        <v>#N/A</v>
      </c>
      <c r="P123" s="137" t="str">
        <f t="shared" si="266"/>
        <v>#N/A</v>
      </c>
      <c r="Q123" s="137" t="str">
        <f t="shared" si="266"/>
        <v>#N/A</v>
      </c>
      <c r="R123" s="137" t="str">
        <f t="shared" si="266"/>
        <v>#N/A</v>
      </c>
      <c r="S123" s="138" t="str">
        <f t="shared" si="266"/>
        <v>#N/A</v>
      </c>
      <c r="T123" s="139" t="str">
        <f t="shared" si="266"/>
        <v>#N/A</v>
      </c>
      <c r="U123" s="156" t="str">
        <f>Draft!D56</f>
        <v/>
      </c>
      <c r="V123" s="124">
        <f t="shared" ref="V123:AD123" si="267">V133</f>
        <v>0</v>
      </c>
      <c r="W123" s="139" t="str">
        <f t="shared" si="267"/>
        <v>#DIV/0!</v>
      </c>
      <c r="X123" s="137" t="str">
        <f t="shared" si="267"/>
        <v>#N/A</v>
      </c>
      <c r="Y123" s="137" t="str">
        <f t="shared" si="267"/>
        <v>#N/A</v>
      </c>
      <c r="Z123" s="137" t="str">
        <f t="shared" si="267"/>
        <v>#N/A</v>
      </c>
      <c r="AA123" s="137" t="str">
        <f t="shared" si="267"/>
        <v>#N/A</v>
      </c>
      <c r="AB123" s="137" t="str">
        <f t="shared" si="267"/>
        <v>#N/A</v>
      </c>
      <c r="AC123" s="138" t="str">
        <f t="shared" si="267"/>
        <v>#N/A</v>
      </c>
      <c r="AD123" s="139" t="str">
        <f t="shared" si="267"/>
        <v>#N/A</v>
      </c>
      <c r="AE123" s="157" t="str">
        <f>Draft!E56</f>
        <v/>
      </c>
      <c r="AF123" s="124">
        <f t="shared" ref="AF123:AN123" si="268">AF133</f>
        <v>0</v>
      </c>
      <c r="AG123" s="139" t="str">
        <f t="shared" si="268"/>
        <v>#DIV/0!</v>
      </c>
      <c r="AH123" s="137" t="str">
        <f t="shared" si="268"/>
        <v>#N/A</v>
      </c>
      <c r="AI123" s="137" t="str">
        <f t="shared" si="268"/>
        <v>#N/A</v>
      </c>
      <c r="AJ123" s="137" t="str">
        <f t="shared" si="268"/>
        <v>#N/A</v>
      </c>
      <c r="AK123" s="137" t="str">
        <f t="shared" si="268"/>
        <v>#N/A</v>
      </c>
      <c r="AL123" s="137" t="str">
        <f t="shared" si="268"/>
        <v>#N/A</v>
      </c>
      <c r="AM123" s="138" t="str">
        <f t="shared" si="268"/>
        <v>#N/A</v>
      </c>
      <c r="AN123" s="139" t="str">
        <f t="shared" si="268"/>
        <v>#N/A</v>
      </c>
      <c r="AO123" s="158" t="str">
        <f>Draft!F56</f>
        <v/>
      </c>
      <c r="AP123" s="124">
        <f t="shared" ref="AP123:AX123" si="269">AP133</f>
        <v>0</v>
      </c>
      <c r="AQ123" s="139" t="str">
        <f t="shared" si="269"/>
        <v>#DIV/0!</v>
      </c>
      <c r="AR123" s="137" t="str">
        <f t="shared" si="269"/>
        <v>#N/A</v>
      </c>
      <c r="AS123" s="137" t="str">
        <f t="shared" si="269"/>
        <v>#N/A</v>
      </c>
      <c r="AT123" s="137" t="str">
        <f t="shared" si="269"/>
        <v>#N/A</v>
      </c>
      <c r="AU123" s="137" t="str">
        <f t="shared" si="269"/>
        <v>#N/A</v>
      </c>
      <c r="AV123" s="137" t="str">
        <f t="shared" si="269"/>
        <v>#N/A</v>
      </c>
      <c r="AW123" s="138" t="str">
        <f t="shared" si="269"/>
        <v>#N/A</v>
      </c>
      <c r="AX123" s="139" t="str">
        <f t="shared" si="269"/>
        <v>#N/A</v>
      </c>
      <c r="AY123" s="19" t="str">
        <f>Draft!G56</f>
        <v/>
      </c>
      <c r="AZ123" s="124">
        <f t="shared" ref="AZ123:BH123" si="270">AZ133</f>
        <v>0</v>
      </c>
      <c r="BA123" s="139" t="str">
        <f t="shared" si="270"/>
        <v>#DIV/0!</v>
      </c>
      <c r="BB123" s="137" t="str">
        <f t="shared" si="270"/>
        <v>#N/A</v>
      </c>
      <c r="BC123" s="137" t="str">
        <f t="shared" si="270"/>
        <v>#N/A</v>
      </c>
      <c r="BD123" s="137" t="str">
        <f t="shared" si="270"/>
        <v>#N/A</v>
      </c>
      <c r="BE123" s="137" t="str">
        <f t="shared" si="270"/>
        <v>#N/A</v>
      </c>
      <c r="BF123" s="137" t="str">
        <f t="shared" si="270"/>
        <v>#N/A</v>
      </c>
      <c r="BG123" s="138" t="str">
        <f t="shared" si="270"/>
        <v>#N/A</v>
      </c>
      <c r="BH123" s="139" t="str">
        <f t="shared" si="270"/>
        <v>#N/A</v>
      </c>
      <c r="BI123" s="7"/>
      <c r="BJ123" s="7"/>
      <c r="BK123" s="7"/>
      <c r="BL123" s="7"/>
    </row>
    <row r="124">
      <c r="A124" s="145" t="s">
        <v>133</v>
      </c>
      <c r="B124" s="159" t="str">
        <f t="shared" ref="B124:B132" si="271">if(I124&gt;0, "Yes", "")</f>
        <v>#N/A</v>
      </c>
      <c r="C124" s="159" t="str">
        <f>if(B124="Yes", vlookup(A$1, 'Week 1'!$A$1:$H$119, 5, False), "")</f>
        <v>#N/A</v>
      </c>
      <c r="D124" s="159" t="str">
        <f>vlookup(A123, 'Week 1'!$A$2:$H$119, 3, False)</f>
        <v>#N/A</v>
      </c>
      <c r="E124" s="160" t="str">
        <f>vlookup(A123, 'Week 1'!$A$2:$H$119, 6, False)</f>
        <v>#N/A</v>
      </c>
      <c r="F124" s="160" t="str">
        <f>vlookup(A123, 'Week 1'!$A$2:$H$119, 7, False)</f>
        <v>#N/A</v>
      </c>
      <c r="G124" s="160" t="str">
        <f>vlookup(A123, 'Week 1'!$A$2:$H$119, 4, False)</f>
        <v>#N/A</v>
      </c>
      <c r="H124" s="160" t="str">
        <f>vlookup(A123, 'Week 1'!$A$2:$H$119, 5, False)</f>
        <v>#N/A</v>
      </c>
      <c r="I124" s="160" t="str">
        <f>vlookup(A123, 'Week 1'!$A$2:$H$119, 8, False)</f>
        <v>#N/A</v>
      </c>
      <c r="J124" s="148" t="str">
        <f t="shared" ref="J124:J130" si="272">if(D124&gt;0, (D124/(D124+I124)), "")</f>
        <v>#N/A</v>
      </c>
      <c r="K124" s="145" t="s">
        <v>133</v>
      </c>
      <c r="L124" s="159" t="str">
        <f t="shared" ref="L124:L132" si="273">if(S124&gt;0, "Yes", "")</f>
        <v>#N/A</v>
      </c>
      <c r="M124" s="159" t="str">
        <f>if(L124="Yes", vlookup(K$1, 'Week 1'!$A$1:$H$119, 5, False), "")</f>
        <v>#N/A</v>
      </c>
      <c r="N124" s="159" t="str">
        <f>vlookup(K123, 'Week 1'!$A$2:$H$119, 3, False)</f>
        <v>#N/A</v>
      </c>
      <c r="O124" s="160" t="str">
        <f>vlookup(K123, 'Week 1'!$A$2:$H$119, 6, False)</f>
        <v>#N/A</v>
      </c>
      <c r="P124" s="160" t="str">
        <f>vlookup(K123, 'Week 1'!$A$2:$H$119, 7, False)</f>
        <v>#N/A</v>
      </c>
      <c r="Q124" s="160" t="str">
        <f>vlookup(K123, 'Week 1'!$A$2:$H$119, 4, False)</f>
        <v>#N/A</v>
      </c>
      <c r="R124" s="160" t="str">
        <f>vlookup(K123, 'Week 1'!$A$2:$H$119, 5, False)</f>
        <v>#N/A</v>
      </c>
      <c r="S124" s="160" t="str">
        <f>vlookup(K123, 'Week 1'!$A$2:$H$119, 8, False)</f>
        <v>#N/A</v>
      </c>
      <c r="T124" s="148" t="str">
        <f t="shared" ref="T124:T130" si="274">if(N124&gt;0, (N124/(N124+S124)), "")</f>
        <v>#N/A</v>
      </c>
      <c r="U124" s="145" t="s">
        <v>133</v>
      </c>
      <c r="V124" s="159" t="str">
        <f t="shared" ref="V124:V132" si="275">if(AC124&gt;0, "Yes", "")</f>
        <v>#N/A</v>
      </c>
      <c r="W124" s="159" t="str">
        <f>if(V124="Yes", vlookup(U$1, 'Week 1'!$A$1:$H$119, 5, False), "")</f>
        <v>#N/A</v>
      </c>
      <c r="X124" s="159" t="str">
        <f>vlookup(U123, 'Week 1'!$A$2:$H$119, 3, False)</f>
        <v>#N/A</v>
      </c>
      <c r="Y124" s="160" t="str">
        <f>vlookup(U123, 'Week 1'!$A$2:$H$119, 6, False)</f>
        <v>#N/A</v>
      </c>
      <c r="Z124" s="160" t="str">
        <f>vlookup(U123, 'Week 1'!$A$2:$H$119, 7, False)</f>
        <v>#N/A</v>
      </c>
      <c r="AA124" s="160" t="str">
        <f>vlookup(U123, 'Week 1'!$A$2:$H$119, 4, False)</f>
        <v>#N/A</v>
      </c>
      <c r="AB124" s="160" t="str">
        <f>vlookup(U123, 'Week 1'!$A$2:$H$119, 5, False)</f>
        <v>#N/A</v>
      </c>
      <c r="AC124" s="160" t="str">
        <f>vlookup(U123, 'Week 1'!$A$2:$H$119, 8, False)</f>
        <v>#N/A</v>
      </c>
      <c r="AD124" s="148" t="str">
        <f t="shared" ref="AD124:AD130" si="276">if(X124&gt;0, (X124/(X124+AC124)), "")</f>
        <v>#N/A</v>
      </c>
      <c r="AE124" s="145" t="s">
        <v>133</v>
      </c>
      <c r="AF124" s="159" t="str">
        <f t="shared" ref="AF124:AF132" si="277">if(AM124&gt;0, "Yes", "")</f>
        <v>#N/A</v>
      </c>
      <c r="AG124" s="159" t="str">
        <f>if(AF124="Yes", vlookup(AE$1, 'Week 1'!$A$1:$H$119, 5, False), "")</f>
        <v>#N/A</v>
      </c>
      <c r="AH124" s="159" t="str">
        <f>vlookup(AE123, 'Week 1'!$A$2:$H$119, 3, False)</f>
        <v>#N/A</v>
      </c>
      <c r="AI124" s="160" t="str">
        <f>vlookup(AE123, 'Week 1'!$A$2:$H$119, 6, False)</f>
        <v>#N/A</v>
      </c>
      <c r="AJ124" s="160" t="str">
        <f>vlookup(AE123, 'Week 1'!$A$2:$H$119, 7, False)</f>
        <v>#N/A</v>
      </c>
      <c r="AK124" s="160" t="str">
        <f>vlookup(AE123, 'Week 1'!$A$2:$H$119, 4, False)</f>
        <v>#N/A</v>
      </c>
      <c r="AL124" s="160" t="str">
        <f>vlookup(AE123, 'Week 1'!$A$2:$H$119, 5, False)</f>
        <v>#N/A</v>
      </c>
      <c r="AM124" s="160" t="str">
        <f>vlookup(AE123, 'Week 1'!$A$2:$H$119, 8, False)</f>
        <v>#N/A</v>
      </c>
      <c r="AN124" s="148" t="str">
        <f t="shared" ref="AN124:AN130" si="278">if(AH124&gt;0, (AH124/(AH124+AM124)), "")</f>
        <v>#N/A</v>
      </c>
      <c r="AO124" s="145" t="s">
        <v>133</v>
      </c>
      <c r="AP124" s="159" t="str">
        <f t="shared" ref="AP124:AP132" si="279">if(AW124&gt;0, "Yes", "")</f>
        <v>#N/A</v>
      </c>
      <c r="AQ124" s="159" t="str">
        <f>if(AP124="Yes", vlookup(AO$1, 'Week 1'!$A$1:$H$119, 5, False), "")</f>
        <v>#N/A</v>
      </c>
      <c r="AR124" s="159" t="str">
        <f>vlookup(AO123, 'Week 1'!$A$2:$H$119, 3, False)</f>
        <v>#N/A</v>
      </c>
      <c r="AS124" s="160" t="str">
        <f>vlookup(AO123, 'Week 1'!$A$2:$H$119, 6, False)</f>
        <v>#N/A</v>
      </c>
      <c r="AT124" s="160" t="str">
        <f>vlookup(AO123, 'Week 1'!$A$2:$H$119, 7, False)</f>
        <v>#N/A</v>
      </c>
      <c r="AU124" s="160" t="str">
        <f>vlookup(AO123, 'Week 1'!$A$2:$H$119, 4, False)</f>
        <v>#N/A</v>
      </c>
      <c r="AV124" s="160" t="str">
        <f>vlookup(AO123, 'Week 1'!$A$2:$H$119, 5, False)</f>
        <v>#N/A</v>
      </c>
      <c r="AW124" s="160" t="str">
        <f>vlookup(AO123, 'Week 1'!$A$2:$H$119, 8, False)</f>
        <v>#N/A</v>
      </c>
      <c r="AX124" s="148" t="str">
        <f t="shared" ref="AX124:AX130" si="280">if(AR124&gt;0, (AR124/(AR124+AW124)), "")</f>
        <v>#N/A</v>
      </c>
      <c r="AY124" s="145" t="s">
        <v>133</v>
      </c>
      <c r="AZ124" s="159" t="str">
        <f t="shared" ref="AZ124:AZ132" si="281">if(BG124&gt;0, "Yes", "")</f>
        <v>#N/A</v>
      </c>
      <c r="BA124" s="159" t="str">
        <f>if(AZ124="Yes", vlookup(AY$1, 'Week 1'!$A$1:$H$119, 5, False), "")</f>
        <v>#N/A</v>
      </c>
      <c r="BB124" s="159" t="str">
        <f>vlookup(AY123, 'Week 1'!$A$2:$H$119, 3, False)</f>
        <v>#N/A</v>
      </c>
      <c r="BC124" s="160" t="str">
        <f>vlookup(AY123, 'Week 1'!$A$2:$H$119, 6, False)</f>
        <v>#N/A</v>
      </c>
      <c r="BD124" s="160" t="str">
        <f>vlookup(AY123, 'Week 1'!$A$2:$H$119, 7, False)</f>
        <v>#N/A</v>
      </c>
      <c r="BE124" s="160" t="str">
        <f>vlookup(AY123, 'Week 1'!$A$2:$H$119, 4, False)</f>
        <v>#N/A</v>
      </c>
      <c r="BF124" s="160" t="str">
        <f>vlookup(AY123, 'Week 1'!$A$2:$H$119, 5, False)</f>
        <v>#N/A</v>
      </c>
      <c r="BG124" s="160" t="str">
        <f>vlookup(AY123, 'Week 1'!$A$2:$H$119, 8, False)</f>
        <v>#N/A</v>
      </c>
      <c r="BH124" s="148" t="str">
        <f t="shared" ref="BH124:BH130" si="282">if(BB124&gt;0, (BB124/(BB124+BG124)), "")</f>
        <v>#N/A</v>
      </c>
      <c r="BI124" s="7"/>
      <c r="BJ124" s="7"/>
      <c r="BK124" s="7"/>
      <c r="BL124" s="7"/>
    </row>
    <row r="125">
      <c r="A125" s="145" t="s">
        <v>135</v>
      </c>
      <c r="B125" s="159" t="str">
        <f t="shared" si="271"/>
        <v>#N/A</v>
      </c>
      <c r="C125" s="159" t="str">
        <f>if(B125="Yes", vlookup(A$1, 'Week 2'!$A$1:$H$119, 5, False), "")</f>
        <v>#N/A</v>
      </c>
      <c r="D125" s="159" t="str">
        <f>vlookup(A123, 'Week 2'!$A$2:$H$119, 3, False)</f>
        <v>#N/A</v>
      </c>
      <c r="E125" s="159" t="str">
        <f>vlookup(A123, 'Week 2'!$A$2:$H$119, 6, False)</f>
        <v>#N/A</v>
      </c>
      <c r="F125" s="159" t="str">
        <f>vlookup(A123, 'Week 2'!$A$2:$H$119, 7, False)</f>
        <v>#N/A</v>
      </c>
      <c r="G125" s="159" t="str">
        <f>vlookup(A123, 'Week 2'!$A$2:$H$119, 4, False)</f>
        <v>#N/A</v>
      </c>
      <c r="H125" s="159" t="str">
        <f>vlookup(A123, 'Week 2'!$A$2:$H$119, 5, False)</f>
        <v>#N/A</v>
      </c>
      <c r="I125" s="159" t="str">
        <f>vlookup(A123, 'Week 2'!$A$2:$H$119, 8, False)</f>
        <v>#N/A</v>
      </c>
      <c r="J125" s="148" t="str">
        <f t="shared" si="272"/>
        <v>#N/A</v>
      </c>
      <c r="K125" s="145" t="s">
        <v>135</v>
      </c>
      <c r="L125" s="159" t="str">
        <f t="shared" si="273"/>
        <v>#N/A</v>
      </c>
      <c r="M125" s="159" t="str">
        <f>if(L125="Yes", vlookup(K$1, 'Week 2'!$A$1:$H$119, 5, False), "")</f>
        <v>#N/A</v>
      </c>
      <c r="N125" s="159" t="str">
        <f>vlookup(K123, 'Week 2'!$A$2:$H$119, 3, False)</f>
        <v>#N/A</v>
      </c>
      <c r="O125" s="159" t="str">
        <f>vlookup(K123, 'Week 2'!$A$2:$H$119, 6, False)</f>
        <v>#N/A</v>
      </c>
      <c r="P125" s="159" t="str">
        <f>vlookup(K123, 'Week 2'!$A$2:$H$119, 7, False)</f>
        <v>#N/A</v>
      </c>
      <c r="Q125" s="159" t="str">
        <f>vlookup(K123, 'Week 2'!$A$2:$H$119, 4, False)</f>
        <v>#N/A</v>
      </c>
      <c r="R125" s="159" t="str">
        <f>vlookup(K123, 'Week 2'!$A$2:$H$119, 5, False)</f>
        <v>#N/A</v>
      </c>
      <c r="S125" s="159" t="str">
        <f>vlookup(K123, 'Week 2'!$A$2:$H$119, 8, False)</f>
        <v>#N/A</v>
      </c>
      <c r="T125" s="148" t="str">
        <f t="shared" si="274"/>
        <v>#N/A</v>
      </c>
      <c r="U125" s="145" t="s">
        <v>135</v>
      </c>
      <c r="V125" s="159" t="str">
        <f t="shared" si="275"/>
        <v>#N/A</v>
      </c>
      <c r="W125" s="159" t="str">
        <f>if(V125="Yes", vlookup(U$1, 'Week 2'!$A$1:$H$119, 5, False), "")</f>
        <v>#N/A</v>
      </c>
      <c r="X125" s="159" t="str">
        <f>vlookup(U123, 'Week 2'!$A$2:$H$119, 3, False)</f>
        <v>#N/A</v>
      </c>
      <c r="Y125" s="159" t="str">
        <f>vlookup(U123, 'Week 2'!$A$2:$H$119, 6, False)</f>
        <v>#N/A</v>
      </c>
      <c r="Z125" s="159" t="str">
        <f>vlookup(U123, 'Week 2'!$A$2:$H$119, 7, False)</f>
        <v>#N/A</v>
      </c>
      <c r="AA125" s="159" t="str">
        <f>vlookup(U123, 'Week 2'!$A$2:$H$119, 4, False)</f>
        <v>#N/A</v>
      </c>
      <c r="AB125" s="159" t="str">
        <f>vlookup(U123, 'Week 2'!$A$2:$H$119, 5, False)</f>
        <v>#N/A</v>
      </c>
      <c r="AC125" s="159" t="str">
        <f>vlookup(U123, 'Week 2'!$A$2:$H$119, 8, False)</f>
        <v>#N/A</v>
      </c>
      <c r="AD125" s="148" t="str">
        <f t="shared" si="276"/>
        <v>#N/A</v>
      </c>
      <c r="AE125" s="145" t="s">
        <v>135</v>
      </c>
      <c r="AF125" s="159" t="str">
        <f t="shared" si="277"/>
        <v>#N/A</v>
      </c>
      <c r="AG125" s="159" t="str">
        <f>if(AF125="Yes", vlookup(AE$1, 'Week 2'!$A$1:$H$119, 5, False), "")</f>
        <v>#N/A</v>
      </c>
      <c r="AH125" s="159" t="str">
        <f>vlookup(AE123, 'Week 2'!$A$2:$H$119, 3, False)</f>
        <v>#N/A</v>
      </c>
      <c r="AI125" s="159" t="str">
        <f>vlookup(AE123, 'Week 2'!$A$2:$H$119, 6, False)</f>
        <v>#N/A</v>
      </c>
      <c r="AJ125" s="159" t="str">
        <f>vlookup(AE123, 'Week 2'!$A$2:$H$119, 7, False)</f>
        <v>#N/A</v>
      </c>
      <c r="AK125" s="159" t="str">
        <f>vlookup(AE123, 'Week 2'!$A$2:$H$119, 4, False)</f>
        <v>#N/A</v>
      </c>
      <c r="AL125" s="159" t="str">
        <f>vlookup(AE123, 'Week 2'!$A$2:$H$119, 5, False)</f>
        <v>#N/A</v>
      </c>
      <c r="AM125" s="159" t="str">
        <f>vlookup(AE123, 'Week 2'!$A$2:$H$119, 8, False)</f>
        <v>#N/A</v>
      </c>
      <c r="AN125" s="148" t="str">
        <f t="shared" si="278"/>
        <v>#N/A</v>
      </c>
      <c r="AO125" s="145" t="s">
        <v>135</v>
      </c>
      <c r="AP125" s="159" t="str">
        <f t="shared" si="279"/>
        <v>#N/A</v>
      </c>
      <c r="AQ125" s="159" t="str">
        <f>if(AP125="Yes", vlookup(AO$1, 'Week 2'!$A$1:$H$119, 5, False), "")</f>
        <v>#N/A</v>
      </c>
      <c r="AR125" s="159" t="str">
        <f>vlookup(AO123, 'Week 2'!$A$2:$H$119, 3, False)</f>
        <v>#N/A</v>
      </c>
      <c r="AS125" s="159" t="str">
        <f>vlookup(AO123, 'Week 2'!$A$2:$H$119, 6, False)</f>
        <v>#N/A</v>
      </c>
      <c r="AT125" s="159" t="str">
        <f>vlookup(AO123, 'Week 2'!$A$2:$H$119, 7, False)</f>
        <v>#N/A</v>
      </c>
      <c r="AU125" s="159" t="str">
        <f>vlookup(AO123, 'Week 2'!$A$2:$H$119, 4, False)</f>
        <v>#N/A</v>
      </c>
      <c r="AV125" s="159" t="str">
        <f>vlookup(AO123, 'Week 2'!$A$2:$H$119, 5, False)</f>
        <v>#N/A</v>
      </c>
      <c r="AW125" s="159" t="str">
        <f>vlookup(AO123, 'Week 2'!$A$2:$H$119, 8, False)</f>
        <v>#N/A</v>
      </c>
      <c r="AX125" s="148" t="str">
        <f t="shared" si="280"/>
        <v>#N/A</v>
      </c>
      <c r="AY125" s="145" t="s">
        <v>135</v>
      </c>
      <c r="AZ125" s="159" t="str">
        <f t="shared" si="281"/>
        <v>#N/A</v>
      </c>
      <c r="BA125" s="159" t="str">
        <f>if(AZ125="Yes", vlookup(AY$1, 'Week 2'!$A$1:$H$119, 5, False), "")</f>
        <v>#N/A</v>
      </c>
      <c r="BB125" s="159" t="str">
        <f>vlookup(AY123, 'Week 2'!$A$2:$H$119, 3, False)</f>
        <v>#N/A</v>
      </c>
      <c r="BC125" s="159" t="str">
        <f>vlookup(AY123, 'Week 2'!$A$2:$H$119, 6, False)</f>
        <v>#N/A</v>
      </c>
      <c r="BD125" s="159" t="str">
        <f>vlookup(AY123, 'Week 2'!$A$2:$H$119, 7, False)</f>
        <v>#N/A</v>
      </c>
      <c r="BE125" s="159" t="str">
        <f>vlookup(AY123, 'Week 2'!$A$2:$H$119, 4, False)</f>
        <v>#N/A</v>
      </c>
      <c r="BF125" s="159" t="str">
        <f>vlookup(AY123, 'Week 2'!$A$2:$H$119, 5, False)</f>
        <v>#N/A</v>
      </c>
      <c r="BG125" s="159" t="str">
        <f>vlookup(AY123, 'Week 2'!$A$2:$H$119, 8, False)</f>
        <v>#N/A</v>
      </c>
      <c r="BH125" s="148" t="str">
        <f t="shared" si="282"/>
        <v>#N/A</v>
      </c>
      <c r="BI125" s="7"/>
      <c r="BJ125" s="7"/>
      <c r="BK125" s="7"/>
      <c r="BL125" s="7"/>
    </row>
    <row r="126">
      <c r="A126" s="145" t="s">
        <v>140</v>
      </c>
      <c r="B126" s="159" t="str">
        <f t="shared" si="271"/>
        <v>#N/A</v>
      </c>
      <c r="C126" s="159" t="str">
        <f>if(B126="Yes", vlookup(A$1, 'Week 3'!$A$1:$H$119, 5, False), "")</f>
        <v>#N/A</v>
      </c>
      <c r="D126" s="159" t="str">
        <f>vlookup(A123, 'Week 3'!$A$2:$H$119, 3, False)</f>
        <v>#N/A</v>
      </c>
      <c r="E126" s="159" t="str">
        <f>vlookup(A123, 'Week 3'!$A$2:$H$119, 6, False)</f>
        <v>#N/A</v>
      </c>
      <c r="F126" s="159" t="str">
        <f>vlookup(A123, 'Week 3'!$A$2:$H$119, 7, False)</f>
        <v>#N/A</v>
      </c>
      <c r="G126" s="159" t="str">
        <f>vlookup(A123, 'Week 3'!$A$2:$H$119, 4, False)</f>
        <v>#N/A</v>
      </c>
      <c r="H126" s="159" t="str">
        <f>vlookup(A123, 'Week 3'!$A$2:$H$119, 5, False)</f>
        <v>#N/A</v>
      </c>
      <c r="I126" s="159" t="str">
        <f>vlookup(A123, 'Week 3'!$A$2:$H$119, 8, False)</f>
        <v>#N/A</v>
      </c>
      <c r="J126" s="148" t="str">
        <f t="shared" si="272"/>
        <v>#N/A</v>
      </c>
      <c r="K126" s="145" t="s">
        <v>140</v>
      </c>
      <c r="L126" s="159" t="str">
        <f t="shared" si="273"/>
        <v>#N/A</v>
      </c>
      <c r="M126" s="159" t="str">
        <f>if(L126="Yes", vlookup(K$1, 'Week 3'!$A$1:$H$119, 5, False), "")</f>
        <v>#N/A</v>
      </c>
      <c r="N126" s="159" t="str">
        <f>vlookup(K123, 'Week 3'!$A$2:$H$119, 3, False)</f>
        <v>#N/A</v>
      </c>
      <c r="O126" s="159" t="str">
        <f>vlookup(K123, 'Week 3'!$A$2:$H$119, 6, False)</f>
        <v>#N/A</v>
      </c>
      <c r="P126" s="159" t="str">
        <f>vlookup(K123, 'Week 3'!$A$2:$H$119, 7, False)</f>
        <v>#N/A</v>
      </c>
      <c r="Q126" s="159" t="str">
        <f>vlookup(K123, 'Week 3'!$A$2:$H$119, 4, False)</f>
        <v>#N/A</v>
      </c>
      <c r="R126" s="159" t="str">
        <f>vlookup(K123, 'Week 3'!$A$2:$H$119, 5, False)</f>
        <v>#N/A</v>
      </c>
      <c r="S126" s="159" t="str">
        <f>vlookup(K123, 'Week 3'!$A$2:$H$119, 8, False)</f>
        <v>#N/A</v>
      </c>
      <c r="T126" s="148" t="str">
        <f t="shared" si="274"/>
        <v>#N/A</v>
      </c>
      <c r="U126" s="145" t="s">
        <v>140</v>
      </c>
      <c r="V126" s="159" t="str">
        <f t="shared" si="275"/>
        <v>#N/A</v>
      </c>
      <c r="W126" s="159" t="str">
        <f>if(V126="Yes", vlookup(U$1, 'Week 3'!$A$1:$H$119, 5, False), "")</f>
        <v>#N/A</v>
      </c>
      <c r="X126" s="159" t="str">
        <f>vlookup(U123, 'Week 3'!$A$2:$H$119, 3, False)</f>
        <v>#N/A</v>
      </c>
      <c r="Y126" s="159" t="str">
        <f>vlookup(U123, 'Week 3'!$A$2:$H$119, 6, False)</f>
        <v>#N/A</v>
      </c>
      <c r="Z126" s="159" t="str">
        <f>vlookup(U123, 'Week 3'!$A$2:$H$119, 7, False)</f>
        <v>#N/A</v>
      </c>
      <c r="AA126" s="159" t="str">
        <f>vlookup(U123, 'Week 3'!$A$2:$H$119, 4, False)</f>
        <v>#N/A</v>
      </c>
      <c r="AB126" s="159" t="str">
        <f>vlookup(U123, 'Week 3'!$A$2:$H$119, 5, False)</f>
        <v>#N/A</v>
      </c>
      <c r="AC126" s="159" t="str">
        <f>vlookup(U123, 'Week 3'!$A$2:$H$119, 8, False)</f>
        <v>#N/A</v>
      </c>
      <c r="AD126" s="148" t="str">
        <f t="shared" si="276"/>
        <v>#N/A</v>
      </c>
      <c r="AE126" s="145" t="s">
        <v>140</v>
      </c>
      <c r="AF126" s="159" t="str">
        <f t="shared" si="277"/>
        <v>#N/A</v>
      </c>
      <c r="AG126" s="159" t="str">
        <f>if(AF126="Yes", vlookup(AE$1, 'Week 3'!$A$1:$H$119, 5, False), "")</f>
        <v>#N/A</v>
      </c>
      <c r="AH126" s="159" t="str">
        <f>vlookup(AE123, 'Week 3'!$A$2:$H$119, 3, False)</f>
        <v>#N/A</v>
      </c>
      <c r="AI126" s="159" t="str">
        <f>vlookup(AE123, 'Week 3'!$A$2:$H$119, 6, False)</f>
        <v>#N/A</v>
      </c>
      <c r="AJ126" s="159" t="str">
        <f>vlookup(AE123, 'Week 3'!$A$2:$H$119, 7, False)</f>
        <v>#N/A</v>
      </c>
      <c r="AK126" s="159" t="str">
        <f>vlookup(AE123, 'Week 3'!$A$2:$H$119, 4, False)</f>
        <v>#N/A</v>
      </c>
      <c r="AL126" s="159" t="str">
        <f>vlookup(AE123, 'Week 3'!$A$2:$H$119, 5, False)</f>
        <v>#N/A</v>
      </c>
      <c r="AM126" s="159" t="str">
        <f>vlookup(AE123, 'Week 3'!$A$2:$H$119, 8, False)</f>
        <v>#N/A</v>
      </c>
      <c r="AN126" s="148" t="str">
        <f t="shared" si="278"/>
        <v>#N/A</v>
      </c>
      <c r="AO126" s="145" t="s">
        <v>140</v>
      </c>
      <c r="AP126" s="159" t="str">
        <f t="shared" si="279"/>
        <v>#N/A</v>
      </c>
      <c r="AQ126" s="159" t="str">
        <f>if(AP126="Yes", vlookup(AO$1, 'Week 3'!$A$1:$H$119, 5, False), "")</f>
        <v>#N/A</v>
      </c>
      <c r="AR126" s="159" t="str">
        <f>vlookup(AO123, 'Week 3'!$A$2:$H$119, 3, False)</f>
        <v>#N/A</v>
      </c>
      <c r="AS126" s="159" t="str">
        <f>vlookup(AO123, 'Week 3'!$A$2:$H$119, 6, False)</f>
        <v>#N/A</v>
      </c>
      <c r="AT126" s="159" t="str">
        <f>vlookup(AO123, 'Week 3'!$A$2:$H$119, 7, False)</f>
        <v>#N/A</v>
      </c>
      <c r="AU126" s="159" t="str">
        <f>vlookup(AO123, 'Week 3'!$A$2:$H$119, 4, False)</f>
        <v>#N/A</v>
      </c>
      <c r="AV126" s="159" t="str">
        <f>vlookup(AO123, 'Week 3'!$A$2:$H$119, 5, False)</f>
        <v>#N/A</v>
      </c>
      <c r="AW126" s="159" t="str">
        <f>vlookup(AO123, 'Week 3'!$A$2:$H$119, 8, False)</f>
        <v>#N/A</v>
      </c>
      <c r="AX126" s="148" t="str">
        <f t="shared" si="280"/>
        <v>#N/A</v>
      </c>
      <c r="AY126" s="145" t="s">
        <v>140</v>
      </c>
      <c r="AZ126" s="159" t="str">
        <f t="shared" si="281"/>
        <v>#N/A</v>
      </c>
      <c r="BA126" s="159" t="str">
        <f>if(AZ126="Yes", vlookup(AY$1, 'Week 3'!$A$1:$H$119, 5, False), "")</f>
        <v>#N/A</v>
      </c>
      <c r="BB126" s="159" t="str">
        <f>vlookup(AY123, 'Week 3'!$A$2:$H$119, 3, False)</f>
        <v>#N/A</v>
      </c>
      <c r="BC126" s="159" t="str">
        <f>vlookup(AY123, 'Week 3'!$A$2:$H$119, 6, False)</f>
        <v>#N/A</v>
      </c>
      <c r="BD126" s="159" t="str">
        <f>vlookup(AY123, 'Week 3'!$A$2:$H$119, 7, False)</f>
        <v>#N/A</v>
      </c>
      <c r="BE126" s="159" t="str">
        <f>vlookup(AY123, 'Week 3'!$A$2:$H$119, 4, False)</f>
        <v>#N/A</v>
      </c>
      <c r="BF126" s="159" t="str">
        <f>vlookup(AY123, 'Week 3'!$A$2:$H$119, 5, False)</f>
        <v>#N/A</v>
      </c>
      <c r="BG126" s="159" t="str">
        <f>vlookup(AY123, 'Week 3'!$A$2:$H$119, 8, False)</f>
        <v>#N/A</v>
      </c>
      <c r="BH126" s="148" t="str">
        <f t="shared" si="282"/>
        <v>#N/A</v>
      </c>
      <c r="BI126" s="7"/>
      <c r="BJ126" s="7"/>
      <c r="BK126" s="7"/>
      <c r="BL126" s="7"/>
    </row>
    <row r="127">
      <c r="A127" s="145" t="s">
        <v>144</v>
      </c>
      <c r="B127" s="159" t="str">
        <f t="shared" si="271"/>
        <v>#N/A</v>
      </c>
      <c r="C127" s="159" t="str">
        <f>if(B127="Yes", vlookup(A$1, 'Week 4'!$A$1:$H$119, 5, False), "")</f>
        <v>#N/A</v>
      </c>
      <c r="D127" s="159" t="str">
        <f>vlookup(A123, 'Week 4'!$A$2:$H$119, 3, False)</f>
        <v>#N/A</v>
      </c>
      <c r="E127" s="159" t="str">
        <f>vlookup(A123, 'Week 4'!$A$2:$H$119, 6, False)</f>
        <v>#N/A</v>
      </c>
      <c r="F127" s="159" t="str">
        <f>vlookup(A123, 'Week 4'!$A$2:$H$119, 7, False)</f>
        <v>#N/A</v>
      </c>
      <c r="G127" s="159" t="str">
        <f>vlookup(A123, 'Week 4'!$A$2:$H$119, 4, False)</f>
        <v>#N/A</v>
      </c>
      <c r="H127" s="159" t="str">
        <f>vlookup(A123, 'Week 4'!$A$2:$H$119, 5, False)</f>
        <v>#N/A</v>
      </c>
      <c r="I127" s="159" t="str">
        <f>vlookup(A123, 'Week 4'!$A$2:$H$119, 8, False)</f>
        <v>#N/A</v>
      </c>
      <c r="J127" s="148" t="str">
        <f t="shared" si="272"/>
        <v>#N/A</v>
      </c>
      <c r="K127" s="145" t="s">
        <v>144</v>
      </c>
      <c r="L127" s="159" t="str">
        <f t="shared" si="273"/>
        <v>#N/A</v>
      </c>
      <c r="M127" s="159" t="str">
        <f>if(L127="Yes", vlookup(K$1, 'Week 4'!$A$1:$H$119, 5, False), "")</f>
        <v>#N/A</v>
      </c>
      <c r="N127" s="159" t="str">
        <f>vlookup(K123, 'Week 4'!$A$2:$H$119, 3, False)</f>
        <v>#N/A</v>
      </c>
      <c r="O127" s="159" t="str">
        <f>vlookup(K123, 'Week 4'!$A$2:$H$119, 6, False)</f>
        <v>#N/A</v>
      </c>
      <c r="P127" s="159" t="str">
        <f>vlookup(K123, 'Week 4'!$A$2:$H$119, 7, False)</f>
        <v>#N/A</v>
      </c>
      <c r="Q127" s="159" t="str">
        <f>vlookup(K123, 'Week 4'!$A$2:$H$119, 4, False)</f>
        <v>#N/A</v>
      </c>
      <c r="R127" s="159" t="str">
        <f>vlookup(K123, 'Week 4'!$A$2:$H$119, 5, False)</f>
        <v>#N/A</v>
      </c>
      <c r="S127" s="159" t="str">
        <f>vlookup(K123, 'Week 4'!$A$2:$H$119, 8, False)</f>
        <v>#N/A</v>
      </c>
      <c r="T127" s="148" t="str">
        <f t="shared" si="274"/>
        <v>#N/A</v>
      </c>
      <c r="U127" s="145" t="s">
        <v>144</v>
      </c>
      <c r="V127" s="159" t="str">
        <f t="shared" si="275"/>
        <v>#N/A</v>
      </c>
      <c r="W127" s="159" t="str">
        <f>if(V127="Yes", vlookup(U$1, 'Week 4'!$A$1:$H$119, 5, False), "")</f>
        <v>#N/A</v>
      </c>
      <c r="X127" s="159" t="str">
        <f>vlookup(U123, 'Week 4'!$A$2:$H$119, 3, False)</f>
        <v>#N/A</v>
      </c>
      <c r="Y127" s="159" t="str">
        <f>vlookup(U123, 'Week 4'!$A$2:$H$119, 6, False)</f>
        <v>#N/A</v>
      </c>
      <c r="Z127" s="159" t="str">
        <f>vlookup(U123, 'Week 4'!$A$2:$H$119, 7, False)</f>
        <v>#N/A</v>
      </c>
      <c r="AA127" s="159" t="str">
        <f>vlookup(U123, 'Week 4'!$A$2:$H$119, 4, False)</f>
        <v>#N/A</v>
      </c>
      <c r="AB127" s="159" t="str">
        <f>vlookup(U123, 'Week 4'!$A$2:$H$119, 5, False)</f>
        <v>#N/A</v>
      </c>
      <c r="AC127" s="159" t="str">
        <f>vlookup(U123, 'Week 4'!$A$2:$H$119, 8, False)</f>
        <v>#N/A</v>
      </c>
      <c r="AD127" s="148" t="str">
        <f t="shared" si="276"/>
        <v>#N/A</v>
      </c>
      <c r="AE127" s="145" t="s">
        <v>144</v>
      </c>
      <c r="AF127" s="159" t="str">
        <f t="shared" si="277"/>
        <v>#N/A</v>
      </c>
      <c r="AG127" s="159" t="str">
        <f>if(AF127="Yes", vlookup(AE$1, 'Week 4'!$A$1:$H$119, 5, False), "")</f>
        <v>#N/A</v>
      </c>
      <c r="AH127" s="159" t="str">
        <f>vlookup(AE123, 'Week 4'!$A$2:$H$119, 3, False)</f>
        <v>#N/A</v>
      </c>
      <c r="AI127" s="159" t="str">
        <f>vlookup(AE123, 'Week 4'!$A$2:$H$119, 6, False)</f>
        <v>#N/A</v>
      </c>
      <c r="AJ127" s="159" t="str">
        <f>vlookup(AE123, 'Week 4'!$A$2:$H$119, 7, False)</f>
        <v>#N/A</v>
      </c>
      <c r="AK127" s="159" t="str">
        <f>vlookup(AE123, 'Week 4'!$A$2:$H$119, 4, False)</f>
        <v>#N/A</v>
      </c>
      <c r="AL127" s="159" t="str">
        <f>vlookup(AE123, 'Week 4'!$A$2:$H$119, 5, False)</f>
        <v>#N/A</v>
      </c>
      <c r="AM127" s="159" t="str">
        <f>vlookup(AE123, 'Week 4'!$A$2:$H$119, 8, False)</f>
        <v>#N/A</v>
      </c>
      <c r="AN127" s="148" t="str">
        <f t="shared" si="278"/>
        <v>#N/A</v>
      </c>
      <c r="AO127" s="145" t="s">
        <v>144</v>
      </c>
      <c r="AP127" s="159" t="str">
        <f t="shared" si="279"/>
        <v>#N/A</v>
      </c>
      <c r="AQ127" s="159" t="str">
        <f>if(AP127="Yes", vlookup(AO$1, 'Week 4'!$A$1:$H$119, 5, False), "")</f>
        <v>#N/A</v>
      </c>
      <c r="AR127" s="159" t="str">
        <f>vlookup(AO123, 'Week 4'!$A$2:$H$119, 3, False)</f>
        <v>#N/A</v>
      </c>
      <c r="AS127" s="159" t="str">
        <f>vlookup(AO123, 'Week 4'!$A$2:$H$119, 6, False)</f>
        <v>#N/A</v>
      </c>
      <c r="AT127" s="159" t="str">
        <f>vlookup(AO123, 'Week 4'!$A$2:$H$119, 7, False)</f>
        <v>#N/A</v>
      </c>
      <c r="AU127" s="159" t="str">
        <f>vlookup(AO123, 'Week 4'!$A$2:$H$119, 4, False)</f>
        <v>#N/A</v>
      </c>
      <c r="AV127" s="159" t="str">
        <f>vlookup(AO123, 'Week 4'!$A$2:$H$119, 5, False)</f>
        <v>#N/A</v>
      </c>
      <c r="AW127" s="159" t="str">
        <f>vlookup(AO123, 'Week 4'!$A$2:$H$119, 8, False)</f>
        <v>#N/A</v>
      </c>
      <c r="AX127" s="148" t="str">
        <f t="shared" si="280"/>
        <v>#N/A</v>
      </c>
      <c r="AY127" s="145" t="s">
        <v>144</v>
      </c>
      <c r="AZ127" s="159" t="str">
        <f t="shared" si="281"/>
        <v>#N/A</v>
      </c>
      <c r="BA127" s="159" t="str">
        <f>if(AZ127="Yes", vlookup(AY$1, 'Week 4'!$A$1:$H$119, 5, False), "")</f>
        <v>#N/A</v>
      </c>
      <c r="BB127" s="159" t="str">
        <f>vlookup(AY123, 'Week 4'!$A$2:$H$119, 3, False)</f>
        <v>#N/A</v>
      </c>
      <c r="BC127" s="159" t="str">
        <f>vlookup(AY123, 'Week 4'!$A$2:$H$119, 6, False)</f>
        <v>#N/A</v>
      </c>
      <c r="BD127" s="159" t="str">
        <f>vlookup(AY123, 'Week 4'!$A$2:$H$119, 7, False)</f>
        <v>#N/A</v>
      </c>
      <c r="BE127" s="159" t="str">
        <f>vlookup(AY123, 'Week 4'!$A$2:$H$119, 4, False)</f>
        <v>#N/A</v>
      </c>
      <c r="BF127" s="159" t="str">
        <f>vlookup(AY123, 'Week 4'!$A$2:$H$119, 5, False)</f>
        <v>#N/A</v>
      </c>
      <c r="BG127" s="159" t="str">
        <f>vlookup(AY123, 'Week 4'!$A$2:$H$119, 8, False)</f>
        <v>#N/A</v>
      </c>
      <c r="BH127" s="148" t="str">
        <f t="shared" si="282"/>
        <v>#N/A</v>
      </c>
      <c r="BI127" s="7"/>
      <c r="BJ127" s="7"/>
      <c r="BK127" s="7"/>
      <c r="BL127" s="7"/>
    </row>
    <row r="128">
      <c r="A128" s="145" t="s">
        <v>146</v>
      </c>
      <c r="B128" s="159" t="str">
        <f t="shared" si="271"/>
        <v>#N/A</v>
      </c>
      <c r="C128" s="159" t="str">
        <f>if(B128="Yes", vlookup(A$1, 'Week 5'!$A$1:$H$119, 5, False), "")</f>
        <v>#N/A</v>
      </c>
      <c r="D128" s="159" t="str">
        <f>vlookup(A123, 'Week 5'!$A$2:$H$119, 3, False)</f>
        <v>#N/A</v>
      </c>
      <c r="E128" s="159" t="str">
        <f>vlookup(A123, 'Week 5'!$A$2:$H$119, 6, False)</f>
        <v>#N/A</v>
      </c>
      <c r="F128" s="159" t="str">
        <f>vlookup(A123, 'Week 5'!$A$2:$H$119, 7, False)</f>
        <v>#N/A</v>
      </c>
      <c r="G128" s="159" t="str">
        <f>vlookup(A123, 'Week 5'!$A$2:$H$119, 4, False)</f>
        <v>#N/A</v>
      </c>
      <c r="H128" s="159" t="str">
        <f>vlookup(A123, 'Week 5'!$A$2:$H$119, 5, False)</f>
        <v>#N/A</v>
      </c>
      <c r="I128" s="159" t="str">
        <f>vlookup(A123, 'Week 5'!$A$2:$H$119, 8, False)</f>
        <v>#N/A</v>
      </c>
      <c r="J128" s="148" t="str">
        <f t="shared" si="272"/>
        <v>#N/A</v>
      </c>
      <c r="K128" s="145" t="s">
        <v>146</v>
      </c>
      <c r="L128" s="159" t="str">
        <f t="shared" si="273"/>
        <v>#N/A</v>
      </c>
      <c r="M128" s="159" t="str">
        <f>if(L128="Yes", vlookup(K$1, 'Week 5'!$A$1:$H$119, 5, False), "")</f>
        <v>#N/A</v>
      </c>
      <c r="N128" s="159" t="str">
        <f>vlookup(K123, 'Week 5'!$A$2:$H$119, 3, False)</f>
        <v>#N/A</v>
      </c>
      <c r="O128" s="159" t="str">
        <f>vlookup(K123, 'Week 5'!$A$2:$H$119, 6, False)</f>
        <v>#N/A</v>
      </c>
      <c r="P128" s="159" t="str">
        <f>vlookup(K123, 'Week 5'!$A$2:$H$119, 7, False)</f>
        <v>#N/A</v>
      </c>
      <c r="Q128" s="159" t="str">
        <f>vlookup(K123, 'Week 5'!$A$2:$H$119, 4, False)</f>
        <v>#N/A</v>
      </c>
      <c r="R128" s="159" t="str">
        <f>vlookup(K123, 'Week 5'!$A$2:$H$119, 5, False)</f>
        <v>#N/A</v>
      </c>
      <c r="S128" s="159" t="str">
        <f>vlookup(K123, 'Week 5'!$A$2:$H$119, 8, False)</f>
        <v>#N/A</v>
      </c>
      <c r="T128" s="148" t="str">
        <f t="shared" si="274"/>
        <v>#N/A</v>
      </c>
      <c r="U128" s="145" t="s">
        <v>146</v>
      </c>
      <c r="V128" s="159" t="str">
        <f t="shared" si="275"/>
        <v>#N/A</v>
      </c>
      <c r="W128" s="159" t="str">
        <f>if(V128="Yes", vlookup(U$1, 'Week 5'!$A$1:$H$119, 5, False), "")</f>
        <v>#N/A</v>
      </c>
      <c r="X128" s="159" t="str">
        <f>vlookup(U123, 'Week 5'!$A$2:$H$119, 3, False)</f>
        <v>#N/A</v>
      </c>
      <c r="Y128" s="159" t="str">
        <f>vlookup(U123, 'Week 5'!$A$2:$H$119, 6, False)</f>
        <v>#N/A</v>
      </c>
      <c r="Z128" s="159" t="str">
        <f>vlookup(U123, 'Week 5'!$A$2:$H$119, 7, False)</f>
        <v>#N/A</v>
      </c>
      <c r="AA128" s="159" t="str">
        <f>vlookup(U123, 'Week 5'!$A$2:$H$119, 4, False)</f>
        <v>#N/A</v>
      </c>
      <c r="AB128" s="159" t="str">
        <f>vlookup(U123, 'Week 5'!$A$2:$H$119, 5, False)</f>
        <v>#N/A</v>
      </c>
      <c r="AC128" s="159" t="str">
        <f>vlookup(U123, 'Week 5'!$A$2:$H$119, 8, False)</f>
        <v>#N/A</v>
      </c>
      <c r="AD128" s="148" t="str">
        <f t="shared" si="276"/>
        <v>#N/A</v>
      </c>
      <c r="AE128" s="145" t="s">
        <v>146</v>
      </c>
      <c r="AF128" s="159" t="str">
        <f t="shared" si="277"/>
        <v>#N/A</v>
      </c>
      <c r="AG128" s="159" t="str">
        <f>if(AF128="Yes", vlookup(AE$1, 'Week 5'!$A$1:$H$119, 5, False), "")</f>
        <v>#N/A</v>
      </c>
      <c r="AH128" s="159" t="str">
        <f>vlookup(AE123, 'Week 5'!$A$2:$H$119, 3, False)</f>
        <v>#N/A</v>
      </c>
      <c r="AI128" s="159" t="str">
        <f>vlookup(AE123, 'Week 5'!$A$2:$H$119, 6, False)</f>
        <v>#N/A</v>
      </c>
      <c r="AJ128" s="159" t="str">
        <f>vlookup(AE123, 'Week 5'!$A$2:$H$119, 7, False)</f>
        <v>#N/A</v>
      </c>
      <c r="AK128" s="159" t="str">
        <f>vlookup(AE123, 'Week 5'!$A$2:$H$119, 4, False)</f>
        <v>#N/A</v>
      </c>
      <c r="AL128" s="159" t="str">
        <f>vlookup(AE123, 'Week 5'!$A$2:$H$119, 5, False)</f>
        <v>#N/A</v>
      </c>
      <c r="AM128" s="159" t="str">
        <f>vlookup(AE123, 'Week 5'!$A$2:$H$119, 8, False)</f>
        <v>#N/A</v>
      </c>
      <c r="AN128" s="148" t="str">
        <f t="shared" si="278"/>
        <v>#N/A</v>
      </c>
      <c r="AO128" s="145" t="s">
        <v>146</v>
      </c>
      <c r="AP128" s="159" t="str">
        <f t="shared" si="279"/>
        <v>#N/A</v>
      </c>
      <c r="AQ128" s="159" t="str">
        <f>if(AP128="Yes", vlookup(AO$1, 'Week 5'!$A$1:$H$119, 5, False), "")</f>
        <v>#N/A</v>
      </c>
      <c r="AR128" s="159" t="str">
        <f>vlookup(AO123, 'Week 5'!$A$2:$H$119, 3, False)</f>
        <v>#N/A</v>
      </c>
      <c r="AS128" s="159" t="str">
        <f>vlookup(AO123, 'Week 5'!$A$2:$H$119, 6, False)</f>
        <v>#N/A</v>
      </c>
      <c r="AT128" s="159" t="str">
        <f>vlookup(AO123, 'Week 5'!$A$2:$H$119, 7, False)</f>
        <v>#N/A</v>
      </c>
      <c r="AU128" s="159" t="str">
        <f>vlookup(AO123, 'Week 5'!$A$2:$H$119, 4, False)</f>
        <v>#N/A</v>
      </c>
      <c r="AV128" s="159" t="str">
        <f>vlookup(AO123, 'Week 5'!$A$2:$H$119, 5, False)</f>
        <v>#N/A</v>
      </c>
      <c r="AW128" s="159" t="str">
        <f>vlookup(AO123, 'Week 5'!$A$2:$H$119, 8, False)</f>
        <v>#N/A</v>
      </c>
      <c r="AX128" s="148" t="str">
        <f t="shared" si="280"/>
        <v>#N/A</v>
      </c>
      <c r="AY128" s="145" t="s">
        <v>146</v>
      </c>
      <c r="AZ128" s="159" t="str">
        <f t="shared" si="281"/>
        <v>#N/A</v>
      </c>
      <c r="BA128" s="159" t="str">
        <f>if(AZ128="Yes", vlookup(AY$1, 'Week 5'!$A$1:$H$119, 5, False), "")</f>
        <v>#N/A</v>
      </c>
      <c r="BB128" s="159" t="str">
        <f>vlookup(AY123, 'Week 5'!$A$2:$H$119, 3, False)</f>
        <v>#N/A</v>
      </c>
      <c r="BC128" s="159" t="str">
        <f>vlookup(AY123, 'Week 5'!$A$2:$H$119, 6, False)</f>
        <v>#N/A</v>
      </c>
      <c r="BD128" s="159" t="str">
        <f>vlookup(AY123, 'Week 5'!$A$2:$H$119, 7, False)</f>
        <v>#N/A</v>
      </c>
      <c r="BE128" s="159" t="str">
        <f>vlookup(AY123, 'Week 5'!$A$2:$H$119, 4, False)</f>
        <v>#N/A</v>
      </c>
      <c r="BF128" s="159" t="str">
        <f>vlookup(AY123, 'Week 5'!$A$2:$H$119, 5, False)</f>
        <v>#N/A</v>
      </c>
      <c r="BG128" s="159" t="str">
        <f>vlookup(AY123, 'Week 5'!$A$2:$H$119, 8, False)</f>
        <v>#N/A</v>
      </c>
      <c r="BH128" s="148" t="str">
        <f t="shared" si="282"/>
        <v>#N/A</v>
      </c>
      <c r="BI128" s="7"/>
      <c r="BJ128" s="7"/>
      <c r="BK128" s="7"/>
      <c r="BL128" s="7"/>
    </row>
    <row r="129">
      <c r="A129" s="145" t="s">
        <v>148</v>
      </c>
      <c r="B129" s="159" t="str">
        <f t="shared" si="271"/>
        <v>#N/A</v>
      </c>
      <c r="C129" s="159" t="str">
        <f>if(B129="Yes", vlookup(A$1, 'Week 6'!$A$1:$H$119, 5, False), "")</f>
        <v>#N/A</v>
      </c>
      <c r="D129" s="159" t="str">
        <f>vlookup(A123, 'Week 6'!$A$2:$H$119, 3, False)</f>
        <v>#N/A</v>
      </c>
      <c r="E129" s="159" t="str">
        <f>vlookup(A123, 'Week 6'!$A$2:$H$119, 6, False)</f>
        <v>#N/A</v>
      </c>
      <c r="F129" s="159" t="str">
        <f>vlookup(A123, 'Week 6'!$A$2:$H$119, 7, False)</f>
        <v>#N/A</v>
      </c>
      <c r="G129" s="159" t="str">
        <f>vlookup(A123, 'Week 6'!$A$2:$H$119, 4, False)</f>
        <v>#N/A</v>
      </c>
      <c r="H129" s="159" t="str">
        <f>vlookup(A123, 'Week 6'!$A$2:$H$119, 5, False)</f>
        <v>#N/A</v>
      </c>
      <c r="I129" s="159" t="str">
        <f>vlookup(A123, 'Week 6'!$A$2:$H$119, 8, False)</f>
        <v>#N/A</v>
      </c>
      <c r="J129" s="148" t="str">
        <f t="shared" si="272"/>
        <v>#N/A</v>
      </c>
      <c r="K129" s="145" t="s">
        <v>148</v>
      </c>
      <c r="L129" s="159" t="str">
        <f t="shared" si="273"/>
        <v>#N/A</v>
      </c>
      <c r="M129" s="159" t="str">
        <f>if(L129="Yes", vlookup(K$1, 'Week 6'!$A$1:$H$119, 5, False), "")</f>
        <v>#N/A</v>
      </c>
      <c r="N129" s="159" t="str">
        <f>vlookup(K123, 'Week 6'!$A$2:$H$119, 3, False)</f>
        <v>#N/A</v>
      </c>
      <c r="O129" s="159" t="str">
        <f>vlookup(K123, 'Week 6'!$A$2:$H$119, 6, False)</f>
        <v>#N/A</v>
      </c>
      <c r="P129" s="159" t="str">
        <f>vlookup(K123, 'Week 6'!$A$2:$H$119, 7, False)</f>
        <v>#N/A</v>
      </c>
      <c r="Q129" s="159" t="str">
        <f>vlookup(K123, 'Week 6'!$A$2:$H$119, 4, False)</f>
        <v>#N/A</v>
      </c>
      <c r="R129" s="159" t="str">
        <f>vlookup(K123, 'Week 6'!$A$2:$H$119, 5, False)</f>
        <v>#N/A</v>
      </c>
      <c r="S129" s="159" t="str">
        <f>vlookup(K123, 'Week 6'!$A$2:$H$119, 8, False)</f>
        <v>#N/A</v>
      </c>
      <c r="T129" s="148" t="str">
        <f t="shared" si="274"/>
        <v>#N/A</v>
      </c>
      <c r="U129" s="145" t="s">
        <v>148</v>
      </c>
      <c r="V129" s="159" t="str">
        <f t="shared" si="275"/>
        <v>#N/A</v>
      </c>
      <c r="W129" s="159" t="str">
        <f>if(V129="Yes", vlookup(U$1, 'Week 6'!$A$1:$H$119, 5, False), "")</f>
        <v>#N/A</v>
      </c>
      <c r="X129" s="159" t="str">
        <f>vlookup(U123, 'Week 6'!$A$2:$H$119, 3, False)</f>
        <v>#N/A</v>
      </c>
      <c r="Y129" s="159" t="str">
        <f>vlookup(U123, 'Week 6'!$A$2:$H$119, 6, False)</f>
        <v>#N/A</v>
      </c>
      <c r="Z129" s="159" t="str">
        <f>vlookup(U123, 'Week 6'!$A$2:$H$119, 7, False)</f>
        <v>#N/A</v>
      </c>
      <c r="AA129" s="159" t="str">
        <f>vlookup(U123, 'Week 6'!$A$2:$H$119, 4, False)</f>
        <v>#N/A</v>
      </c>
      <c r="AB129" s="159" t="str">
        <f>vlookup(U123, 'Week 6'!$A$2:$H$119, 5, False)</f>
        <v>#N/A</v>
      </c>
      <c r="AC129" s="159" t="str">
        <f>vlookup(U123, 'Week 6'!$A$2:$H$119, 8, False)</f>
        <v>#N/A</v>
      </c>
      <c r="AD129" s="148" t="str">
        <f t="shared" si="276"/>
        <v>#N/A</v>
      </c>
      <c r="AE129" s="145" t="s">
        <v>148</v>
      </c>
      <c r="AF129" s="159" t="str">
        <f t="shared" si="277"/>
        <v>#N/A</v>
      </c>
      <c r="AG129" s="159" t="str">
        <f>if(AF129="Yes", vlookup(AE$1, 'Week 6'!$A$1:$H$119, 5, False), "")</f>
        <v>#N/A</v>
      </c>
      <c r="AH129" s="159" t="str">
        <f>vlookup(AE123, 'Week 6'!$A$2:$H$119, 3, False)</f>
        <v>#N/A</v>
      </c>
      <c r="AI129" s="159" t="str">
        <f>vlookup(AE123, 'Week 6'!$A$2:$H$119, 6, False)</f>
        <v>#N/A</v>
      </c>
      <c r="AJ129" s="159" t="str">
        <f>vlookup(AE123, 'Week 6'!$A$2:$H$119, 7, False)</f>
        <v>#N/A</v>
      </c>
      <c r="AK129" s="159" t="str">
        <f>vlookup(AE123, 'Week 6'!$A$2:$H$119, 4, False)</f>
        <v>#N/A</v>
      </c>
      <c r="AL129" s="159" t="str">
        <f>vlookup(AE123, 'Week 6'!$A$2:$H$119, 5, False)</f>
        <v>#N/A</v>
      </c>
      <c r="AM129" s="159" t="str">
        <f>vlookup(AE123, 'Week 6'!$A$2:$H$119, 8, False)</f>
        <v>#N/A</v>
      </c>
      <c r="AN129" s="148" t="str">
        <f t="shared" si="278"/>
        <v>#N/A</v>
      </c>
      <c r="AO129" s="145" t="s">
        <v>148</v>
      </c>
      <c r="AP129" s="159" t="str">
        <f t="shared" si="279"/>
        <v>#N/A</v>
      </c>
      <c r="AQ129" s="159" t="str">
        <f>if(AP129="Yes", vlookup(AO$1, 'Week 6'!$A$1:$H$119, 5, False), "")</f>
        <v>#N/A</v>
      </c>
      <c r="AR129" s="159" t="str">
        <f>vlookup(AO123, 'Week 6'!$A$2:$H$119, 3, False)</f>
        <v>#N/A</v>
      </c>
      <c r="AS129" s="159" t="str">
        <f>vlookup(AO123, 'Week 6'!$A$2:$H$119, 6, False)</f>
        <v>#N/A</v>
      </c>
      <c r="AT129" s="159" t="str">
        <f>vlookup(AO123, 'Week 6'!$A$2:$H$119, 7, False)</f>
        <v>#N/A</v>
      </c>
      <c r="AU129" s="159" t="str">
        <f>vlookup(AO123, 'Week 6'!$A$2:$H$119, 4, False)</f>
        <v>#N/A</v>
      </c>
      <c r="AV129" s="159" t="str">
        <f>vlookup(AO123, 'Week 6'!$A$2:$H$119, 5, False)</f>
        <v>#N/A</v>
      </c>
      <c r="AW129" s="159" t="str">
        <f>vlookup(AO123, 'Week 6'!$A$2:$H$119, 8, False)</f>
        <v>#N/A</v>
      </c>
      <c r="AX129" s="148" t="str">
        <f t="shared" si="280"/>
        <v>#N/A</v>
      </c>
      <c r="AY129" s="145" t="s">
        <v>148</v>
      </c>
      <c r="AZ129" s="159" t="str">
        <f t="shared" si="281"/>
        <v>#N/A</v>
      </c>
      <c r="BA129" s="159" t="str">
        <f>if(AZ129="Yes", vlookup(AY$1, 'Week 6'!$A$1:$H$119, 5, False), "")</f>
        <v>#N/A</v>
      </c>
      <c r="BB129" s="159" t="str">
        <f>vlookup(AY123, 'Week 6'!$A$2:$H$119, 3, False)</f>
        <v>#N/A</v>
      </c>
      <c r="BC129" s="159" t="str">
        <f>vlookup(AY123, 'Week 6'!$A$2:$H$119, 6, False)</f>
        <v>#N/A</v>
      </c>
      <c r="BD129" s="159" t="str">
        <f>vlookup(AY123, 'Week 6'!$A$2:$H$119, 7, False)</f>
        <v>#N/A</v>
      </c>
      <c r="BE129" s="159" t="str">
        <f>vlookup(AY123, 'Week 6'!$A$2:$H$119, 4, False)</f>
        <v>#N/A</v>
      </c>
      <c r="BF129" s="159" t="str">
        <f>vlookup(AY123, 'Week 6'!$A$2:$H$119, 5, False)</f>
        <v>#N/A</v>
      </c>
      <c r="BG129" s="159" t="str">
        <f>vlookup(AY123, 'Week 6'!$A$2:$H$119, 8, False)</f>
        <v>#N/A</v>
      </c>
      <c r="BH129" s="148" t="str">
        <f t="shared" si="282"/>
        <v>#N/A</v>
      </c>
      <c r="BI129" s="7"/>
      <c r="BJ129" s="7"/>
      <c r="BK129" s="7"/>
      <c r="BL129" s="7"/>
    </row>
    <row r="130">
      <c r="A130" s="145" t="s">
        <v>154</v>
      </c>
      <c r="B130" s="159" t="str">
        <f t="shared" si="271"/>
        <v>#N/A</v>
      </c>
      <c r="C130" s="159" t="str">
        <f>if(B130="Yes", vlookup(A$1, 'Week 7'!$A$1:$H$119, 5, False), "")</f>
        <v>#N/A</v>
      </c>
      <c r="D130" s="159" t="str">
        <f>vlookup(A123, 'Week 7'!$A$2:$H$119, 3, False)</f>
        <v>#N/A</v>
      </c>
      <c r="E130" s="159" t="str">
        <f>vlookup(A123, 'Week 7'!$A$2:$H$119, 6, False)</f>
        <v>#N/A</v>
      </c>
      <c r="F130" s="159" t="str">
        <f>vlookup(A123, 'Week 7'!$A$2:$H$119, 7, False)</f>
        <v>#N/A</v>
      </c>
      <c r="G130" s="159" t="str">
        <f>vlookup(A123, 'Week 7'!$A$2:$H$119, 4, False)</f>
        <v>#N/A</v>
      </c>
      <c r="H130" s="159" t="str">
        <f>vlookup(A123, 'Week 7'!$A$2:$H$119, 5, False)</f>
        <v>#N/A</v>
      </c>
      <c r="I130" s="159" t="str">
        <f>vlookup(A123, 'Week 7'!$A$2:$H$119, 8, False)</f>
        <v>#N/A</v>
      </c>
      <c r="J130" s="148" t="str">
        <f t="shared" si="272"/>
        <v>#N/A</v>
      </c>
      <c r="K130" s="145" t="s">
        <v>154</v>
      </c>
      <c r="L130" s="159" t="str">
        <f t="shared" si="273"/>
        <v>#N/A</v>
      </c>
      <c r="M130" s="159" t="str">
        <f>if(L130="Yes", vlookup(K$1, 'Week 7'!$A$1:$H$119, 5, False), "")</f>
        <v>#N/A</v>
      </c>
      <c r="N130" s="159" t="str">
        <f>vlookup(K123, 'Week 7'!$A$2:$H$119, 3, False)</f>
        <v>#N/A</v>
      </c>
      <c r="O130" s="159" t="str">
        <f>vlookup(K123, 'Week 7'!$A$2:$H$119, 6, False)</f>
        <v>#N/A</v>
      </c>
      <c r="P130" s="159" t="str">
        <f>vlookup(K123, 'Week 7'!$A$2:$H$119, 7, False)</f>
        <v>#N/A</v>
      </c>
      <c r="Q130" s="159" t="str">
        <f>vlookup(K123, 'Week 7'!$A$2:$H$119, 4, False)</f>
        <v>#N/A</v>
      </c>
      <c r="R130" s="159" t="str">
        <f>vlookup(K123, 'Week 7'!$A$2:$H$119, 5, False)</f>
        <v>#N/A</v>
      </c>
      <c r="S130" s="159" t="str">
        <f>vlookup(K123, 'Week 7'!$A$2:$H$119, 8, False)</f>
        <v>#N/A</v>
      </c>
      <c r="T130" s="148" t="str">
        <f t="shared" si="274"/>
        <v>#N/A</v>
      </c>
      <c r="U130" s="145" t="s">
        <v>154</v>
      </c>
      <c r="V130" s="159" t="str">
        <f t="shared" si="275"/>
        <v>#N/A</v>
      </c>
      <c r="W130" s="159" t="str">
        <f>if(V130="Yes", vlookup(U$1, 'Week 7'!$A$1:$H$119, 5, False), "")</f>
        <v>#N/A</v>
      </c>
      <c r="X130" s="159" t="str">
        <f>vlookup(U123, 'Week 7'!$A$2:$H$119, 3, False)</f>
        <v>#N/A</v>
      </c>
      <c r="Y130" s="159" t="str">
        <f>vlookup(U123, 'Week 7'!$A$2:$H$119, 6, False)</f>
        <v>#N/A</v>
      </c>
      <c r="Z130" s="159" t="str">
        <f>vlookup(U123, 'Week 7'!$A$2:$H$119, 7, False)</f>
        <v>#N/A</v>
      </c>
      <c r="AA130" s="159" t="str">
        <f>vlookup(U123, 'Week 7'!$A$2:$H$119, 4, False)</f>
        <v>#N/A</v>
      </c>
      <c r="AB130" s="159" t="str">
        <f>vlookup(U123, 'Week 7'!$A$2:$H$119, 5, False)</f>
        <v>#N/A</v>
      </c>
      <c r="AC130" s="159" t="str">
        <f>vlookup(U123, 'Week 7'!$A$2:$H$119, 8, False)</f>
        <v>#N/A</v>
      </c>
      <c r="AD130" s="148" t="str">
        <f t="shared" si="276"/>
        <v>#N/A</v>
      </c>
      <c r="AE130" s="145" t="s">
        <v>154</v>
      </c>
      <c r="AF130" s="159" t="str">
        <f t="shared" si="277"/>
        <v>#N/A</v>
      </c>
      <c r="AG130" s="159" t="str">
        <f>if(AF130="Yes", vlookup(AE$1, 'Week 7'!$A$1:$H$119, 5, False), "")</f>
        <v>#N/A</v>
      </c>
      <c r="AH130" s="159" t="str">
        <f>vlookup(AE123, 'Week 7'!$A$2:$H$119, 3, False)</f>
        <v>#N/A</v>
      </c>
      <c r="AI130" s="159" t="str">
        <f>vlookup(AE123, 'Week 7'!$A$2:$H$119, 6, False)</f>
        <v>#N/A</v>
      </c>
      <c r="AJ130" s="159" t="str">
        <f>vlookup(AE123, 'Week 7'!$A$2:$H$119, 7, False)</f>
        <v>#N/A</v>
      </c>
      <c r="AK130" s="159" t="str">
        <f>vlookup(AE123, 'Week 7'!$A$2:$H$119, 4, False)</f>
        <v>#N/A</v>
      </c>
      <c r="AL130" s="159" t="str">
        <f>vlookup(AE123, 'Week 7'!$A$2:$H$119, 5, False)</f>
        <v>#N/A</v>
      </c>
      <c r="AM130" s="159" t="str">
        <f>vlookup(AE123, 'Week 7'!$A$2:$H$119, 8, False)</f>
        <v>#N/A</v>
      </c>
      <c r="AN130" s="148" t="str">
        <f t="shared" si="278"/>
        <v>#N/A</v>
      </c>
      <c r="AO130" s="145" t="s">
        <v>154</v>
      </c>
      <c r="AP130" s="159" t="str">
        <f t="shared" si="279"/>
        <v>#N/A</v>
      </c>
      <c r="AQ130" s="159" t="str">
        <f>if(AP130="Yes", vlookup(AO$1, 'Week 7'!$A$1:$H$119, 5, False), "")</f>
        <v>#N/A</v>
      </c>
      <c r="AR130" s="159" t="str">
        <f>vlookup(AO123, 'Week 7'!$A$2:$H$119, 3, False)</f>
        <v>#N/A</v>
      </c>
      <c r="AS130" s="159" t="str">
        <f>vlookup(AO123, 'Week 7'!$A$2:$H$119, 6, False)</f>
        <v>#N/A</v>
      </c>
      <c r="AT130" s="159" t="str">
        <f>vlookup(AO123, 'Week 7'!$A$2:$H$119, 7, False)</f>
        <v>#N/A</v>
      </c>
      <c r="AU130" s="159" t="str">
        <f>vlookup(AO123, 'Week 7'!$A$2:$H$119, 4, False)</f>
        <v>#N/A</v>
      </c>
      <c r="AV130" s="159" t="str">
        <f>vlookup(AO123, 'Week 7'!$A$2:$H$119, 5, False)</f>
        <v>#N/A</v>
      </c>
      <c r="AW130" s="159" t="str">
        <f>vlookup(AO123, 'Week 7'!$A$2:$H$119, 8, False)</f>
        <v>#N/A</v>
      </c>
      <c r="AX130" s="148" t="str">
        <f t="shared" si="280"/>
        <v>#N/A</v>
      </c>
      <c r="AY130" s="145" t="s">
        <v>154</v>
      </c>
      <c r="AZ130" s="159" t="str">
        <f t="shared" si="281"/>
        <v>#N/A</v>
      </c>
      <c r="BA130" s="159" t="str">
        <f>if(AZ130="Yes", vlookup(AY$1, 'Week 7'!$A$1:$H$119, 5, False), "")</f>
        <v>#N/A</v>
      </c>
      <c r="BB130" s="159" t="str">
        <f>vlookup(AY123, 'Week 7'!$A$2:$H$119, 3, False)</f>
        <v>#N/A</v>
      </c>
      <c r="BC130" s="159" t="str">
        <f>vlookup(AY123, 'Week 7'!$A$2:$H$119, 6, False)</f>
        <v>#N/A</v>
      </c>
      <c r="BD130" s="159" t="str">
        <f>vlookup(AY123, 'Week 7'!$A$2:$H$119, 7, False)</f>
        <v>#N/A</v>
      </c>
      <c r="BE130" s="159" t="str">
        <f>vlookup(AY123, 'Week 7'!$A$2:$H$119, 4, False)</f>
        <v>#N/A</v>
      </c>
      <c r="BF130" s="159" t="str">
        <f>vlookup(AY123, 'Week 7'!$A$2:$H$119, 5, False)</f>
        <v>#N/A</v>
      </c>
      <c r="BG130" s="159" t="str">
        <f>vlookup(AY123, 'Week 7'!$A$2:$H$119, 8, False)</f>
        <v>#N/A</v>
      </c>
      <c r="BH130" s="148" t="str">
        <f t="shared" si="282"/>
        <v>#N/A</v>
      </c>
      <c r="BI130" s="7"/>
      <c r="BJ130" s="7"/>
      <c r="BK130" s="7"/>
      <c r="BL130" s="7"/>
    </row>
    <row r="131">
      <c r="A131" s="145" t="s">
        <v>211</v>
      </c>
      <c r="B131" s="4" t="str">
        <f t="shared" si="271"/>
        <v/>
      </c>
      <c r="C131" s="4" t="str">
        <f>if(B131="Yes", vlookup(A$1, 'Week 1'!$A$1:$H$119, 5, False), "")</f>
        <v/>
      </c>
      <c r="D131" s="4"/>
      <c r="E131" s="4"/>
      <c r="F131" s="4"/>
      <c r="G131" s="4"/>
      <c r="H131" s="4"/>
      <c r="I131" s="4"/>
      <c r="J131" s="123"/>
      <c r="K131" s="145" t="s">
        <v>211</v>
      </c>
      <c r="L131" s="4" t="str">
        <f t="shared" si="273"/>
        <v/>
      </c>
      <c r="M131" s="4" t="str">
        <f>if(L131="Yes", vlookup(K$1, 'Week 1'!$A$1:$H$119, 5, False), "")</f>
        <v/>
      </c>
      <c r="N131" s="4"/>
      <c r="O131" s="4"/>
      <c r="P131" s="4"/>
      <c r="Q131" s="4"/>
      <c r="R131" s="4"/>
      <c r="S131" s="4"/>
      <c r="T131" s="123"/>
      <c r="U131" s="145" t="s">
        <v>211</v>
      </c>
      <c r="V131" s="4" t="str">
        <f t="shared" si="275"/>
        <v/>
      </c>
      <c r="W131" s="4" t="str">
        <f>if(V131="Yes", vlookup(U$1, 'Week 1'!$A$1:$H$119, 5, False), "")</f>
        <v/>
      </c>
      <c r="X131" s="4"/>
      <c r="Y131" s="4"/>
      <c r="Z131" s="4"/>
      <c r="AA131" s="4"/>
      <c r="AB131" s="4"/>
      <c r="AC131" s="4"/>
      <c r="AD131" s="123"/>
      <c r="AE131" s="145" t="s">
        <v>211</v>
      </c>
      <c r="AF131" s="4" t="str">
        <f t="shared" si="277"/>
        <v/>
      </c>
      <c r="AG131" s="4" t="str">
        <f>if(AF131="Yes", vlookup(AE$1, 'Week 1'!$A$1:$H$119, 5, False), "")</f>
        <v/>
      </c>
      <c r="AH131" s="4"/>
      <c r="AI131" s="4"/>
      <c r="AJ131" s="4"/>
      <c r="AK131" s="4"/>
      <c r="AL131" s="4"/>
      <c r="AM131" s="4"/>
      <c r="AN131" s="123"/>
      <c r="AO131" s="145" t="s">
        <v>211</v>
      </c>
      <c r="AP131" s="4" t="str">
        <f t="shared" si="279"/>
        <v/>
      </c>
      <c r="AQ131" s="4" t="str">
        <f>if(AP131="Yes", vlookup(AO$1, 'Week 1'!$A$1:$H$119, 5, False), "")</f>
        <v/>
      </c>
      <c r="AR131" s="4"/>
      <c r="AS131" s="4"/>
      <c r="AT131" s="4"/>
      <c r="AU131" s="4"/>
      <c r="AV131" s="4"/>
      <c r="AW131" s="4"/>
      <c r="AX131" s="123"/>
      <c r="AY131" s="145" t="s">
        <v>211</v>
      </c>
      <c r="AZ131" s="4" t="str">
        <f t="shared" si="281"/>
        <v/>
      </c>
      <c r="BA131" s="4" t="str">
        <f>if(AZ131="Yes", vlookup(AY$1, 'Week 1'!$A$1:$H$119, 5, False), "")</f>
        <v/>
      </c>
      <c r="BB131" s="4"/>
      <c r="BC131" s="4"/>
      <c r="BD131" s="4"/>
      <c r="BE131" s="4"/>
      <c r="BF131" s="4"/>
      <c r="BG131" s="4"/>
      <c r="BH131" s="123"/>
      <c r="BI131" s="7"/>
      <c r="BJ131" s="7"/>
      <c r="BK131" s="7"/>
      <c r="BL131" s="7"/>
    </row>
    <row r="132">
      <c r="A132" s="145" t="s">
        <v>212</v>
      </c>
      <c r="B132" s="4" t="str">
        <f t="shared" si="271"/>
        <v/>
      </c>
      <c r="C132" s="4" t="str">
        <f>if(B132="Yes", vlookup(A$1, 'Week 1'!$A$1:$H$119, 5, False), "")</f>
        <v/>
      </c>
      <c r="D132" s="4"/>
      <c r="E132" s="4"/>
      <c r="F132" s="4"/>
      <c r="G132" s="4"/>
      <c r="H132" s="4"/>
      <c r="I132" s="4"/>
      <c r="J132" s="123"/>
      <c r="K132" s="145" t="s">
        <v>212</v>
      </c>
      <c r="L132" s="4" t="str">
        <f t="shared" si="273"/>
        <v/>
      </c>
      <c r="M132" s="4" t="str">
        <f>if(L132="Yes", vlookup(K$1, 'Week 1'!$A$1:$H$119, 5, False), "")</f>
        <v/>
      </c>
      <c r="N132" s="4"/>
      <c r="O132" s="4"/>
      <c r="P132" s="4"/>
      <c r="Q132" s="4"/>
      <c r="R132" s="4"/>
      <c r="S132" s="4"/>
      <c r="T132" s="123"/>
      <c r="U132" s="145" t="s">
        <v>212</v>
      </c>
      <c r="V132" s="4" t="str">
        <f t="shared" si="275"/>
        <v/>
      </c>
      <c r="W132" s="4" t="str">
        <f>if(V132="Yes", vlookup(U$1, 'Week 1'!$A$1:$H$119, 5, False), "")</f>
        <v/>
      </c>
      <c r="X132" s="4"/>
      <c r="Y132" s="4"/>
      <c r="Z132" s="4"/>
      <c r="AA132" s="4"/>
      <c r="AB132" s="4"/>
      <c r="AC132" s="4"/>
      <c r="AD132" s="123"/>
      <c r="AE132" s="145" t="s">
        <v>212</v>
      </c>
      <c r="AF132" s="4" t="str">
        <f t="shared" si="277"/>
        <v/>
      </c>
      <c r="AG132" s="4" t="str">
        <f>if(AF132="Yes", vlookup(AE$1, 'Week 1'!$A$1:$H$119, 5, False), "")</f>
        <v/>
      </c>
      <c r="AH132" s="4"/>
      <c r="AI132" s="4"/>
      <c r="AJ132" s="4"/>
      <c r="AK132" s="4"/>
      <c r="AL132" s="4"/>
      <c r="AM132" s="4"/>
      <c r="AN132" s="123"/>
      <c r="AO132" s="145" t="s">
        <v>212</v>
      </c>
      <c r="AP132" s="4" t="str">
        <f t="shared" si="279"/>
        <v/>
      </c>
      <c r="AQ132" s="4" t="str">
        <f>if(AP132="Yes", vlookup(AO$1, 'Week 1'!$A$1:$H$119, 5, False), "")</f>
        <v/>
      </c>
      <c r="AR132" s="4"/>
      <c r="AS132" s="4"/>
      <c r="AT132" s="4"/>
      <c r="AU132" s="4"/>
      <c r="AV132" s="4"/>
      <c r="AW132" s="4"/>
      <c r="AX132" s="123"/>
      <c r="AY132" s="145" t="s">
        <v>212</v>
      </c>
      <c r="AZ132" s="4" t="str">
        <f t="shared" si="281"/>
        <v/>
      </c>
      <c r="BA132" s="4" t="str">
        <f>if(AZ132="Yes", vlookup(AY$1, 'Week 1'!$A$1:$H$119, 5, False), "")</f>
        <v/>
      </c>
      <c r="BB132" s="4"/>
      <c r="BC132" s="4"/>
      <c r="BD132" s="4"/>
      <c r="BE132" s="4"/>
      <c r="BF132" s="4"/>
      <c r="BG132" s="4"/>
      <c r="BH132" s="123"/>
      <c r="BI132" s="7"/>
      <c r="BJ132" s="7"/>
      <c r="BK132" s="7"/>
      <c r="BL132" s="7"/>
    </row>
    <row r="133">
      <c r="A133" s="2" t="s">
        <v>213</v>
      </c>
      <c r="B133" s="149">
        <f>countif(B124:B132, "Yes")</f>
        <v>0</v>
      </c>
      <c r="C133" s="153" t="str">
        <f>countif(C124:C132, "Win")/(countif(C124:C132, "Win")+countif(C124:C132, "Loss"))</f>
        <v>#DIV/0!</v>
      </c>
      <c r="D133" s="151" t="str">
        <f t="shared" ref="D133:I133" si="283">average(D124:D132)</f>
        <v>#N/A</v>
      </c>
      <c r="E133" s="151" t="str">
        <f t="shared" si="283"/>
        <v>#N/A</v>
      </c>
      <c r="F133" s="151" t="str">
        <f t="shared" si="283"/>
        <v>#N/A</v>
      </c>
      <c r="G133" s="151" t="str">
        <f t="shared" si="283"/>
        <v>#N/A</v>
      </c>
      <c r="H133" s="151" t="str">
        <f t="shared" si="283"/>
        <v>#N/A</v>
      </c>
      <c r="I133" s="152" t="str">
        <f t="shared" si="283"/>
        <v>#N/A</v>
      </c>
      <c r="J133" s="153" t="str">
        <f>D133/(I133+D133)</f>
        <v>#N/A</v>
      </c>
      <c r="K133" s="2" t="s">
        <v>213</v>
      </c>
      <c r="L133" s="149">
        <f>countif(L124:L132, "Yes")</f>
        <v>0</v>
      </c>
      <c r="M133" s="153" t="str">
        <f>countif(M124:M132, "Win")/(countif(M124:M132, "Win")+countif(M124:M132, "Loss"))</f>
        <v>#DIV/0!</v>
      </c>
      <c r="N133" s="151" t="str">
        <f t="shared" ref="N133:S133" si="284">average(N124:N132)</f>
        <v>#N/A</v>
      </c>
      <c r="O133" s="151" t="str">
        <f t="shared" si="284"/>
        <v>#N/A</v>
      </c>
      <c r="P133" s="151" t="str">
        <f t="shared" si="284"/>
        <v>#N/A</v>
      </c>
      <c r="Q133" s="151" t="str">
        <f t="shared" si="284"/>
        <v>#N/A</v>
      </c>
      <c r="R133" s="151" t="str">
        <f t="shared" si="284"/>
        <v>#N/A</v>
      </c>
      <c r="S133" s="152" t="str">
        <f t="shared" si="284"/>
        <v>#N/A</v>
      </c>
      <c r="T133" s="153" t="str">
        <f>N133/(S133+N133)</f>
        <v>#N/A</v>
      </c>
      <c r="U133" s="2" t="s">
        <v>213</v>
      </c>
      <c r="V133" s="149">
        <f>countif(V124:V132, "Yes")</f>
        <v>0</v>
      </c>
      <c r="W133" s="153" t="str">
        <f>countif(W124:W132, "Win")/(countif(W124:W132, "Win")+countif(W124:W132, "Loss"))</f>
        <v>#DIV/0!</v>
      </c>
      <c r="X133" s="151" t="str">
        <f t="shared" ref="X133:AC133" si="285">average(X124:X132)</f>
        <v>#N/A</v>
      </c>
      <c r="Y133" s="151" t="str">
        <f t="shared" si="285"/>
        <v>#N/A</v>
      </c>
      <c r="Z133" s="151" t="str">
        <f t="shared" si="285"/>
        <v>#N/A</v>
      </c>
      <c r="AA133" s="151" t="str">
        <f t="shared" si="285"/>
        <v>#N/A</v>
      </c>
      <c r="AB133" s="151" t="str">
        <f t="shared" si="285"/>
        <v>#N/A</v>
      </c>
      <c r="AC133" s="152" t="str">
        <f t="shared" si="285"/>
        <v>#N/A</v>
      </c>
      <c r="AD133" s="153" t="str">
        <f>X133/(AC133+X133)</f>
        <v>#N/A</v>
      </c>
      <c r="AE133" s="2" t="s">
        <v>213</v>
      </c>
      <c r="AF133" s="149">
        <f>countif(AF124:AF132, "Yes")</f>
        <v>0</v>
      </c>
      <c r="AG133" s="153" t="str">
        <f>countif(AG124:AG132, "Win")/(countif(AG124:AG132, "Win")+countif(AG124:AG132, "Loss"))</f>
        <v>#DIV/0!</v>
      </c>
      <c r="AH133" s="151" t="str">
        <f t="shared" ref="AH133:AM133" si="286">average(AH124:AH132)</f>
        <v>#N/A</v>
      </c>
      <c r="AI133" s="151" t="str">
        <f t="shared" si="286"/>
        <v>#N/A</v>
      </c>
      <c r="AJ133" s="151" t="str">
        <f t="shared" si="286"/>
        <v>#N/A</v>
      </c>
      <c r="AK133" s="151" t="str">
        <f t="shared" si="286"/>
        <v>#N/A</v>
      </c>
      <c r="AL133" s="151" t="str">
        <f t="shared" si="286"/>
        <v>#N/A</v>
      </c>
      <c r="AM133" s="152" t="str">
        <f t="shared" si="286"/>
        <v>#N/A</v>
      </c>
      <c r="AN133" s="153" t="str">
        <f>AH133/(AM133+AH133)</f>
        <v>#N/A</v>
      </c>
      <c r="AO133" s="2" t="s">
        <v>213</v>
      </c>
      <c r="AP133" s="149">
        <f>countif(AP124:AP132, "Yes")</f>
        <v>0</v>
      </c>
      <c r="AQ133" s="153" t="str">
        <f>countif(AQ124:AQ132, "Win")/(countif(AQ124:AQ132, "Win")+countif(AQ124:AQ132, "Loss"))</f>
        <v>#DIV/0!</v>
      </c>
      <c r="AR133" s="151" t="str">
        <f t="shared" ref="AR133:AW133" si="287">average(AR124:AR132)</f>
        <v>#N/A</v>
      </c>
      <c r="AS133" s="151" t="str">
        <f t="shared" si="287"/>
        <v>#N/A</v>
      </c>
      <c r="AT133" s="151" t="str">
        <f t="shared" si="287"/>
        <v>#N/A</v>
      </c>
      <c r="AU133" s="151" t="str">
        <f t="shared" si="287"/>
        <v>#N/A</v>
      </c>
      <c r="AV133" s="151" t="str">
        <f t="shared" si="287"/>
        <v>#N/A</v>
      </c>
      <c r="AW133" s="152" t="str">
        <f t="shared" si="287"/>
        <v>#N/A</v>
      </c>
      <c r="AX133" s="153" t="str">
        <f>AR133/(AW133+AR133)</f>
        <v>#N/A</v>
      </c>
      <c r="AY133" s="2" t="s">
        <v>213</v>
      </c>
      <c r="AZ133" s="149">
        <f>countif(AZ124:AZ132, "Yes")</f>
        <v>0</v>
      </c>
      <c r="BA133" s="153" t="str">
        <f>countif(BA124:BA132, "Win")/(countif(BA124:BA132, "Win")+countif(BA124:BA132, "Loss"))</f>
        <v>#DIV/0!</v>
      </c>
      <c r="BB133" s="151" t="str">
        <f t="shared" ref="BB133:BG133" si="288">average(BB124:BB132)</f>
        <v>#N/A</v>
      </c>
      <c r="BC133" s="151" t="str">
        <f t="shared" si="288"/>
        <v>#N/A</v>
      </c>
      <c r="BD133" s="151" t="str">
        <f t="shared" si="288"/>
        <v>#N/A</v>
      </c>
      <c r="BE133" s="151" t="str">
        <f t="shared" si="288"/>
        <v>#N/A</v>
      </c>
      <c r="BF133" s="151" t="str">
        <f t="shared" si="288"/>
        <v>#N/A</v>
      </c>
      <c r="BG133" s="152" t="str">
        <f t="shared" si="288"/>
        <v>#N/A</v>
      </c>
      <c r="BH133" s="153" t="str">
        <f>BB133/(BG133+BB133)</f>
        <v>#N/A</v>
      </c>
      <c r="BI133" s="7"/>
      <c r="BJ133" s="7"/>
      <c r="BK133" s="7"/>
      <c r="BL133" s="7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7"/>
      <c r="V134" s="4"/>
      <c r="W134" s="4"/>
      <c r="X134" s="4"/>
      <c r="Y134" s="4"/>
      <c r="Z134" s="4"/>
      <c r="AA134" s="4"/>
      <c r="AB134" s="4"/>
      <c r="AC134" s="4"/>
      <c r="AD134" s="4"/>
      <c r="AE134" s="7"/>
      <c r="AF134" s="4"/>
      <c r="AG134" s="4"/>
      <c r="AH134" s="4"/>
      <c r="AI134" s="4"/>
      <c r="AJ134" s="4"/>
      <c r="AK134" s="4"/>
      <c r="AL134" s="4"/>
      <c r="AM134" s="4"/>
      <c r="AN134" s="4"/>
      <c r="AO134" s="7"/>
      <c r="AP134" s="4"/>
      <c r="AQ134" s="4"/>
      <c r="AR134" s="4"/>
      <c r="AS134" s="4"/>
      <c r="AT134" s="4"/>
      <c r="AU134" s="4"/>
      <c r="AV134" s="4"/>
      <c r="AW134" s="4"/>
      <c r="AX134" s="4"/>
      <c r="AY134" s="7"/>
      <c r="AZ134" s="4"/>
      <c r="BA134" s="4"/>
      <c r="BB134" s="4"/>
      <c r="BC134" s="4"/>
      <c r="BD134" s="4"/>
      <c r="BE134" s="4"/>
      <c r="BF134" s="4"/>
      <c r="BG134" s="4"/>
      <c r="BH134" s="4"/>
      <c r="BI134" s="7"/>
      <c r="BJ134" s="7"/>
      <c r="BK134" s="7"/>
      <c r="BL134" s="7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7"/>
      <c r="V135" s="4"/>
      <c r="W135" s="4"/>
      <c r="X135" s="4"/>
      <c r="Y135" s="4"/>
      <c r="Z135" s="4"/>
      <c r="AA135" s="4"/>
      <c r="AB135" s="4"/>
      <c r="AC135" s="4"/>
      <c r="AD135" s="4"/>
      <c r="AE135" s="7"/>
      <c r="AF135" s="4"/>
      <c r="AG135" s="4"/>
      <c r="AH135" s="4"/>
      <c r="AI135" s="4"/>
      <c r="AJ135" s="4"/>
      <c r="AK135" s="4"/>
      <c r="AL135" s="4"/>
      <c r="AM135" s="4"/>
      <c r="AN135" s="4"/>
      <c r="AO135" s="7"/>
      <c r="AP135" s="4"/>
      <c r="AQ135" s="4"/>
      <c r="AR135" s="4"/>
      <c r="AS135" s="4"/>
      <c r="AT135" s="4"/>
      <c r="AU135" s="4"/>
      <c r="AV135" s="4"/>
      <c r="AW135" s="4"/>
      <c r="AX135" s="4"/>
      <c r="AY135" s="7"/>
      <c r="AZ135" s="4"/>
      <c r="BA135" s="4"/>
      <c r="BB135" s="4"/>
      <c r="BC135" s="4"/>
      <c r="BD135" s="4"/>
      <c r="BE135" s="4"/>
      <c r="BF135" s="4"/>
      <c r="BG135" s="4"/>
      <c r="BH135" s="4"/>
      <c r="BI135" s="7"/>
      <c r="BJ135" s="7"/>
      <c r="BK135" s="7"/>
      <c r="BL135" s="7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7"/>
      <c r="V136" s="4"/>
      <c r="W136" s="4"/>
      <c r="X136" s="4"/>
      <c r="Y136" s="4"/>
      <c r="Z136" s="4"/>
      <c r="AA136" s="4"/>
      <c r="AB136" s="4"/>
      <c r="AC136" s="4"/>
      <c r="AD136" s="4"/>
      <c r="AE136" s="7"/>
      <c r="AF136" s="4"/>
      <c r="AG136" s="4"/>
      <c r="AH136" s="4"/>
      <c r="AI136" s="4"/>
      <c r="AJ136" s="4"/>
      <c r="AK136" s="4"/>
      <c r="AL136" s="4"/>
      <c r="AM136" s="4"/>
      <c r="AN136" s="4"/>
      <c r="AO136" s="7"/>
      <c r="AP136" s="4"/>
      <c r="AQ136" s="4"/>
      <c r="AR136" s="4"/>
      <c r="AS136" s="4"/>
      <c r="AT136" s="4"/>
      <c r="AU136" s="4"/>
      <c r="AV136" s="4"/>
      <c r="AW136" s="4"/>
      <c r="AX136" s="4"/>
      <c r="AY136" s="7"/>
      <c r="AZ136" s="4"/>
      <c r="BA136" s="4"/>
      <c r="BB136" s="4"/>
      <c r="BC136" s="4"/>
      <c r="BD136" s="4"/>
      <c r="BE136" s="4"/>
      <c r="BF136" s="4"/>
      <c r="BG136" s="4"/>
      <c r="BH136" s="4"/>
      <c r="BI136" s="7"/>
      <c r="BJ136" s="7"/>
      <c r="BK136" s="7"/>
      <c r="BL136" s="7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7"/>
      <c r="V137" s="4"/>
      <c r="W137" s="4"/>
      <c r="X137" s="4"/>
      <c r="Y137" s="4"/>
      <c r="Z137" s="4"/>
      <c r="AA137" s="4"/>
      <c r="AB137" s="4"/>
      <c r="AC137" s="4"/>
      <c r="AD137" s="4"/>
      <c r="AE137" s="7"/>
      <c r="AF137" s="4"/>
      <c r="AG137" s="4"/>
      <c r="AH137" s="4"/>
      <c r="AI137" s="4"/>
      <c r="AJ137" s="4"/>
      <c r="AK137" s="4"/>
      <c r="AL137" s="4"/>
      <c r="AM137" s="4"/>
      <c r="AN137" s="4"/>
      <c r="AO137" s="7"/>
      <c r="AP137" s="4"/>
      <c r="AQ137" s="4"/>
      <c r="AR137" s="4"/>
      <c r="AS137" s="4"/>
      <c r="AT137" s="4"/>
      <c r="AU137" s="4"/>
      <c r="AV137" s="4"/>
      <c r="AW137" s="4"/>
      <c r="AX137" s="4"/>
      <c r="AY137" s="7"/>
      <c r="AZ137" s="4"/>
      <c r="BA137" s="4"/>
      <c r="BB137" s="4"/>
      <c r="BC137" s="4"/>
      <c r="BD137" s="4"/>
      <c r="BE137" s="4"/>
      <c r="BF137" s="4"/>
      <c r="BG137" s="4"/>
      <c r="BH137" s="4"/>
      <c r="BI137" s="7"/>
      <c r="BJ137" s="7"/>
      <c r="BK137" s="7"/>
      <c r="BL137" s="7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7"/>
      <c r="V138" s="4"/>
      <c r="W138" s="4"/>
      <c r="X138" s="4"/>
      <c r="Y138" s="4"/>
      <c r="Z138" s="4"/>
      <c r="AA138" s="4"/>
      <c r="AB138" s="4"/>
      <c r="AC138" s="4"/>
      <c r="AD138" s="4"/>
      <c r="AE138" s="7"/>
      <c r="AF138" s="4"/>
      <c r="AG138" s="4"/>
      <c r="AH138" s="4"/>
      <c r="AI138" s="4"/>
      <c r="AJ138" s="4"/>
      <c r="AK138" s="4"/>
      <c r="AL138" s="4"/>
      <c r="AM138" s="4"/>
      <c r="AN138" s="4"/>
      <c r="AO138" s="7"/>
      <c r="AP138" s="4"/>
      <c r="AQ138" s="4"/>
      <c r="AR138" s="4"/>
      <c r="AS138" s="4"/>
      <c r="AT138" s="4"/>
      <c r="AU138" s="4"/>
      <c r="AV138" s="4"/>
      <c r="AW138" s="4"/>
      <c r="AX138" s="4"/>
      <c r="AY138" s="7"/>
      <c r="AZ138" s="4"/>
      <c r="BA138" s="4"/>
      <c r="BB138" s="4"/>
      <c r="BC138" s="4"/>
      <c r="BD138" s="4"/>
      <c r="BE138" s="4"/>
      <c r="BF138" s="4"/>
      <c r="BG138" s="4"/>
      <c r="BH138" s="4"/>
      <c r="BI138" s="7"/>
      <c r="BJ138" s="7"/>
      <c r="BK138" s="7"/>
      <c r="BL138" s="7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7"/>
      <c r="V139" s="4"/>
      <c r="W139" s="4"/>
      <c r="X139" s="4"/>
      <c r="Y139" s="4"/>
      <c r="Z139" s="4"/>
      <c r="AA139" s="4"/>
      <c r="AB139" s="4"/>
      <c r="AC139" s="4"/>
      <c r="AD139" s="4"/>
      <c r="AE139" s="7"/>
      <c r="AF139" s="4"/>
      <c r="AG139" s="4"/>
      <c r="AH139" s="4"/>
      <c r="AI139" s="4"/>
      <c r="AJ139" s="4"/>
      <c r="AK139" s="4"/>
      <c r="AL139" s="4"/>
      <c r="AM139" s="4"/>
      <c r="AN139" s="4"/>
      <c r="AO139" s="7"/>
      <c r="AP139" s="4"/>
      <c r="AQ139" s="4"/>
      <c r="AR139" s="4"/>
      <c r="AS139" s="4"/>
      <c r="AT139" s="4"/>
      <c r="AU139" s="4"/>
      <c r="AV139" s="4"/>
      <c r="AW139" s="4"/>
      <c r="AX139" s="4"/>
      <c r="AY139" s="7"/>
      <c r="AZ139" s="4"/>
      <c r="BA139" s="4"/>
      <c r="BB139" s="4"/>
      <c r="BC139" s="4"/>
      <c r="BD139" s="4"/>
      <c r="BE139" s="4"/>
      <c r="BF139" s="4"/>
      <c r="BG139" s="4"/>
      <c r="BH139" s="4"/>
      <c r="BI139" s="7"/>
      <c r="BJ139" s="7"/>
      <c r="BK139" s="7"/>
      <c r="BL139" s="7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7"/>
      <c r="V140" s="4"/>
      <c r="W140" s="4"/>
      <c r="X140" s="4"/>
      <c r="Y140" s="4"/>
      <c r="Z140" s="4"/>
      <c r="AA140" s="4"/>
      <c r="AB140" s="4"/>
      <c r="AC140" s="4"/>
      <c r="AD140" s="4"/>
      <c r="AE140" s="7"/>
      <c r="AF140" s="4"/>
      <c r="AG140" s="4"/>
      <c r="AH140" s="4"/>
      <c r="AI140" s="4"/>
      <c r="AJ140" s="4"/>
      <c r="AK140" s="4"/>
      <c r="AL140" s="4"/>
      <c r="AM140" s="4"/>
      <c r="AN140" s="4"/>
      <c r="AO140" s="7"/>
      <c r="AP140" s="4"/>
      <c r="AQ140" s="4"/>
      <c r="AR140" s="4"/>
      <c r="AS140" s="4"/>
      <c r="AT140" s="4"/>
      <c r="AU140" s="4"/>
      <c r="AV140" s="4"/>
      <c r="AW140" s="4"/>
      <c r="AX140" s="4"/>
      <c r="AY140" s="7"/>
      <c r="AZ140" s="4"/>
      <c r="BA140" s="4"/>
      <c r="BB140" s="4"/>
      <c r="BC140" s="4"/>
      <c r="BD140" s="4"/>
      <c r="BE140" s="4"/>
      <c r="BF140" s="4"/>
      <c r="BG140" s="4"/>
      <c r="BH140" s="4"/>
      <c r="BI140" s="7"/>
      <c r="BJ140" s="7"/>
      <c r="BK140" s="7"/>
      <c r="BL140" s="7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7"/>
      <c r="V141" s="4"/>
      <c r="W141" s="4"/>
      <c r="X141" s="4"/>
      <c r="Y141" s="4"/>
      <c r="Z141" s="4"/>
      <c r="AA141" s="4"/>
      <c r="AB141" s="4"/>
      <c r="AC141" s="4"/>
      <c r="AD141" s="4"/>
      <c r="AE141" s="7"/>
      <c r="AF141" s="4"/>
      <c r="AG141" s="4"/>
      <c r="AH141" s="4"/>
      <c r="AI141" s="4"/>
      <c r="AJ141" s="4"/>
      <c r="AK141" s="4"/>
      <c r="AL141" s="4"/>
      <c r="AM141" s="4"/>
      <c r="AN141" s="4"/>
      <c r="AO141" s="7"/>
      <c r="AP141" s="4"/>
      <c r="AQ141" s="4"/>
      <c r="AR141" s="4"/>
      <c r="AS141" s="4"/>
      <c r="AT141" s="4"/>
      <c r="AU141" s="4"/>
      <c r="AV141" s="4"/>
      <c r="AW141" s="4"/>
      <c r="AX141" s="4"/>
      <c r="AY141" s="7"/>
      <c r="AZ141" s="4"/>
      <c r="BA141" s="4"/>
      <c r="BB141" s="4"/>
      <c r="BC141" s="4"/>
      <c r="BD141" s="4"/>
      <c r="BE141" s="4"/>
      <c r="BF141" s="4"/>
      <c r="BG141" s="4"/>
      <c r="BH141" s="4"/>
      <c r="BI141" s="7"/>
      <c r="BJ141" s="7"/>
      <c r="BK141" s="7"/>
      <c r="BL141" s="7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7"/>
      <c r="V142" s="4"/>
      <c r="W142" s="4"/>
      <c r="X142" s="4"/>
      <c r="Y142" s="4"/>
      <c r="Z142" s="4"/>
      <c r="AA142" s="4"/>
      <c r="AB142" s="4"/>
      <c r="AC142" s="4"/>
      <c r="AD142" s="4"/>
      <c r="AE142" s="7"/>
      <c r="AF142" s="4"/>
      <c r="AG142" s="4"/>
      <c r="AH142" s="4"/>
      <c r="AI142" s="4"/>
      <c r="AJ142" s="4"/>
      <c r="AK142" s="4"/>
      <c r="AL142" s="4"/>
      <c r="AM142" s="4"/>
      <c r="AN142" s="4"/>
      <c r="AO142" s="7"/>
      <c r="AP142" s="4"/>
      <c r="AQ142" s="4"/>
      <c r="AR142" s="4"/>
      <c r="AS142" s="4"/>
      <c r="AT142" s="4"/>
      <c r="AU142" s="4"/>
      <c r="AV142" s="4"/>
      <c r="AW142" s="4"/>
      <c r="AX142" s="4"/>
      <c r="AY142" s="7"/>
      <c r="AZ142" s="4"/>
      <c r="BA142" s="4"/>
      <c r="BB142" s="4"/>
      <c r="BC142" s="4"/>
      <c r="BD142" s="4"/>
      <c r="BE142" s="4"/>
      <c r="BF142" s="4"/>
      <c r="BG142" s="4"/>
      <c r="BH142" s="4"/>
      <c r="BI142" s="7"/>
      <c r="BJ142" s="7"/>
      <c r="BK142" s="7"/>
      <c r="BL142" s="7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7"/>
      <c r="V143" s="4"/>
      <c r="W143" s="4"/>
      <c r="X143" s="4"/>
      <c r="Y143" s="4"/>
      <c r="Z143" s="4"/>
      <c r="AA143" s="4"/>
      <c r="AB143" s="4"/>
      <c r="AC143" s="4"/>
      <c r="AD143" s="4"/>
      <c r="AE143" s="7"/>
      <c r="AF143" s="4"/>
      <c r="AG143" s="4"/>
      <c r="AH143" s="4"/>
      <c r="AI143" s="4"/>
      <c r="AJ143" s="4"/>
      <c r="AK143" s="4"/>
      <c r="AL143" s="4"/>
      <c r="AM143" s="4"/>
      <c r="AN143" s="4"/>
      <c r="AO143" s="7"/>
      <c r="AP143" s="4"/>
      <c r="AQ143" s="4"/>
      <c r="AR143" s="4"/>
      <c r="AS143" s="4"/>
      <c r="AT143" s="4"/>
      <c r="AU143" s="4"/>
      <c r="AV143" s="4"/>
      <c r="AW143" s="4"/>
      <c r="AX143" s="4"/>
      <c r="AY143" s="7"/>
      <c r="AZ143" s="4"/>
      <c r="BA143" s="4"/>
      <c r="BB143" s="4"/>
      <c r="BC143" s="4"/>
      <c r="BD143" s="4"/>
      <c r="BE143" s="4"/>
      <c r="BF143" s="4"/>
      <c r="BG143" s="4"/>
      <c r="BH143" s="4"/>
      <c r="BI143" s="7"/>
      <c r="BJ143" s="7"/>
      <c r="BK143" s="7"/>
      <c r="BL143" s="7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7"/>
      <c r="V144" s="4"/>
      <c r="W144" s="4"/>
      <c r="X144" s="4"/>
      <c r="Y144" s="4"/>
      <c r="Z144" s="4"/>
      <c r="AA144" s="4"/>
      <c r="AB144" s="4"/>
      <c r="AC144" s="4"/>
      <c r="AD144" s="4"/>
      <c r="AE144" s="7"/>
      <c r="AF144" s="4"/>
      <c r="AG144" s="4"/>
      <c r="AH144" s="4"/>
      <c r="AI144" s="4"/>
      <c r="AJ144" s="4"/>
      <c r="AK144" s="4"/>
      <c r="AL144" s="4"/>
      <c r="AM144" s="4"/>
      <c r="AN144" s="4"/>
      <c r="AO144" s="7"/>
      <c r="AP144" s="4"/>
      <c r="AQ144" s="4"/>
      <c r="AR144" s="4"/>
      <c r="AS144" s="4"/>
      <c r="AT144" s="4"/>
      <c r="AU144" s="4"/>
      <c r="AV144" s="4"/>
      <c r="AW144" s="4"/>
      <c r="AX144" s="4"/>
      <c r="AY144" s="7"/>
      <c r="AZ144" s="4"/>
      <c r="BA144" s="4"/>
      <c r="BB144" s="4"/>
      <c r="BC144" s="4"/>
      <c r="BD144" s="4"/>
      <c r="BE144" s="4"/>
      <c r="BF144" s="4"/>
      <c r="BG144" s="4"/>
      <c r="BH144" s="4"/>
      <c r="BI144" s="7"/>
      <c r="BJ144" s="7"/>
      <c r="BK144" s="7"/>
      <c r="BL144" s="7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7"/>
      <c r="V145" s="4"/>
      <c r="W145" s="4"/>
      <c r="X145" s="4"/>
      <c r="Y145" s="4"/>
      <c r="Z145" s="4"/>
      <c r="AA145" s="4"/>
      <c r="AB145" s="4"/>
      <c r="AC145" s="4"/>
      <c r="AD145" s="4"/>
      <c r="AE145" s="7"/>
      <c r="AF145" s="4"/>
      <c r="AG145" s="4"/>
      <c r="AH145" s="4"/>
      <c r="AI145" s="4"/>
      <c r="AJ145" s="4"/>
      <c r="AK145" s="4"/>
      <c r="AL145" s="4"/>
      <c r="AM145" s="4"/>
      <c r="AN145" s="4"/>
      <c r="AO145" s="7"/>
      <c r="AP145" s="4"/>
      <c r="AQ145" s="4"/>
      <c r="AR145" s="4"/>
      <c r="AS145" s="4"/>
      <c r="AT145" s="4"/>
      <c r="AU145" s="4"/>
      <c r="AV145" s="4"/>
      <c r="AW145" s="4"/>
      <c r="AX145" s="4"/>
      <c r="AY145" s="7"/>
      <c r="AZ145" s="4"/>
      <c r="BA145" s="4"/>
      <c r="BB145" s="4"/>
      <c r="BC145" s="4"/>
      <c r="BD145" s="4"/>
      <c r="BE145" s="4"/>
      <c r="BF145" s="4"/>
      <c r="BG145" s="4"/>
      <c r="BH145" s="4"/>
      <c r="BI145" s="7"/>
      <c r="BJ145" s="7"/>
      <c r="BK145" s="7"/>
      <c r="BL145" s="7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7"/>
      <c r="V146" s="4"/>
      <c r="W146" s="4"/>
      <c r="X146" s="4"/>
      <c r="Y146" s="4"/>
      <c r="Z146" s="4"/>
      <c r="AA146" s="4"/>
      <c r="AB146" s="4"/>
      <c r="AC146" s="4"/>
      <c r="AD146" s="4"/>
      <c r="AE146" s="7"/>
      <c r="AF146" s="4"/>
      <c r="AG146" s="4"/>
      <c r="AH146" s="4"/>
      <c r="AI146" s="4"/>
      <c r="AJ146" s="4"/>
      <c r="AK146" s="4"/>
      <c r="AL146" s="4"/>
      <c r="AM146" s="4"/>
      <c r="AN146" s="4"/>
      <c r="AO146" s="7"/>
      <c r="AP146" s="4"/>
      <c r="AQ146" s="4"/>
      <c r="AR146" s="4"/>
      <c r="AS146" s="4"/>
      <c r="AT146" s="4"/>
      <c r="AU146" s="4"/>
      <c r="AV146" s="4"/>
      <c r="AW146" s="4"/>
      <c r="AX146" s="4"/>
      <c r="AY146" s="7"/>
      <c r="AZ146" s="4"/>
      <c r="BA146" s="4"/>
      <c r="BB146" s="4"/>
      <c r="BC146" s="4"/>
      <c r="BD146" s="4"/>
      <c r="BE146" s="4"/>
      <c r="BF146" s="4"/>
      <c r="BG146" s="4"/>
      <c r="BH146" s="4"/>
      <c r="BI146" s="7"/>
      <c r="BJ146" s="7"/>
      <c r="BK146" s="7"/>
      <c r="BL146" s="7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7"/>
      <c r="V147" s="4"/>
      <c r="W147" s="4"/>
      <c r="X147" s="4"/>
      <c r="Y147" s="4"/>
      <c r="Z147" s="4"/>
      <c r="AA147" s="4"/>
      <c r="AB147" s="4"/>
      <c r="AC147" s="4"/>
      <c r="AD147" s="4"/>
      <c r="AE147" s="7"/>
      <c r="AF147" s="4"/>
      <c r="AG147" s="4"/>
      <c r="AH147" s="4"/>
      <c r="AI147" s="4"/>
      <c r="AJ147" s="4"/>
      <c r="AK147" s="4"/>
      <c r="AL147" s="4"/>
      <c r="AM147" s="4"/>
      <c r="AN147" s="4"/>
      <c r="AO147" s="7"/>
      <c r="AP147" s="4"/>
      <c r="AQ147" s="4"/>
      <c r="AR147" s="4"/>
      <c r="AS147" s="4"/>
      <c r="AT147" s="4"/>
      <c r="AU147" s="4"/>
      <c r="AV147" s="4"/>
      <c r="AW147" s="4"/>
      <c r="AX147" s="4"/>
      <c r="AY147" s="7"/>
      <c r="AZ147" s="4"/>
      <c r="BA147" s="4"/>
      <c r="BB147" s="4"/>
      <c r="BC147" s="4"/>
      <c r="BD147" s="4"/>
      <c r="BE147" s="4"/>
      <c r="BF147" s="4"/>
      <c r="BG147" s="4"/>
      <c r="BH147" s="4"/>
      <c r="BI147" s="7"/>
      <c r="BJ147" s="7"/>
      <c r="BK147" s="7"/>
      <c r="BL147" s="7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7"/>
      <c r="V148" s="4"/>
      <c r="W148" s="4"/>
      <c r="X148" s="4"/>
      <c r="Y148" s="4"/>
      <c r="Z148" s="4"/>
      <c r="AA148" s="4"/>
      <c r="AB148" s="4"/>
      <c r="AC148" s="4"/>
      <c r="AD148" s="4"/>
      <c r="AE148" s="7"/>
      <c r="AF148" s="4"/>
      <c r="AG148" s="4"/>
      <c r="AH148" s="4"/>
      <c r="AI148" s="4"/>
      <c r="AJ148" s="4"/>
      <c r="AK148" s="4"/>
      <c r="AL148" s="4"/>
      <c r="AM148" s="4"/>
      <c r="AN148" s="4"/>
      <c r="AO148" s="7"/>
      <c r="AP148" s="4"/>
      <c r="AQ148" s="4"/>
      <c r="AR148" s="4"/>
      <c r="AS148" s="4"/>
      <c r="AT148" s="4"/>
      <c r="AU148" s="4"/>
      <c r="AV148" s="4"/>
      <c r="AW148" s="4"/>
      <c r="AX148" s="4"/>
      <c r="AY148" s="7"/>
      <c r="AZ148" s="4"/>
      <c r="BA148" s="4"/>
      <c r="BB148" s="4"/>
      <c r="BC148" s="4"/>
      <c r="BD148" s="4"/>
      <c r="BE148" s="4"/>
      <c r="BF148" s="4"/>
      <c r="BG148" s="4"/>
      <c r="BH148" s="4"/>
      <c r="BI148" s="7"/>
      <c r="BJ148" s="7"/>
      <c r="BK148" s="7"/>
      <c r="BL148" s="7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7"/>
      <c r="V149" s="4"/>
      <c r="W149" s="4"/>
      <c r="X149" s="4"/>
      <c r="Y149" s="4"/>
      <c r="Z149" s="4"/>
      <c r="AA149" s="4"/>
      <c r="AB149" s="4"/>
      <c r="AC149" s="4"/>
      <c r="AD149" s="4"/>
      <c r="AE149" s="7"/>
      <c r="AF149" s="4"/>
      <c r="AG149" s="4"/>
      <c r="AH149" s="4"/>
      <c r="AI149" s="4"/>
      <c r="AJ149" s="4"/>
      <c r="AK149" s="4"/>
      <c r="AL149" s="4"/>
      <c r="AM149" s="4"/>
      <c r="AN149" s="4"/>
      <c r="AO149" s="7"/>
      <c r="AP149" s="4"/>
      <c r="AQ149" s="4"/>
      <c r="AR149" s="4"/>
      <c r="AS149" s="4"/>
      <c r="AT149" s="4"/>
      <c r="AU149" s="4"/>
      <c r="AV149" s="4"/>
      <c r="AW149" s="4"/>
      <c r="AX149" s="4"/>
      <c r="AY149" s="7"/>
      <c r="AZ149" s="4"/>
      <c r="BA149" s="4"/>
      <c r="BB149" s="4"/>
      <c r="BC149" s="4"/>
      <c r="BD149" s="4"/>
      <c r="BE149" s="4"/>
      <c r="BF149" s="4"/>
      <c r="BG149" s="4"/>
      <c r="BH149" s="4"/>
      <c r="BI149" s="7"/>
      <c r="BJ149" s="7"/>
      <c r="BK149" s="7"/>
      <c r="BL149" s="7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7"/>
      <c r="V150" s="4"/>
      <c r="W150" s="4"/>
      <c r="X150" s="4"/>
      <c r="Y150" s="4"/>
      <c r="Z150" s="4"/>
      <c r="AA150" s="4"/>
      <c r="AB150" s="4"/>
      <c r="AC150" s="4"/>
      <c r="AD150" s="4"/>
      <c r="AE150" s="7"/>
      <c r="AF150" s="4"/>
      <c r="AG150" s="4"/>
      <c r="AH150" s="4"/>
      <c r="AI150" s="4"/>
      <c r="AJ150" s="4"/>
      <c r="AK150" s="4"/>
      <c r="AL150" s="4"/>
      <c r="AM150" s="4"/>
      <c r="AN150" s="4"/>
      <c r="AO150" s="7"/>
      <c r="AP150" s="4"/>
      <c r="AQ150" s="4"/>
      <c r="AR150" s="4"/>
      <c r="AS150" s="4"/>
      <c r="AT150" s="4"/>
      <c r="AU150" s="4"/>
      <c r="AV150" s="4"/>
      <c r="AW150" s="4"/>
      <c r="AX150" s="4"/>
      <c r="AY150" s="7"/>
      <c r="AZ150" s="4"/>
      <c r="BA150" s="4"/>
      <c r="BB150" s="4"/>
      <c r="BC150" s="4"/>
      <c r="BD150" s="4"/>
      <c r="BE150" s="4"/>
      <c r="BF150" s="4"/>
      <c r="BG150" s="4"/>
      <c r="BH150" s="4"/>
      <c r="BI150" s="7"/>
      <c r="BJ150" s="7"/>
      <c r="BK150" s="7"/>
      <c r="BL150" s="7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7"/>
      <c r="V151" s="4"/>
      <c r="W151" s="4"/>
      <c r="X151" s="4"/>
      <c r="Y151" s="4"/>
      <c r="Z151" s="4"/>
      <c r="AA151" s="4"/>
      <c r="AB151" s="4"/>
      <c r="AC151" s="4"/>
      <c r="AD151" s="4"/>
      <c r="AE151" s="7"/>
      <c r="AF151" s="4"/>
      <c r="AG151" s="4"/>
      <c r="AH151" s="4"/>
      <c r="AI151" s="4"/>
      <c r="AJ151" s="4"/>
      <c r="AK151" s="4"/>
      <c r="AL151" s="4"/>
      <c r="AM151" s="4"/>
      <c r="AN151" s="4"/>
      <c r="AO151" s="7"/>
      <c r="AP151" s="4"/>
      <c r="AQ151" s="4"/>
      <c r="AR151" s="4"/>
      <c r="AS151" s="4"/>
      <c r="AT151" s="4"/>
      <c r="AU151" s="4"/>
      <c r="AV151" s="4"/>
      <c r="AW151" s="4"/>
      <c r="AX151" s="4"/>
      <c r="AY151" s="7"/>
      <c r="AZ151" s="4"/>
      <c r="BA151" s="4"/>
      <c r="BB151" s="4"/>
      <c r="BC151" s="4"/>
      <c r="BD151" s="4"/>
      <c r="BE151" s="4"/>
      <c r="BF151" s="4"/>
      <c r="BG151" s="4"/>
      <c r="BH151" s="4"/>
      <c r="BI151" s="7"/>
      <c r="BJ151" s="7"/>
      <c r="BK151" s="7"/>
      <c r="BL151" s="7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Schedule'!A3</f>
        <v>Candice?</v>
      </c>
      <c r="B1" s="4"/>
      <c r="C1" s="4"/>
      <c r="D1" s="4" t="s">
        <v>176</v>
      </c>
      <c r="E1" s="162" t="str">
        <f>if(C19&gt;L19, "Win", "Loss")</f>
        <v>Loss</v>
      </c>
      <c r="F1" s="4"/>
      <c r="G1" s="163" t="s">
        <v>177</v>
      </c>
      <c r="H1" s="146">
        <f>C19-L19</f>
        <v>-1</v>
      </c>
      <c r="I1" s="164" t="s">
        <v>214</v>
      </c>
      <c r="J1" s="165" t="str">
        <f>'Full Schedule'!B3</f>
        <v>Team F</v>
      </c>
      <c r="K1" s="4"/>
      <c r="L1" s="4"/>
      <c r="M1" s="163" t="s">
        <v>176</v>
      </c>
      <c r="N1" s="166" t="str">
        <f>if(L19&gt;C19, "Win", "Loss")</f>
        <v>Win</v>
      </c>
      <c r="O1" s="4"/>
      <c r="P1" s="163" t="s">
        <v>177</v>
      </c>
      <c r="Q1" s="146">
        <f>L19-C19</f>
        <v>1</v>
      </c>
      <c r="R1" s="4"/>
      <c r="S1" s="4"/>
      <c r="T1" s="4"/>
      <c r="U1" s="4"/>
      <c r="V1" s="4"/>
      <c r="W1" s="4"/>
      <c r="X1" s="4"/>
      <c r="Y1" s="4"/>
      <c r="Z1" s="4"/>
    </row>
    <row r="2">
      <c r="A2" s="167" t="s">
        <v>192</v>
      </c>
      <c r="B2" s="167" t="s">
        <v>215</v>
      </c>
      <c r="C2" s="167" t="s">
        <v>216</v>
      </c>
      <c r="D2" s="167" t="s">
        <v>217</v>
      </c>
      <c r="E2" s="167" t="s">
        <v>218</v>
      </c>
      <c r="F2" s="167" t="s">
        <v>219</v>
      </c>
      <c r="G2" s="167" t="s">
        <v>220</v>
      </c>
      <c r="H2" s="167" t="s">
        <v>200</v>
      </c>
      <c r="I2" s="4"/>
      <c r="J2" s="167" t="s">
        <v>192</v>
      </c>
      <c r="K2" s="167" t="s">
        <v>215</v>
      </c>
      <c r="L2" s="167" t="s">
        <v>216</v>
      </c>
      <c r="M2" s="167" t="s">
        <v>217</v>
      </c>
      <c r="N2" s="167" t="s">
        <v>218</v>
      </c>
      <c r="O2" s="167" t="s">
        <v>219</v>
      </c>
      <c r="P2" s="167" t="s">
        <v>220</v>
      </c>
      <c r="Q2" s="167" t="s">
        <v>200</v>
      </c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168">
        <v>5.0</v>
      </c>
      <c r="C3" s="146">
        <f t="shared" ref="C3:C17" si="1">if(sum(D3:G3)&gt;0, sum(D3:G3), "")</f>
        <v>21</v>
      </c>
      <c r="D3" s="168">
        <v>13.0</v>
      </c>
      <c r="E3" s="168">
        <v>1.0</v>
      </c>
      <c r="F3" s="168">
        <v>7.0</v>
      </c>
      <c r="G3" s="168">
        <v>0.0</v>
      </c>
      <c r="H3" s="168">
        <v>26.0</v>
      </c>
      <c r="I3" s="4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BXu</v>
      </c>
      <c r="K3" s="168">
        <v>6.0</v>
      </c>
      <c r="L3" s="146">
        <f t="shared" ref="L3:L17" si="2">if(sum(M3:P3)&gt;0, sum(M3:P3), "")</f>
        <v>19</v>
      </c>
      <c r="M3" s="168">
        <v>13.0</v>
      </c>
      <c r="N3" s="168">
        <v>2.0</v>
      </c>
      <c r="O3" s="168">
        <v>3.0</v>
      </c>
      <c r="P3" s="168">
        <v>1.0</v>
      </c>
      <c r="Q3" s="168">
        <v>26.0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 Y</v>
      </c>
      <c r="B4" s="168">
        <v>6.0</v>
      </c>
      <c r="C4" s="146">
        <f t="shared" si="1"/>
        <v>15</v>
      </c>
      <c r="D4" s="168">
        <v>4.0</v>
      </c>
      <c r="E4" s="168">
        <v>0.0</v>
      </c>
      <c r="F4" s="168">
        <v>10.0</v>
      </c>
      <c r="G4" s="168">
        <v>1.0</v>
      </c>
      <c r="H4" s="168">
        <v>26.0</v>
      </c>
      <c r="I4" s="4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JChan</v>
      </c>
      <c r="K4" s="168">
        <v>1.0</v>
      </c>
      <c r="L4" s="146">
        <f t="shared" si="2"/>
        <v>13</v>
      </c>
      <c r="M4" s="168">
        <v>8.0</v>
      </c>
      <c r="N4" s="168">
        <v>3.0</v>
      </c>
      <c r="O4" s="168">
        <v>2.0</v>
      </c>
      <c r="P4" s="168">
        <v>0.0</v>
      </c>
      <c r="Q4" s="168">
        <v>26.0</v>
      </c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Porco</v>
      </c>
      <c r="B5" s="169">
        <v>1.0</v>
      </c>
      <c r="C5" s="4">
        <f t="shared" si="1"/>
        <v>20</v>
      </c>
      <c r="D5" s="169">
        <v>8.0</v>
      </c>
      <c r="E5" s="169">
        <v>0.0</v>
      </c>
      <c r="F5" s="169">
        <v>10.0</v>
      </c>
      <c r="G5" s="169">
        <v>2.0</v>
      </c>
      <c r="H5" s="169">
        <v>23.0</v>
      </c>
      <c r="I5" s="4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DC</v>
      </c>
      <c r="K5" s="168">
        <v>5.0</v>
      </c>
      <c r="L5" s="146">
        <f t="shared" si="2"/>
        <v>15</v>
      </c>
      <c r="M5" s="168">
        <v>2.0</v>
      </c>
      <c r="N5" s="168">
        <v>0.0</v>
      </c>
      <c r="O5" s="168">
        <v>13.0</v>
      </c>
      <c r="P5" s="168">
        <v>0.0</v>
      </c>
      <c r="Q5" s="168">
        <v>24.0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Marmo</v>
      </c>
      <c r="B6" s="169">
        <v>2.0</v>
      </c>
      <c r="C6" s="4">
        <f t="shared" si="1"/>
        <v>18</v>
      </c>
      <c r="D6" s="169">
        <v>2.0</v>
      </c>
      <c r="E6" s="169">
        <v>0.0</v>
      </c>
      <c r="F6" s="169">
        <v>16.0</v>
      </c>
      <c r="G6" s="169">
        <v>0.0</v>
      </c>
      <c r="H6" s="169">
        <v>28.0</v>
      </c>
      <c r="I6" s="4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Schmid</v>
      </c>
      <c r="K6" s="169">
        <v>2.0</v>
      </c>
      <c r="L6" s="4">
        <f t="shared" si="2"/>
        <v>29</v>
      </c>
      <c r="M6" s="169">
        <v>2.0</v>
      </c>
      <c r="N6" s="169">
        <v>1.0</v>
      </c>
      <c r="O6" s="169">
        <v>22.0</v>
      </c>
      <c r="P6" s="169">
        <v>4.0</v>
      </c>
      <c r="Q6" s="169">
        <v>20.0</v>
      </c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Swit</v>
      </c>
      <c r="B7" s="168">
        <v>3.0</v>
      </c>
      <c r="C7" s="146">
        <f t="shared" si="1"/>
        <v>12</v>
      </c>
      <c r="D7" s="168">
        <v>8.0</v>
      </c>
      <c r="E7" s="168">
        <v>0.0</v>
      </c>
      <c r="F7" s="168">
        <v>4.0</v>
      </c>
      <c r="G7" s="168">
        <v>0.0</v>
      </c>
      <c r="H7" s="168">
        <v>26.0</v>
      </c>
      <c r="I7" s="4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Kian</v>
      </c>
      <c r="K7" s="169">
        <v>3.0</v>
      </c>
      <c r="L7" s="4">
        <f t="shared" si="2"/>
        <v>13</v>
      </c>
      <c r="M7" s="169">
        <v>6.0</v>
      </c>
      <c r="N7" s="169">
        <v>2.0</v>
      </c>
      <c r="O7" s="169">
        <v>4.0</v>
      </c>
      <c r="P7" s="169">
        <v>1.0</v>
      </c>
      <c r="Q7" s="169">
        <v>28.0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Emi</v>
      </c>
      <c r="B8" s="168">
        <v>4.0</v>
      </c>
      <c r="C8" s="146">
        <f t="shared" si="1"/>
        <v>14</v>
      </c>
      <c r="D8" s="168">
        <v>7.0</v>
      </c>
      <c r="E8" s="168">
        <v>2.0</v>
      </c>
      <c r="F8" s="168">
        <v>4.0</v>
      </c>
      <c r="G8" s="168">
        <v>1.0</v>
      </c>
      <c r="H8" s="169">
        <v>26.0</v>
      </c>
      <c r="I8" s="4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Hando</v>
      </c>
      <c r="K8" s="168">
        <v>4.0</v>
      </c>
      <c r="L8" s="146">
        <f t="shared" si="2"/>
        <v>11</v>
      </c>
      <c r="M8" s="168">
        <v>6.0</v>
      </c>
      <c r="N8" s="168">
        <v>0.0</v>
      </c>
      <c r="O8" s="168">
        <v>4.0</v>
      </c>
      <c r="P8" s="168">
        <v>1.0</v>
      </c>
      <c r="Q8" s="168">
        <v>27.0</v>
      </c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SoHo</v>
      </c>
      <c r="B9" s="146"/>
      <c r="C9" s="146" t="str">
        <f t="shared" si="1"/>
        <v/>
      </c>
      <c r="D9" s="146"/>
      <c r="E9" s="146"/>
      <c r="F9" s="146"/>
      <c r="G9" s="146"/>
      <c r="H9" s="146"/>
      <c r="I9" s="4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Petric</v>
      </c>
      <c r="K9" s="146"/>
      <c r="L9" s="146" t="str">
        <f t="shared" si="2"/>
        <v/>
      </c>
      <c r="M9" s="146"/>
      <c r="N9" s="146"/>
      <c r="O9" s="146"/>
      <c r="P9" s="146"/>
      <c r="Q9" s="146"/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/>
      </c>
      <c r="B10" s="146"/>
      <c r="C10" s="146" t="str">
        <f t="shared" si="1"/>
        <v/>
      </c>
      <c r="D10" s="146"/>
      <c r="E10" s="146"/>
      <c r="F10" s="146"/>
      <c r="G10" s="146"/>
      <c r="H10" s="146"/>
      <c r="I10" s="4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Mike Zhou</v>
      </c>
      <c r="K10" s="4"/>
      <c r="L10" s="4" t="str">
        <f t="shared" si="2"/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/>
      </c>
      <c r="B11" s="4"/>
      <c r="C11" s="4" t="str">
        <f t="shared" si="1"/>
        <v/>
      </c>
      <c r="D11" s="4"/>
      <c r="E11" s="4"/>
      <c r="F11" s="4"/>
      <c r="G11" s="4"/>
      <c r="H11" s="4"/>
      <c r="I11" s="4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Cole</v>
      </c>
      <c r="K11" s="146"/>
      <c r="L11" s="146" t="str">
        <f t="shared" si="2"/>
        <v/>
      </c>
      <c r="M11" s="146"/>
      <c r="N11" s="146"/>
      <c r="O11" s="146"/>
      <c r="P11" s="146"/>
      <c r="Q11" s="146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B12" s="4"/>
      <c r="C12" s="4" t="str">
        <f t="shared" si="1"/>
        <v/>
      </c>
      <c r="D12" s="4"/>
      <c r="E12" s="4"/>
      <c r="F12" s="4"/>
      <c r="G12" s="4"/>
      <c r="H12" s="4"/>
      <c r="I12" s="4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K12" s="4"/>
      <c r="L12" s="4" t="str">
        <f t="shared" si="2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B13" s="4"/>
      <c r="C13" s="4" t="str">
        <f t="shared" si="1"/>
        <v/>
      </c>
      <c r="D13" s="4"/>
      <c r="E13" s="4"/>
      <c r="F13" s="4"/>
      <c r="G13" s="4"/>
      <c r="H13" s="4"/>
      <c r="I13" s="4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K13" s="4"/>
      <c r="L13" s="4" t="str">
        <f t="shared" si="2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B14" s="4"/>
      <c r="C14" s="4" t="str">
        <f t="shared" si="1"/>
        <v/>
      </c>
      <c r="D14" s="4"/>
      <c r="E14" s="4"/>
      <c r="F14" s="4"/>
      <c r="G14" s="4"/>
      <c r="H14" s="4"/>
      <c r="I14" s="4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K14" s="4"/>
      <c r="L14" s="4" t="str">
        <f t="shared" si="2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B15" s="4"/>
      <c r="C15" s="4" t="str">
        <f t="shared" si="1"/>
        <v/>
      </c>
      <c r="D15" s="4"/>
      <c r="E15" s="4"/>
      <c r="F15" s="4"/>
      <c r="G15" s="4"/>
      <c r="H15" s="4"/>
      <c r="I15" s="4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K15" s="4"/>
      <c r="L15" s="4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B16" s="4"/>
      <c r="C16" s="4" t="str">
        <f t="shared" si="1"/>
        <v/>
      </c>
      <c r="D16" s="4"/>
      <c r="E16" s="4"/>
      <c r="F16" s="4"/>
      <c r="G16" s="4"/>
      <c r="H16" s="4"/>
      <c r="I16" s="4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K16" s="4"/>
      <c r="L16" s="4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4"/>
      <c r="C17" s="4" t="str">
        <f t="shared" si="1"/>
        <v/>
      </c>
      <c r="D17" s="4"/>
      <c r="E17" s="4"/>
      <c r="F17" s="4"/>
      <c r="G17" s="4"/>
      <c r="H17" s="4"/>
      <c r="I17" s="4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4"/>
      <c r="L17" s="4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0" t="s">
        <v>221</v>
      </c>
      <c r="B18" s="3"/>
      <c r="C18" s="171"/>
      <c r="D18" s="3"/>
      <c r="E18" s="3"/>
      <c r="F18" s="3"/>
      <c r="G18" s="3"/>
      <c r="H18" s="3"/>
      <c r="I18" s="4"/>
      <c r="J18" s="170" t="s">
        <v>221</v>
      </c>
      <c r="K18" s="3"/>
      <c r="L18" s="172">
        <v>1.0</v>
      </c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>
      <c r="A19" s="81" t="s">
        <v>184</v>
      </c>
      <c r="B19" s="173"/>
      <c r="C19" s="174">
        <f>sum(C3:C18)</f>
        <v>100</v>
      </c>
      <c r="D19" s="4"/>
      <c r="E19" s="4"/>
      <c r="F19" s="4"/>
      <c r="G19" s="4"/>
      <c r="H19" s="175">
        <f>sum(C3:C17)/(sum(C3:C17)+sum(H3:H17))</f>
        <v>0.3921568627</v>
      </c>
      <c r="I19" s="4"/>
      <c r="J19" s="81" t="s">
        <v>184</v>
      </c>
      <c r="K19" s="173"/>
      <c r="L19" s="174">
        <f>sum(L3:L18)</f>
        <v>101</v>
      </c>
      <c r="M19" s="4"/>
      <c r="N19" s="4"/>
      <c r="O19" s="4"/>
      <c r="P19" s="4"/>
      <c r="Q19" s="175">
        <f>sum(L3:L17)/(sum(L3:L17)+sum(Q3:Q17))</f>
        <v>0.3984063745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1" t="str">
        <f>'Full Schedule'!A4</f>
        <v>Team C</v>
      </c>
      <c r="B21" s="4"/>
      <c r="C21" s="4"/>
      <c r="D21" s="4" t="s">
        <v>176</v>
      </c>
      <c r="E21" s="166" t="str">
        <f>if(C39&gt;L39, "Win", "Loss")</f>
        <v>Win</v>
      </c>
      <c r="F21" s="4"/>
      <c r="G21" s="163" t="s">
        <v>177</v>
      </c>
      <c r="H21" s="146">
        <f>C39-L39</f>
        <v>20</v>
      </c>
      <c r="I21" s="164" t="s">
        <v>214</v>
      </c>
      <c r="J21" s="161" t="str">
        <f>'Full Schedule'!B4</f>
        <v>Team E</v>
      </c>
      <c r="K21" s="4"/>
      <c r="L21" s="4"/>
      <c r="M21" s="163" t="s">
        <v>176</v>
      </c>
      <c r="N21" s="162" t="str">
        <f>if(L39&gt;C39, "Win", "Loss")</f>
        <v>Loss</v>
      </c>
      <c r="O21" s="4"/>
      <c r="P21" s="163" t="s">
        <v>177</v>
      </c>
      <c r="Q21" s="146">
        <f>L39-C39</f>
        <v>-20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67" t="s">
        <v>192</v>
      </c>
      <c r="B22" s="167" t="s">
        <v>215</v>
      </c>
      <c r="C22" s="167" t="s">
        <v>216</v>
      </c>
      <c r="D22" s="167" t="s">
        <v>217</v>
      </c>
      <c r="E22" s="167" t="s">
        <v>218</v>
      </c>
      <c r="F22" s="167" t="s">
        <v>219</v>
      </c>
      <c r="G22" s="167" t="s">
        <v>220</v>
      </c>
      <c r="H22" s="167" t="s">
        <v>200</v>
      </c>
      <c r="I22" s="4"/>
      <c r="J22" s="167" t="s">
        <v>192</v>
      </c>
      <c r="K22" s="167" t="s">
        <v>215</v>
      </c>
      <c r="L22" s="167" t="s">
        <v>216</v>
      </c>
      <c r="M22" s="167" t="s">
        <v>217</v>
      </c>
      <c r="N22" s="167" t="s">
        <v>218</v>
      </c>
      <c r="O22" s="167" t="s">
        <v>219</v>
      </c>
      <c r="P22" s="167" t="s">
        <v>220</v>
      </c>
      <c r="Q22" s="167" t="s">
        <v>200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Matt</v>
      </c>
      <c r="B23" s="168">
        <v>6.0</v>
      </c>
      <c r="C23" s="146">
        <f t="shared" ref="C23:C37" si="3">if(sum(D23:G23)&gt;0, sum(D23:G23), "")</f>
        <v>14</v>
      </c>
      <c r="D23" s="168">
        <v>6.0</v>
      </c>
      <c r="E23" s="168">
        <v>0.0</v>
      </c>
      <c r="F23" s="168">
        <v>6.0</v>
      </c>
      <c r="G23" s="168">
        <v>2.0</v>
      </c>
      <c r="H23" s="168">
        <v>27.0</v>
      </c>
      <c r="I23" s="4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Taran</v>
      </c>
      <c r="K23" s="168">
        <v>6.0</v>
      </c>
      <c r="L23" s="146">
        <f t="shared" ref="L23:L37" si="4">if(sum(M23:P23)&gt;0, sum(M23:P23), "")</f>
        <v>17</v>
      </c>
      <c r="M23" s="168">
        <v>9.0</v>
      </c>
      <c r="N23" s="168">
        <v>1.0</v>
      </c>
      <c r="O23" s="168">
        <v>5.0</v>
      </c>
      <c r="P23" s="168">
        <v>2.0</v>
      </c>
      <c r="Q23" s="168">
        <v>24.0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Gid</v>
      </c>
      <c r="B24" s="168">
        <v>5.0</v>
      </c>
      <c r="C24" s="146">
        <f t="shared" si="3"/>
        <v>20</v>
      </c>
      <c r="D24" s="168">
        <v>10.0</v>
      </c>
      <c r="E24" s="168">
        <v>1.0</v>
      </c>
      <c r="F24" s="168">
        <v>9.0</v>
      </c>
      <c r="G24" s="168">
        <v>0.0</v>
      </c>
      <c r="H24" s="168">
        <v>25.0</v>
      </c>
      <c r="I24" s="4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Miguel F</v>
      </c>
      <c r="K24" s="168">
        <v>5.0</v>
      </c>
      <c r="L24" s="146">
        <f t="shared" si="4"/>
        <v>13</v>
      </c>
      <c r="M24" s="168">
        <v>7.0</v>
      </c>
      <c r="N24" s="168">
        <v>2.0</v>
      </c>
      <c r="O24" s="168">
        <v>3.0</v>
      </c>
      <c r="P24" s="168">
        <v>1.0</v>
      </c>
      <c r="Q24" s="168">
        <v>26.0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Nikita S</v>
      </c>
      <c r="B25" s="168">
        <v>1.0</v>
      </c>
      <c r="C25" s="146">
        <f t="shared" si="3"/>
        <v>17</v>
      </c>
      <c r="D25" s="168">
        <v>11.0</v>
      </c>
      <c r="E25" s="168">
        <v>2.0</v>
      </c>
      <c r="F25" s="168">
        <v>4.0</v>
      </c>
      <c r="G25" s="168">
        <v>0.0</v>
      </c>
      <c r="H25" s="168">
        <v>25.0</v>
      </c>
      <c r="I25" s="4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Mike H</v>
      </c>
      <c r="K25" s="168">
        <v>1.0</v>
      </c>
      <c r="L25" s="146">
        <f t="shared" si="4"/>
        <v>13</v>
      </c>
      <c r="M25" s="168">
        <v>3.0</v>
      </c>
      <c r="N25" s="168">
        <v>0.0</v>
      </c>
      <c r="O25" s="168">
        <v>10.0</v>
      </c>
      <c r="P25" s="168">
        <v>0.0</v>
      </c>
      <c r="Q25" s="168">
        <v>24.0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Sonne</v>
      </c>
      <c r="B26" s="146"/>
      <c r="C26" s="146" t="str">
        <f t="shared" si="3"/>
        <v/>
      </c>
      <c r="D26" s="146"/>
      <c r="E26" s="146"/>
      <c r="F26" s="146"/>
      <c r="G26" s="146"/>
      <c r="H26" s="146"/>
      <c r="I26" s="4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Madams</v>
      </c>
      <c r="K26" s="168">
        <v>4.0</v>
      </c>
      <c r="L26" s="146">
        <f t="shared" si="4"/>
        <v>13</v>
      </c>
      <c r="M26" s="168">
        <v>6.0</v>
      </c>
      <c r="N26" s="168">
        <v>0.0</v>
      </c>
      <c r="O26" s="168">
        <v>6.0</v>
      </c>
      <c r="P26" s="168">
        <v>1.0</v>
      </c>
      <c r="Q26" s="168">
        <v>27.0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Crosby</v>
      </c>
      <c r="B27" s="168">
        <v>2.0</v>
      </c>
      <c r="C27" s="146">
        <f t="shared" si="3"/>
        <v>17</v>
      </c>
      <c r="D27" s="168">
        <v>1.0</v>
      </c>
      <c r="E27" s="168">
        <v>0.0</v>
      </c>
      <c r="F27" s="168">
        <v>16.0</v>
      </c>
      <c r="G27" s="168">
        <v>0.0</v>
      </c>
      <c r="H27" s="168">
        <v>26.0</v>
      </c>
      <c r="I27" s="4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K27" s="168">
        <v>2.0</v>
      </c>
      <c r="L27" s="146">
        <f t="shared" si="4"/>
        <v>13</v>
      </c>
      <c r="M27" s="168">
        <v>10.0</v>
      </c>
      <c r="N27" s="168">
        <v>0.0</v>
      </c>
      <c r="O27" s="168">
        <v>3.0</v>
      </c>
      <c r="P27" s="168">
        <v>0.0</v>
      </c>
      <c r="Q27" s="168">
        <v>25.0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Kevin Zhou</v>
      </c>
      <c r="B28" s="168">
        <v>4.0</v>
      </c>
      <c r="C28" s="146">
        <f t="shared" si="3"/>
        <v>15</v>
      </c>
      <c r="D28" s="168">
        <v>9.0</v>
      </c>
      <c r="E28" s="168">
        <v>1.0</v>
      </c>
      <c r="F28" s="168">
        <v>3.0</v>
      </c>
      <c r="G28" s="168">
        <v>2.0</v>
      </c>
      <c r="H28" s="168">
        <v>26.0</v>
      </c>
      <c r="I28" s="4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Tripp</v>
      </c>
      <c r="K28" s="169">
        <v>3.0</v>
      </c>
      <c r="L28" s="4">
        <f t="shared" si="4"/>
        <v>11</v>
      </c>
      <c r="M28" s="169">
        <v>4.0</v>
      </c>
      <c r="N28" s="169">
        <v>0.0</v>
      </c>
      <c r="O28" s="169">
        <v>7.0</v>
      </c>
      <c r="P28" s="169">
        <v>0.0</v>
      </c>
      <c r="Q28" s="169">
        <v>26.0</v>
      </c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Somil</v>
      </c>
      <c r="B29" s="169">
        <v>3.0</v>
      </c>
      <c r="C29" s="4">
        <f t="shared" si="3"/>
        <v>17</v>
      </c>
      <c r="D29" s="169">
        <v>4.0</v>
      </c>
      <c r="E29" s="169">
        <v>0.0</v>
      </c>
      <c r="F29" s="169">
        <v>11.0</v>
      </c>
      <c r="G29" s="169">
        <v>2.0</v>
      </c>
      <c r="H29" s="169">
        <v>26.0</v>
      </c>
      <c r="I29" s="4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Lulu</v>
      </c>
      <c r="K29" s="146"/>
      <c r="L29" s="146" t="str">
        <f t="shared" si="4"/>
        <v/>
      </c>
      <c r="M29" s="146"/>
      <c r="N29" s="146"/>
      <c r="O29" s="146"/>
      <c r="P29" s="146"/>
      <c r="Q29" s="146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Suyoag</v>
      </c>
      <c r="B30" s="4"/>
      <c r="C30" s="4" t="str">
        <f t="shared" si="3"/>
        <v/>
      </c>
      <c r="D30" s="4"/>
      <c r="E30" s="4"/>
      <c r="F30" s="4"/>
      <c r="G30" s="4"/>
      <c r="H30" s="4"/>
      <c r="I30" s="4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Ilt</v>
      </c>
      <c r="K30" s="4"/>
      <c r="L30" s="4" t="str">
        <f t="shared" si="4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Will Ho</v>
      </c>
      <c r="B31" s="4"/>
      <c r="C31" s="4" t="str">
        <f t="shared" si="3"/>
        <v/>
      </c>
      <c r="D31" s="4"/>
      <c r="E31" s="4"/>
      <c r="F31" s="4"/>
      <c r="G31" s="4"/>
      <c r="H31" s="4"/>
      <c r="I31" s="4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Pasha</v>
      </c>
      <c r="K31" s="4"/>
      <c r="L31" s="4" t="str">
        <f t="shared" si="4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Nagle</v>
      </c>
      <c r="B32" s="4"/>
      <c r="C32" s="4" t="str">
        <f t="shared" si="3"/>
        <v/>
      </c>
      <c r="D32" s="4"/>
      <c r="E32" s="4"/>
      <c r="F32" s="4"/>
      <c r="G32" s="4"/>
      <c r="H32" s="4"/>
      <c r="I32" s="4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K32" s="4"/>
      <c r="L32" s="4" t="str">
        <f t="shared" si="4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B33" s="4"/>
      <c r="C33" s="4" t="str">
        <f t="shared" si="3"/>
        <v/>
      </c>
      <c r="D33" s="4"/>
      <c r="E33" s="4"/>
      <c r="F33" s="4"/>
      <c r="G33" s="4"/>
      <c r="H33" s="4"/>
      <c r="I33" s="4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K33" s="4"/>
      <c r="L33" s="4" t="str">
        <f t="shared" si="4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B34" s="4"/>
      <c r="C34" s="4" t="str">
        <f t="shared" si="3"/>
        <v/>
      </c>
      <c r="D34" s="4"/>
      <c r="E34" s="4"/>
      <c r="F34" s="4"/>
      <c r="G34" s="4"/>
      <c r="H34" s="4"/>
      <c r="I34" s="4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K34" s="4"/>
      <c r="L34" s="4" t="str">
        <f t="shared" si="4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B35" s="4"/>
      <c r="C35" s="4" t="str">
        <f t="shared" si="3"/>
        <v/>
      </c>
      <c r="D35" s="4"/>
      <c r="E35" s="4"/>
      <c r="F35" s="4"/>
      <c r="G35" s="4"/>
      <c r="H35" s="4"/>
      <c r="I35" s="4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K35" s="4"/>
      <c r="L35" s="4" t="str">
        <f t="shared" si="4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B36" s="4"/>
      <c r="C36" s="4" t="str">
        <f t="shared" si="3"/>
        <v/>
      </c>
      <c r="D36" s="4"/>
      <c r="E36" s="4"/>
      <c r="F36" s="4"/>
      <c r="G36" s="4"/>
      <c r="H36" s="4"/>
      <c r="I36" s="4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K36" s="4"/>
      <c r="L36" s="4" t="str">
        <f t="shared" si="4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4"/>
      <c r="C37" s="4" t="str">
        <f t="shared" si="3"/>
        <v/>
      </c>
      <c r="D37" s="4"/>
      <c r="E37" s="4"/>
      <c r="F37" s="4"/>
      <c r="G37" s="4"/>
      <c r="H37" s="4"/>
      <c r="I37" s="4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4"/>
      <c r="L37" s="4" t="str">
        <f t="shared" si="4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0" t="s">
        <v>221</v>
      </c>
      <c r="B38" s="3"/>
      <c r="C38" s="171"/>
      <c r="D38" s="3"/>
      <c r="E38" s="3"/>
      <c r="F38" s="3"/>
      <c r="G38" s="3"/>
      <c r="H38" s="3"/>
      <c r="I38" s="4"/>
      <c r="J38" s="170" t="s">
        <v>221</v>
      </c>
      <c r="K38" s="3"/>
      <c r="L38" s="3"/>
      <c r="M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>
      <c r="A39" s="81" t="s">
        <v>184</v>
      </c>
      <c r="B39" s="173"/>
      <c r="C39" s="174">
        <f>sum(C23:C38)</f>
        <v>100</v>
      </c>
      <c r="D39" s="4"/>
      <c r="E39" s="4"/>
      <c r="F39" s="4"/>
      <c r="G39" s="4"/>
      <c r="H39" s="175">
        <f>sum(C23:C37)/(sum(C23:C37)+sum(H23:H37))</f>
        <v>0.3921568627</v>
      </c>
      <c r="I39" s="4"/>
      <c r="J39" s="81" t="s">
        <v>184</v>
      </c>
      <c r="K39" s="173"/>
      <c r="L39" s="174">
        <f>sum(L23:L38)</f>
        <v>80</v>
      </c>
      <c r="M39" s="4"/>
      <c r="N39" s="4"/>
      <c r="O39" s="4"/>
      <c r="P39" s="4"/>
      <c r="Q39" s="175">
        <f>sum(L23:L37)/(sum(L23:L37)+sum(Q23:Q37))</f>
        <v>0.3448275862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1" t="str">
        <f>'Full Schedule'!A5</f>
        <v>Migos</v>
      </c>
      <c r="B41" s="4"/>
      <c r="C41" s="4"/>
      <c r="D41" s="4" t="s">
        <v>176</v>
      </c>
      <c r="E41" s="166" t="str">
        <f>if(C59&gt;L59, "Win", "Loss")</f>
        <v>Win</v>
      </c>
      <c r="F41" s="4"/>
      <c r="G41" s="163" t="s">
        <v>177</v>
      </c>
      <c r="H41" s="146">
        <f>C59-L59</f>
        <v>5</v>
      </c>
      <c r="I41" s="164" t="s">
        <v>214</v>
      </c>
      <c r="J41" s="161" t="str">
        <f>'Full Schedule'!B5</f>
        <v>Gargantuan</v>
      </c>
      <c r="K41" s="4"/>
      <c r="L41" s="4"/>
      <c r="M41" s="163" t="s">
        <v>176</v>
      </c>
      <c r="N41" s="162" t="str">
        <f>if(L59&gt;C59, "Win", "Loss")</f>
        <v>Loss</v>
      </c>
      <c r="O41" s="4"/>
      <c r="P41" s="163" t="s">
        <v>177</v>
      </c>
      <c r="Q41" s="146">
        <f>L59-C59</f>
        <v>-5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67" t="s">
        <v>192</v>
      </c>
      <c r="B42" s="167" t="s">
        <v>215</v>
      </c>
      <c r="C42" s="167" t="s">
        <v>216</v>
      </c>
      <c r="D42" s="167" t="s">
        <v>217</v>
      </c>
      <c r="E42" s="167" t="s">
        <v>218</v>
      </c>
      <c r="F42" s="167" t="s">
        <v>219</v>
      </c>
      <c r="G42" s="167" t="s">
        <v>220</v>
      </c>
      <c r="H42" s="167" t="s">
        <v>200</v>
      </c>
      <c r="I42" s="4"/>
      <c r="J42" s="167" t="s">
        <v>192</v>
      </c>
      <c r="K42" s="167" t="s">
        <v>215</v>
      </c>
      <c r="L42" s="167" t="s">
        <v>216</v>
      </c>
      <c r="M42" s="167" t="s">
        <v>217</v>
      </c>
      <c r="N42" s="167" t="s">
        <v>218</v>
      </c>
      <c r="O42" s="167" t="s">
        <v>219</v>
      </c>
      <c r="P42" s="167" t="s">
        <v>220</v>
      </c>
      <c r="Q42" s="167" t="s">
        <v>200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Leo</v>
      </c>
      <c r="B43" s="168">
        <v>5.0</v>
      </c>
      <c r="C43" s="146">
        <f t="shared" ref="C43:C57" si="5">if(sum(D43:G43)&gt;0, sum(D43:G43), "")</f>
        <v>15</v>
      </c>
      <c r="D43" s="168">
        <v>9.0</v>
      </c>
      <c r="E43" s="168">
        <v>1.0</v>
      </c>
      <c r="F43" s="168">
        <v>2.0</v>
      </c>
      <c r="G43" s="168">
        <v>3.0</v>
      </c>
      <c r="H43" s="168">
        <v>37.0</v>
      </c>
      <c r="I43" s="4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Maas</v>
      </c>
      <c r="K43" s="168">
        <v>6.0</v>
      </c>
      <c r="L43" s="146">
        <f t="shared" ref="L43:L57" si="6">if(sum(M43:P43)&gt;0, sum(M43:P43), "")</f>
        <v>14</v>
      </c>
      <c r="M43" s="168">
        <v>6.0</v>
      </c>
      <c r="N43" s="168">
        <v>4.0</v>
      </c>
      <c r="O43" s="168">
        <v>4.0</v>
      </c>
      <c r="P43" s="168">
        <v>0.0</v>
      </c>
      <c r="Q43" s="168">
        <v>34.0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Seb</v>
      </c>
      <c r="B44" s="168">
        <v>6.0</v>
      </c>
      <c r="C44" s="146">
        <f t="shared" si="5"/>
        <v>20</v>
      </c>
      <c r="D44" s="168">
        <v>7.0</v>
      </c>
      <c r="E44" s="168">
        <v>2.0</v>
      </c>
      <c r="F44" s="168">
        <v>7.0</v>
      </c>
      <c r="G44" s="168">
        <v>4.0</v>
      </c>
      <c r="H44" s="168">
        <v>33.0</v>
      </c>
      <c r="I44" s="4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Hawkins</v>
      </c>
      <c r="K44" s="168">
        <v>2.0</v>
      </c>
      <c r="L44" s="146">
        <f t="shared" si="6"/>
        <v>25</v>
      </c>
      <c r="M44" s="168">
        <v>7.0</v>
      </c>
      <c r="N44" s="168">
        <v>1.0</v>
      </c>
      <c r="O44" s="168">
        <v>15.0</v>
      </c>
      <c r="P44" s="168">
        <v>2.0</v>
      </c>
      <c r="Q44" s="168">
        <v>32.0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Fritz</v>
      </c>
      <c r="B45" s="168">
        <v>1.0</v>
      </c>
      <c r="C45" s="146">
        <f t="shared" si="5"/>
        <v>14</v>
      </c>
      <c r="D45" s="168">
        <v>6.0</v>
      </c>
      <c r="E45" s="168">
        <v>2.0</v>
      </c>
      <c r="F45" s="168">
        <v>4.0</v>
      </c>
      <c r="G45" s="168">
        <v>2.0</v>
      </c>
      <c r="H45" s="168">
        <v>35.0</v>
      </c>
      <c r="I45" s="4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Info'!J$6, if(J41='General Info'!$K$3, 'General Info'!$K$6, N/A))))))</f>
        <v>Grish</v>
      </c>
      <c r="K45" s="169">
        <v>5.0</v>
      </c>
      <c r="L45" s="4">
        <f t="shared" si="6"/>
        <v>14</v>
      </c>
      <c r="M45" s="169">
        <v>7.0</v>
      </c>
      <c r="N45" s="169">
        <v>0.0</v>
      </c>
      <c r="O45" s="169">
        <v>7.0</v>
      </c>
      <c r="P45" s="169">
        <v>0.0</v>
      </c>
      <c r="Q45" s="169">
        <v>34.0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Arnav</v>
      </c>
      <c r="B46" s="169">
        <v>2.0</v>
      </c>
      <c r="C46" s="4">
        <f t="shared" si="5"/>
        <v>16</v>
      </c>
      <c r="D46" s="169">
        <v>7.0</v>
      </c>
      <c r="E46" s="169">
        <v>2.0</v>
      </c>
      <c r="F46" s="169">
        <v>5.0</v>
      </c>
      <c r="G46" s="169">
        <v>2.0</v>
      </c>
      <c r="H46" s="169">
        <v>36.0</v>
      </c>
      <c r="I46" s="4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Rockett</v>
      </c>
      <c r="K46" s="168">
        <v>1.0</v>
      </c>
      <c r="L46" s="146">
        <f t="shared" si="6"/>
        <v>14</v>
      </c>
      <c r="M46" s="168">
        <v>9.0</v>
      </c>
      <c r="N46" s="168">
        <v>0.0</v>
      </c>
      <c r="O46" s="168">
        <v>5.0</v>
      </c>
      <c r="P46" s="168">
        <v>0.0</v>
      </c>
      <c r="Q46" s="168">
        <v>35.0</v>
      </c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Lanuza</v>
      </c>
      <c r="B47" s="168">
        <v>3.0</v>
      </c>
      <c r="C47" s="146">
        <f t="shared" si="5"/>
        <v>18</v>
      </c>
      <c r="D47" s="168">
        <v>2.0</v>
      </c>
      <c r="E47" s="168">
        <v>0.0</v>
      </c>
      <c r="F47" s="168">
        <v>16.0</v>
      </c>
      <c r="G47" s="168">
        <v>0.0</v>
      </c>
      <c r="H47" s="168">
        <v>33.0</v>
      </c>
      <c r="I47" s="4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Du</v>
      </c>
      <c r="K47" s="169">
        <v>4.0</v>
      </c>
      <c r="L47" s="4">
        <f t="shared" si="6"/>
        <v>14</v>
      </c>
      <c r="M47" s="169">
        <v>9.0</v>
      </c>
      <c r="N47" s="169">
        <v>0.0</v>
      </c>
      <c r="O47" s="169">
        <v>5.0</v>
      </c>
      <c r="P47" s="169">
        <v>0.0</v>
      </c>
      <c r="Q47" s="169">
        <v>38.0</v>
      </c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Samos</v>
      </c>
      <c r="B48" s="169">
        <v>4.0</v>
      </c>
      <c r="C48" s="4">
        <f t="shared" si="5"/>
        <v>16</v>
      </c>
      <c r="D48" s="169">
        <v>4.0</v>
      </c>
      <c r="E48" s="169">
        <v>2.0</v>
      </c>
      <c r="F48" s="169">
        <v>9.0</v>
      </c>
      <c r="G48" s="169">
        <v>1.0</v>
      </c>
      <c r="H48" s="169">
        <v>36.0</v>
      </c>
      <c r="I48" s="4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Raymond</v>
      </c>
      <c r="K48" s="146"/>
      <c r="L48" s="146" t="str">
        <f t="shared" si="6"/>
        <v/>
      </c>
      <c r="M48" s="146"/>
      <c r="N48" s="146"/>
      <c r="O48" s="146"/>
      <c r="P48" s="146"/>
      <c r="Q48" s="146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Kyi</v>
      </c>
      <c r="B49" s="146"/>
      <c r="C49" s="146" t="str">
        <f t="shared" si="5"/>
        <v/>
      </c>
      <c r="D49" s="146"/>
      <c r="E49" s="146"/>
      <c r="F49" s="146"/>
      <c r="G49" s="146"/>
      <c r="H49" s="146"/>
      <c r="I49" s="4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Derek</v>
      </c>
      <c r="K49" s="169">
        <v>3.0</v>
      </c>
      <c r="L49" s="4">
        <f t="shared" si="6"/>
        <v>14</v>
      </c>
      <c r="M49" s="169">
        <v>2.0</v>
      </c>
      <c r="N49" s="169">
        <v>0.0</v>
      </c>
      <c r="O49" s="169">
        <v>10.0</v>
      </c>
      <c r="P49" s="169">
        <v>2.0</v>
      </c>
      <c r="Q49" s="169">
        <v>35.0</v>
      </c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TC</v>
      </c>
      <c r="B50" s="146"/>
      <c r="C50" s="146" t="str">
        <f t="shared" si="5"/>
        <v/>
      </c>
      <c r="D50" s="146"/>
      <c r="E50" s="146"/>
      <c r="F50" s="146"/>
      <c r="G50" s="146"/>
      <c r="H50" s="146"/>
      <c r="I50" s="4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Neo</v>
      </c>
      <c r="K50" s="146"/>
      <c r="L50" s="146" t="str">
        <f t="shared" si="6"/>
        <v/>
      </c>
      <c r="M50" s="146"/>
      <c r="N50" s="146"/>
      <c r="O50" s="146"/>
      <c r="P50" s="146"/>
      <c r="Q50" s="146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Adi</v>
      </c>
      <c r="B51" s="4"/>
      <c r="C51" s="4" t="str">
        <f t="shared" si="5"/>
        <v/>
      </c>
      <c r="D51" s="4"/>
      <c r="E51" s="4"/>
      <c r="F51" s="4"/>
      <c r="G51" s="4"/>
      <c r="H51" s="4"/>
      <c r="I51" s="4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Brendan</v>
      </c>
      <c r="K51" s="4"/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/>
      </c>
      <c r="B52" s="4"/>
      <c r="C52" s="4" t="str">
        <f t="shared" si="5"/>
        <v/>
      </c>
      <c r="D52" s="4"/>
      <c r="E52" s="4"/>
      <c r="F52" s="4"/>
      <c r="G52" s="4"/>
      <c r="H52" s="4"/>
      <c r="I52" s="4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Hanono</v>
      </c>
      <c r="K52" s="146"/>
      <c r="L52" s="146" t="str">
        <f t="shared" si="6"/>
        <v/>
      </c>
      <c r="M52" s="146"/>
      <c r="N52" s="146"/>
      <c r="O52" s="146"/>
      <c r="P52" s="146"/>
      <c r="Q52" s="146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B53" s="4"/>
      <c r="C53" s="4" t="str">
        <f t="shared" si="5"/>
        <v/>
      </c>
      <c r="D53" s="4"/>
      <c r="E53" s="4"/>
      <c r="F53" s="4"/>
      <c r="G53" s="4"/>
      <c r="H53" s="4"/>
      <c r="I53" s="4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K53" s="4"/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B54" s="4"/>
      <c r="C54" s="4" t="str">
        <f t="shared" si="5"/>
        <v/>
      </c>
      <c r="D54" s="4"/>
      <c r="E54" s="4"/>
      <c r="F54" s="4"/>
      <c r="G54" s="4"/>
      <c r="H54" s="4"/>
      <c r="I54" s="4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K54" s="4"/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B55" s="4"/>
      <c r="C55" s="4" t="str">
        <f t="shared" si="5"/>
        <v/>
      </c>
      <c r="D55" s="4"/>
      <c r="E55" s="4"/>
      <c r="F55" s="4"/>
      <c r="G55" s="4"/>
      <c r="H55" s="4"/>
      <c r="I55" s="4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K55" s="4"/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B56" s="4"/>
      <c r="C56" s="4" t="str">
        <f t="shared" si="5"/>
        <v/>
      </c>
      <c r="D56" s="4"/>
      <c r="E56" s="4"/>
      <c r="F56" s="4"/>
      <c r="G56" s="4"/>
      <c r="H56" s="4"/>
      <c r="I56" s="4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K56" s="4"/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4"/>
      <c r="C57" s="4" t="str">
        <f t="shared" si="5"/>
        <v/>
      </c>
      <c r="D57" s="4"/>
      <c r="E57" s="4"/>
      <c r="F57" s="4"/>
      <c r="G57" s="4"/>
      <c r="H57" s="4"/>
      <c r="I57" s="4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4"/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0" t="s">
        <v>221</v>
      </c>
      <c r="B58" s="3"/>
      <c r="C58" s="176">
        <v>1.0</v>
      </c>
      <c r="D58" s="3"/>
      <c r="E58" s="3"/>
      <c r="F58" s="3"/>
      <c r="G58" s="3"/>
      <c r="H58" s="3"/>
      <c r="I58" s="4"/>
      <c r="J58" s="170" t="s">
        <v>221</v>
      </c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>
      <c r="A59" s="81" t="s">
        <v>184</v>
      </c>
      <c r="B59" s="173"/>
      <c r="C59" s="174">
        <f>sum(C43:C58)</f>
        <v>100</v>
      </c>
      <c r="D59" s="4"/>
      <c r="E59" s="4"/>
      <c r="F59" s="4"/>
      <c r="G59" s="4"/>
      <c r="H59" s="175">
        <f>sum(C43:C57)/(sum(C43:C57)+sum(H43:H57))</f>
        <v>0.3203883495</v>
      </c>
      <c r="I59" s="4"/>
      <c r="J59" s="81" t="s">
        <v>184</v>
      </c>
      <c r="K59" s="173"/>
      <c r="L59" s="174">
        <f>sum(L43:L58)</f>
        <v>95</v>
      </c>
      <c r="M59" s="4"/>
      <c r="N59" s="4"/>
      <c r="O59" s="4"/>
      <c r="P59" s="4"/>
      <c r="Q59" s="175">
        <f>sum(L43:L57)/(sum(L43:L57)+sum(Q43:Q57))</f>
        <v>0.3135313531</v>
      </c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Team F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Win</v>
      </c>
      <c r="F61" s="4" t="str">
        <f t="shared" si="7"/>
        <v/>
      </c>
      <c r="G61" s="177" t="str">
        <f t="shared" si="7"/>
        <v>Margin</v>
      </c>
      <c r="H61" s="124">
        <f t="shared" si="7"/>
        <v>1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BXu</v>
      </c>
      <c r="B63" s="124">
        <f t="shared" si="9"/>
        <v>6</v>
      </c>
      <c r="C63" s="124">
        <f t="shared" si="9"/>
        <v>19</v>
      </c>
      <c r="D63" s="124">
        <f t="shared" si="9"/>
        <v>13</v>
      </c>
      <c r="E63" s="124">
        <f t="shared" si="9"/>
        <v>2</v>
      </c>
      <c r="F63" s="124">
        <f t="shared" si="9"/>
        <v>3</v>
      </c>
      <c r="G63" s="124">
        <f t="shared" si="9"/>
        <v>1</v>
      </c>
      <c r="H63" s="124">
        <f t="shared" si="9"/>
        <v>26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JChan</v>
      </c>
      <c r="B64" s="124">
        <f t="shared" si="10"/>
        <v>1</v>
      </c>
      <c r="C64" s="124">
        <f t="shared" si="10"/>
        <v>13</v>
      </c>
      <c r="D64" s="124">
        <f t="shared" si="10"/>
        <v>8</v>
      </c>
      <c r="E64" s="124">
        <f t="shared" si="10"/>
        <v>3</v>
      </c>
      <c r="F64" s="124">
        <f t="shared" si="10"/>
        <v>2</v>
      </c>
      <c r="G64" s="124">
        <f t="shared" si="10"/>
        <v>0</v>
      </c>
      <c r="H64" s="124">
        <f t="shared" si="10"/>
        <v>26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DC</v>
      </c>
      <c r="B65" s="124">
        <f t="shared" si="11"/>
        <v>5</v>
      </c>
      <c r="C65" s="124">
        <f t="shared" si="11"/>
        <v>15</v>
      </c>
      <c r="D65" s="124">
        <f t="shared" si="11"/>
        <v>2</v>
      </c>
      <c r="E65" s="124">
        <f t="shared" si="11"/>
        <v>0</v>
      </c>
      <c r="F65" s="124">
        <f t="shared" si="11"/>
        <v>13</v>
      </c>
      <c r="G65" s="124">
        <f t="shared" si="11"/>
        <v>0</v>
      </c>
      <c r="H65" s="124">
        <f t="shared" si="11"/>
        <v>24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Schmid</v>
      </c>
      <c r="B66" s="4">
        <f t="shared" si="12"/>
        <v>2</v>
      </c>
      <c r="C66" s="4">
        <f t="shared" si="12"/>
        <v>29</v>
      </c>
      <c r="D66" s="4">
        <f t="shared" si="12"/>
        <v>2</v>
      </c>
      <c r="E66" s="4">
        <f t="shared" si="12"/>
        <v>1</v>
      </c>
      <c r="F66" s="4">
        <f t="shared" si="12"/>
        <v>22</v>
      </c>
      <c r="G66" s="4">
        <f t="shared" si="12"/>
        <v>4</v>
      </c>
      <c r="H66" s="4">
        <f t="shared" si="12"/>
        <v>20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Kian</v>
      </c>
      <c r="B67" s="4">
        <f t="shared" si="13"/>
        <v>3</v>
      </c>
      <c r="C67" s="4">
        <f t="shared" si="13"/>
        <v>13</v>
      </c>
      <c r="D67" s="4">
        <f t="shared" si="13"/>
        <v>6</v>
      </c>
      <c r="E67" s="4">
        <f t="shared" si="13"/>
        <v>2</v>
      </c>
      <c r="F67" s="4">
        <f t="shared" si="13"/>
        <v>4</v>
      </c>
      <c r="G67" s="4">
        <f t="shared" si="13"/>
        <v>1</v>
      </c>
      <c r="H67" s="4">
        <f t="shared" si="13"/>
        <v>28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Hando</v>
      </c>
      <c r="B68" s="124">
        <f t="shared" si="14"/>
        <v>4</v>
      </c>
      <c r="C68" s="124">
        <f t="shared" si="14"/>
        <v>11</v>
      </c>
      <c r="D68" s="124">
        <f t="shared" si="14"/>
        <v>6</v>
      </c>
      <c r="E68" s="124">
        <f t="shared" si="14"/>
        <v>0</v>
      </c>
      <c r="F68" s="124">
        <f t="shared" si="14"/>
        <v>4</v>
      </c>
      <c r="G68" s="124">
        <f t="shared" si="14"/>
        <v>1</v>
      </c>
      <c r="H68" s="124">
        <f t="shared" si="14"/>
        <v>27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Petric</v>
      </c>
      <c r="B69" s="124" t="str">
        <f t="shared" si="15"/>
        <v/>
      </c>
      <c r="C69" s="124" t="str">
        <f t="shared" si="15"/>
        <v/>
      </c>
      <c r="D69" s="124" t="str">
        <f t="shared" si="15"/>
        <v/>
      </c>
      <c r="E69" s="124" t="str">
        <f t="shared" si="15"/>
        <v/>
      </c>
      <c r="F69" s="124" t="str">
        <f t="shared" si="15"/>
        <v/>
      </c>
      <c r="G69" s="124" t="str">
        <f t="shared" si="15"/>
        <v/>
      </c>
      <c r="H69" s="12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>Mike Zhou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>Cole</v>
      </c>
      <c r="B71" s="124" t="str">
        <f t="shared" si="17"/>
        <v/>
      </c>
      <c r="C71" s="124" t="str">
        <f t="shared" si="17"/>
        <v/>
      </c>
      <c r="D71" s="124" t="str">
        <f t="shared" si="17"/>
        <v/>
      </c>
      <c r="E71" s="124" t="str">
        <f t="shared" si="17"/>
        <v/>
      </c>
      <c r="F71" s="124" t="str">
        <f t="shared" si="17"/>
        <v/>
      </c>
      <c r="G71" s="124" t="str">
        <f t="shared" si="17"/>
        <v/>
      </c>
      <c r="H71" s="12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>
        <f t="shared" si="24"/>
        <v>1</v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101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0.3984063745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Loss</v>
      </c>
      <c r="F81" s="4" t="str">
        <f t="shared" si="27"/>
        <v/>
      </c>
      <c r="G81" s="177" t="str">
        <f t="shared" si="27"/>
        <v>Margin</v>
      </c>
      <c r="H81" s="124">
        <f t="shared" si="27"/>
        <v>-20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Taran</v>
      </c>
      <c r="B83" s="124">
        <f t="shared" si="29"/>
        <v>6</v>
      </c>
      <c r="C83" s="124">
        <f t="shared" si="29"/>
        <v>17</v>
      </c>
      <c r="D83" s="124">
        <f t="shared" si="29"/>
        <v>9</v>
      </c>
      <c r="E83" s="124">
        <f t="shared" si="29"/>
        <v>1</v>
      </c>
      <c r="F83" s="124">
        <f t="shared" si="29"/>
        <v>5</v>
      </c>
      <c r="G83" s="124">
        <f t="shared" si="29"/>
        <v>2</v>
      </c>
      <c r="H83" s="124">
        <f t="shared" si="29"/>
        <v>24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Miguel F</v>
      </c>
      <c r="B84" s="124">
        <f t="shared" si="30"/>
        <v>5</v>
      </c>
      <c r="C84" s="124">
        <f t="shared" si="30"/>
        <v>13</v>
      </c>
      <c r="D84" s="124">
        <f t="shared" si="30"/>
        <v>7</v>
      </c>
      <c r="E84" s="124">
        <f t="shared" si="30"/>
        <v>2</v>
      </c>
      <c r="F84" s="124">
        <f t="shared" si="30"/>
        <v>3</v>
      </c>
      <c r="G84" s="124">
        <f t="shared" si="30"/>
        <v>1</v>
      </c>
      <c r="H84" s="124">
        <f t="shared" si="30"/>
        <v>26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Mike H</v>
      </c>
      <c r="B85" s="124">
        <f t="shared" si="31"/>
        <v>1</v>
      </c>
      <c r="C85" s="124">
        <f t="shared" si="31"/>
        <v>13</v>
      </c>
      <c r="D85" s="124">
        <f t="shared" si="31"/>
        <v>3</v>
      </c>
      <c r="E85" s="124">
        <f t="shared" si="31"/>
        <v>0</v>
      </c>
      <c r="F85" s="124">
        <f t="shared" si="31"/>
        <v>10</v>
      </c>
      <c r="G85" s="124">
        <f t="shared" si="31"/>
        <v>0</v>
      </c>
      <c r="H85" s="124">
        <f t="shared" si="31"/>
        <v>24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Madams</v>
      </c>
      <c r="B86" s="124">
        <f t="shared" si="32"/>
        <v>4</v>
      </c>
      <c r="C86" s="124">
        <f t="shared" si="32"/>
        <v>13</v>
      </c>
      <c r="D86" s="124">
        <f t="shared" si="32"/>
        <v>6</v>
      </c>
      <c r="E86" s="124">
        <f t="shared" si="32"/>
        <v>0</v>
      </c>
      <c r="F86" s="124">
        <f t="shared" si="32"/>
        <v>6</v>
      </c>
      <c r="G86" s="124">
        <f t="shared" si="32"/>
        <v>1</v>
      </c>
      <c r="H86" s="124">
        <f t="shared" si="32"/>
        <v>27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Jay S</v>
      </c>
      <c r="B87" s="124">
        <f t="shared" si="33"/>
        <v>2</v>
      </c>
      <c r="C87" s="124">
        <f t="shared" si="33"/>
        <v>13</v>
      </c>
      <c r="D87" s="124">
        <f t="shared" si="33"/>
        <v>10</v>
      </c>
      <c r="E87" s="124">
        <f t="shared" si="33"/>
        <v>0</v>
      </c>
      <c r="F87" s="124">
        <f t="shared" si="33"/>
        <v>3</v>
      </c>
      <c r="G87" s="124">
        <f t="shared" si="33"/>
        <v>0</v>
      </c>
      <c r="H87" s="124">
        <f t="shared" si="33"/>
        <v>25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Tripp</v>
      </c>
      <c r="B88" s="4">
        <f t="shared" si="34"/>
        <v>3</v>
      </c>
      <c r="C88" s="4">
        <f t="shared" si="34"/>
        <v>11</v>
      </c>
      <c r="D88" s="4">
        <f t="shared" si="34"/>
        <v>4</v>
      </c>
      <c r="E88" s="4">
        <f t="shared" si="34"/>
        <v>0</v>
      </c>
      <c r="F88" s="4">
        <f t="shared" si="34"/>
        <v>7</v>
      </c>
      <c r="G88" s="4">
        <f t="shared" si="34"/>
        <v>0</v>
      </c>
      <c r="H88" s="4">
        <f t="shared" si="34"/>
        <v>26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Lulu</v>
      </c>
      <c r="B89" s="124" t="str">
        <f t="shared" si="35"/>
        <v/>
      </c>
      <c r="C89" s="124" t="str">
        <f t="shared" si="35"/>
        <v/>
      </c>
      <c r="D89" s="124" t="str">
        <f t="shared" si="35"/>
        <v/>
      </c>
      <c r="E89" s="124" t="str">
        <f t="shared" si="35"/>
        <v/>
      </c>
      <c r="F89" s="124" t="str">
        <f t="shared" si="35"/>
        <v/>
      </c>
      <c r="G89" s="124" t="str">
        <f t="shared" si="35"/>
        <v/>
      </c>
      <c r="H89" s="12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Ilt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Pasha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80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0.3448275862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Gargantuan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Loss</v>
      </c>
      <c r="F101" s="4" t="str">
        <f t="shared" si="47"/>
        <v/>
      </c>
      <c r="G101" s="177" t="str">
        <f t="shared" si="47"/>
        <v>Margin</v>
      </c>
      <c r="H101" s="124">
        <f t="shared" si="47"/>
        <v>-5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Maas</v>
      </c>
      <c r="B103" s="124">
        <f t="shared" si="49"/>
        <v>6</v>
      </c>
      <c r="C103" s="124">
        <f t="shared" si="49"/>
        <v>14</v>
      </c>
      <c r="D103" s="124">
        <f t="shared" si="49"/>
        <v>6</v>
      </c>
      <c r="E103" s="124">
        <f t="shared" si="49"/>
        <v>4</v>
      </c>
      <c r="F103" s="124">
        <f t="shared" si="49"/>
        <v>4</v>
      </c>
      <c r="G103" s="124">
        <f t="shared" si="49"/>
        <v>0</v>
      </c>
      <c r="H103" s="124">
        <f t="shared" si="49"/>
        <v>34</v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Hawkins</v>
      </c>
      <c r="B104" s="124">
        <f t="shared" si="50"/>
        <v>2</v>
      </c>
      <c r="C104" s="124">
        <f t="shared" si="50"/>
        <v>25</v>
      </c>
      <c r="D104" s="124">
        <f t="shared" si="50"/>
        <v>7</v>
      </c>
      <c r="E104" s="124">
        <f t="shared" si="50"/>
        <v>1</v>
      </c>
      <c r="F104" s="124">
        <f t="shared" si="50"/>
        <v>15</v>
      </c>
      <c r="G104" s="124">
        <f t="shared" si="50"/>
        <v>2</v>
      </c>
      <c r="H104" s="124">
        <f t="shared" si="50"/>
        <v>32</v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Grish</v>
      </c>
      <c r="B105" s="4">
        <f t="shared" si="51"/>
        <v>5</v>
      </c>
      <c r="C105" s="4">
        <f t="shared" si="51"/>
        <v>14</v>
      </c>
      <c r="D105" s="4">
        <f t="shared" si="51"/>
        <v>7</v>
      </c>
      <c r="E105" s="4">
        <f t="shared" si="51"/>
        <v>0</v>
      </c>
      <c r="F105" s="4">
        <f t="shared" si="51"/>
        <v>7</v>
      </c>
      <c r="G105" s="4">
        <f t="shared" si="51"/>
        <v>0</v>
      </c>
      <c r="H105" s="4">
        <f t="shared" si="51"/>
        <v>34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Rockett</v>
      </c>
      <c r="B106" s="124">
        <f t="shared" si="52"/>
        <v>1</v>
      </c>
      <c r="C106" s="124">
        <f t="shared" si="52"/>
        <v>14</v>
      </c>
      <c r="D106" s="124">
        <f t="shared" si="52"/>
        <v>9</v>
      </c>
      <c r="E106" s="124">
        <f t="shared" si="52"/>
        <v>0</v>
      </c>
      <c r="F106" s="124">
        <f t="shared" si="52"/>
        <v>5</v>
      </c>
      <c r="G106" s="124">
        <f t="shared" si="52"/>
        <v>0</v>
      </c>
      <c r="H106" s="124">
        <f t="shared" si="52"/>
        <v>35</v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Du</v>
      </c>
      <c r="B107" s="4">
        <f t="shared" si="53"/>
        <v>4</v>
      </c>
      <c r="C107" s="4">
        <f t="shared" si="53"/>
        <v>14</v>
      </c>
      <c r="D107" s="4">
        <f t="shared" si="53"/>
        <v>9</v>
      </c>
      <c r="E107" s="4">
        <f t="shared" si="53"/>
        <v>0</v>
      </c>
      <c r="F107" s="4">
        <f t="shared" si="53"/>
        <v>5</v>
      </c>
      <c r="G107" s="4">
        <f t="shared" si="53"/>
        <v>0</v>
      </c>
      <c r="H107" s="4">
        <f t="shared" si="53"/>
        <v>38</v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Raymond</v>
      </c>
      <c r="B108" s="124" t="str">
        <f t="shared" si="54"/>
        <v/>
      </c>
      <c r="C108" s="124" t="str">
        <f t="shared" si="54"/>
        <v/>
      </c>
      <c r="D108" s="124" t="str">
        <f t="shared" si="54"/>
        <v/>
      </c>
      <c r="E108" s="124" t="str">
        <f t="shared" si="54"/>
        <v/>
      </c>
      <c r="F108" s="124" t="str">
        <f t="shared" si="54"/>
        <v/>
      </c>
      <c r="G108" s="124" t="str">
        <f t="shared" si="54"/>
        <v/>
      </c>
      <c r="H108" s="12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Derek</v>
      </c>
      <c r="B109" s="4">
        <f t="shared" si="55"/>
        <v>3</v>
      </c>
      <c r="C109" s="4">
        <f t="shared" si="55"/>
        <v>14</v>
      </c>
      <c r="D109" s="4">
        <f t="shared" si="55"/>
        <v>2</v>
      </c>
      <c r="E109" s="4">
        <f t="shared" si="55"/>
        <v>0</v>
      </c>
      <c r="F109" s="4">
        <f t="shared" si="55"/>
        <v>10</v>
      </c>
      <c r="G109" s="4">
        <f t="shared" si="55"/>
        <v>2</v>
      </c>
      <c r="H109" s="4">
        <f t="shared" si="55"/>
        <v>35</v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Neo</v>
      </c>
      <c r="B110" s="124" t="str">
        <f t="shared" si="56"/>
        <v/>
      </c>
      <c r="C110" s="124" t="str">
        <f t="shared" si="56"/>
        <v/>
      </c>
      <c r="D110" s="124" t="str">
        <f t="shared" si="56"/>
        <v/>
      </c>
      <c r="E110" s="124" t="str">
        <f t="shared" si="56"/>
        <v/>
      </c>
      <c r="F110" s="124" t="str">
        <f t="shared" si="56"/>
        <v/>
      </c>
      <c r="G110" s="124" t="str">
        <f t="shared" si="56"/>
        <v/>
      </c>
      <c r="H110" s="12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Brendan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>Hanono</v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95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0.3135313531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tr">
        <f t="shared" ref="A122:Q122" si="68">J62</f>
        <v/>
      </c>
      <c r="B122" s="4" t="str">
        <f t="shared" si="68"/>
        <v/>
      </c>
      <c r="C122" s="4" t="str">
        <f t="shared" si="68"/>
        <v/>
      </c>
      <c r="D122" s="4" t="str">
        <f t="shared" si="68"/>
        <v/>
      </c>
      <c r="E122" s="4" t="str">
        <f t="shared" si="68"/>
        <v/>
      </c>
      <c r="F122" s="4" t="str">
        <f t="shared" si="68"/>
        <v/>
      </c>
      <c r="G122" s="4" t="str">
        <f t="shared" si="68"/>
        <v/>
      </c>
      <c r="H122" s="4" t="str">
        <f t="shared" si="68"/>
        <v/>
      </c>
      <c r="I122" s="4" t="str">
        <f t="shared" si="68"/>
        <v/>
      </c>
      <c r="J122" s="4" t="str">
        <f t="shared" si="68"/>
        <v/>
      </c>
      <c r="K122" s="4" t="str">
        <f t="shared" si="68"/>
        <v/>
      </c>
      <c r="L122" s="4" t="str">
        <f t="shared" si="68"/>
        <v/>
      </c>
      <c r="M122" s="4" t="str">
        <f t="shared" si="68"/>
        <v/>
      </c>
      <c r="N122" s="4" t="str">
        <f t="shared" si="68"/>
        <v/>
      </c>
      <c r="O122" s="4" t="str">
        <f t="shared" si="68"/>
        <v/>
      </c>
      <c r="P122" s="4" t="str">
        <f t="shared" si="68"/>
        <v/>
      </c>
      <c r="Q122" s="4" t="str">
        <f t="shared" si="68"/>
        <v/>
      </c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tr">
        <f t="shared" ref="A123:Q123" si="69">J63</f>
        <v/>
      </c>
      <c r="B123" s="4" t="str">
        <f t="shared" si="69"/>
        <v/>
      </c>
      <c r="C123" s="4" t="str">
        <f t="shared" si="69"/>
        <v/>
      </c>
      <c r="D123" s="4" t="str">
        <f t="shared" si="69"/>
        <v/>
      </c>
      <c r="E123" s="4" t="str">
        <f t="shared" si="69"/>
        <v/>
      </c>
      <c r="F123" s="4" t="str">
        <f t="shared" si="69"/>
        <v/>
      </c>
      <c r="G123" s="4" t="str">
        <f t="shared" si="69"/>
        <v/>
      </c>
      <c r="H123" s="4" t="str">
        <f t="shared" si="69"/>
        <v/>
      </c>
      <c r="I123" s="4" t="str">
        <f t="shared" si="69"/>
        <v/>
      </c>
      <c r="J123" s="4" t="str">
        <f t="shared" si="69"/>
        <v/>
      </c>
      <c r="K123" s="4" t="str">
        <f t="shared" si="69"/>
        <v/>
      </c>
      <c r="L123" s="4" t="str">
        <f t="shared" si="69"/>
        <v/>
      </c>
      <c r="M123" s="4" t="str">
        <f t="shared" si="69"/>
        <v/>
      </c>
      <c r="N123" s="4" t="str">
        <f t="shared" si="69"/>
        <v/>
      </c>
      <c r="O123" s="4" t="str">
        <f t="shared" si="69"/>
        <v/>
      </c>
      <c r="P123" s="4" t="str">
        <f t="shared" si="69"/>
        <v/>
      </c>
      <c r="Q123" s="4" t="str">
        <f t="shared" si="69"/>
        <v/>
      </c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tr">
        <f t="shared" ref="A124:Q124" si="70">J64</f>
        <v/>
      </c>
      <c r="B124" s="4" t="str">
        <f t="shared" si="70"/>
        <v/>
      </c>
      <c r="C124" s="4" t="str">
        <f t="shared" si="70"/>
        <v/>
      </c>
      <c r="D124" s="4" t="str">
        <f t="shared" si="70"/>
        <v/>
      </c>
      <c r="E124" s="4" t="str">
        <f t="shared" si="70"/>
        <v/>
      </c>
      <c r="F124" s="4" t="str">
        <f t="shared" si="70"/>
        <v/>
      </c>
      <c r="G124" s="4" t="str">
        <f t="shared" si="70"/>
        <v/>
      </c>
      <c r="H124" s="4" t="str">
        <f t="shared" si="70"/>
        <v/>
      </c>
      <c r="I124" s="4" t="str">
        <f t="shared" si="70"/>
        <v/>
      </c>
      <c r="J124" s="4" t="str">
        <f t="shared" si="70"/>
        <v/>
      </c>
      <c r="K124" s="4" t="str">
        <f t="shared" si="70"/>
        <v/>
      </c>
      <c r="L124" s="4" t="str">
        <f t="shared" si="70"/>
        <v/>
      </c>
      <c r="M124" s="4" t="str">
        <f t="shared" si="70"/>
        <v/>
      </c>
      <c r="N124" s="4" t="str">
        <f t="shared" si="70"/>
        <v/>
      </c>
      <c r="O124" s="4" t="str">
        <f t="shared" si="70"/>
        <v/>
      </c>
      <c r="P124" s="4" t="str">
        <f t="shared" si="70"/>
        <v/>
      </c>
      <c r="Q124" s="4" t="str">
        <f t="shared" si="70"/>
        <v/>
      </c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tr">
        <f t="shared" ref="A125:Q125" si="71">J65</f>
        <v/>
      </c>
      <c r="B125" s="4" t="str">
        <f t="shared" si="71"/>
        <v/>
      </c>
      <c r="C125" s="4" t="str">
        <f t="shared" si="71"/>
        <v/>
      </c>
      <c r="D125" s="4" t="str">
        <f t="shared" si="71"/>
        <v/>
      </c>
      <c r="E125" s="4" t="str">
        <f t="shared" si="71"/>
        <v/>
      </c>
      <c r="F125" s="4" t="str">
        <f t="shared" si="71"/>
        <v/>
      </c>
      <c r="G125" s="4" t="str">
        <f t="shared" si="71"/>
        <v/>
      </c>
      <c r="H125" s="4" t="str">
        <f t="shared" si="71"/>
        <v/>
      </c>
      <c r="I125" s="4" t="str">
        <f t="shared" si="71"/>
        <v/>
      </c>
      <c r="J125" s="4" t="str">
        <f t="shared" si="71"/>
        <v/>
      </c>
      <c r="K125" s="4" t="str">
        <f t="shared" si="71"/>
        <v/>
      </c>
      <c r="L125" s="4" t="str">
        <f t="shared" si="71"/>
        <v/>
      </c>
      <c r="M125" s="4" t="str">
        <f t="shared" si="71"/>
        <v/>
      </c>
      <c r="N125" s="4" t="str">
        <f t="shared" si="71"/>
        <v/>
      </c>
      <c r="O125" s="4" t="str">
        <f t="shared" si="71"/>
        <v/>
      </c>
      <c r="P125" s="4" t="str">
        <f t="shared" si="71"/>
        <v/>
      </c>
      <c r="Q125" s="4" t="str">
        <f t="shared" si="71"/>
        <v/>
      </c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tr">
        <f t="shared" ref="A126:Q126" si="72">J66</f>
        <v/>
      </c>
      <c r="B126" s="4" t="str">
        <f t="shared" si="72"/>
        <v/>
      </c>
      <c r="C126" s="4" t="str">
        <f t="shared" si="72"/>
        <v/>
      </c>
      <c r="D126" s="4" t="str">
        <f t="shared" si="72"/>
        <v/>
      </c>
      <c r="E126" s="4" t="str">
        <f t="shared" si="72"/>
        <v/>
      </c>
      <c r="F126" s="4" t="str">
        <f t="shared" si="72"/>
        <v/>
      </c>
      <c r="G126" s="4" t="str">
        <f t="shared" si="72"/>
        <v/>
      </c>
      <c r="H126" s="4" t="str">
        <f t="shared" si="72"/>
        <v/>
      </c>
      <c r="I126" s="4" t="str">
        <f t="shared" si="72"/>
        <v/>
      </c>
      <c r="J126" s="4" t="str">
        <f t="shared" si="72"/>
        <v/>
      </c>
      <c r="K126" s="4" t="str">
        <f t="shared" si="72"/>
        <v/>
      </c>
      <c r="L126" s="4" t="str">
        <f t="shared" si="72"/>
        <v/>
      </c>
      <c r="M126" s="4" t="str">
        <f t="shared" si="72"/>
        <v/>
      </c>
      <c r="N126" s="4" t="str">
        <f t="shared" si="72"/>
        <v/>
      </c>
      <c r="O126" s="4" t="str">
        <f t="shared" si="72"/>
        <v/>
      </c>
      <c r="P126" s="4" t="str">
        <f t="shared" si="72"/>
        <v/>
      </c>
      <c r="Q126" s="4" t="str">
        <f t="shared" si="72"/>
        <v/>
      </c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tr">
        <f t="shared" ref="A127:Q127" si="73">J67</f>
        <v/>
      </c>
      <c r="B127" s="4" t="str">
        <f t="shared" si="73"/>
        <v/>
      </c>
      <c r="C127" s="4" t="str">
        <f t="shared" si="73"/>
        <v/>
      </c>
      <c r="D127" s="4" t="str">
        <f t="shared" si="73"/>
        <v/>
      </c>
      <c r="E127" s="4" t="str">
        <f t="shared" si="73"/>
        <v/>
      </c>
      <c r="F127" s="4" t="str">
        <f t="shared" si="73"/>
        <v/>
      </c>
      <c r="G127" s="4" t="str">
        <f t="shared" si="73"/>
        <v/>
      </c>
      <c r="H127" s="4" t="str">
        <f t="shared" si="73"/>
        <v/>
      </c>
      <c r="I127" s="4" t="str">
        <f t="shared" si="73"/>
        <v/>
      </c>
      <c r="J127" s="4" t="str">
        <f t="shared" si="73"/>
        <v/>
      </c>
      <c r="K127" s="4" t="str">
        <f t="shared" si="73"/>
        <v/>
      </c>
      <c r="L127" s="4" t="str">
        <f t="shared" si="73"/>
        <v/>
      </c>
      <c r="M127" s="4" t="str">
        <f t="shared" si="73"/>
        <v/>
      </c>
      <c r="N127" s="4" t="str">
        <f t="shared" si="73"/>
        <v/>
      </c>
      <c r="O127" s="4" t="str">
        <f t="shared" si="73"/>
        <v/>
      </c>
      <c r="P127" s="4" t="str">
        <f t="shared" si="73"/>
        <v/>
      </c>
      <c r="Q127" s="4" t="str">
        <f t="shared" si="73"/>
        <v/>
      </c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tr">
        <f t="shared" ref="A128:Q128" si="74">J68</f>
        <v/>
      </c>
      <c r="B128" s="4" t="str">
        <f t="shared" si="74"/>
        <v/>
      </c>
      <c r="C128" s="4" t="str">
        <f t="shared" si="74"/>
        <v/>
      </c>
      <c r="D128" s="4" t="str">
        <f t="shared" si="74"/>
        <v/>
      </c>
      <c r="E128" s="4" t="str">
        <f t="shared" si="74"/>
        <v/>
      </c>
      <c r="F128" s="4" t="str">
        <f t="shared" si="74"/>
        <v/>
      </c>
      <c r="G128" s="4" t="str">
        <f t="shared" si="74"/>
        <v/>
      </c>
      <c r="H128" s="4" t="str">
        <f t="shared" si="74"/>
        <v/>
      </c>
      <c r="I128" s="4" t="str">
        <f t="shared" si="74"/>
        <v/>
      </c>
      <c r="J128" s="4" t="str">
        <f t="shared" si="74"/>
        <v/>
      </c>
      <c r="K128" s="4" t="str">
        <f t="shared" si="74"/>
        <v/>
      </c>
      <c r="L128" s="4" t="str">
        <f t="shared" si="74"/>
        <v/>
      </c>
      <c r="M128" s="4" t="str">
        <f t="shared" si="74"/>
        <v/>
      </c>
      <c r="N128" s="4" t="str">
        <f t="shared" si="74"/>
        <v/>
      </c>
      <c r="O128" s="4" t="str">
        <f t="shared" si="74"/>
        <v/>
      </c>
      <c r="P128" s="4" t="str">
        <f t="shared" si="74"/>
        <v/>
      </c>
      <c r="Q128" s="4" t="str">
        <f t="shared" si="74"/>
        <v/>
      </c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tr">
        <f t="shared" ref="A129:Q129" si="75">J69</f>
        <v/>
      </c>
      <c r="B129" s="4" t="str">
        <f t="shared" si="75"/>
        <v/>
      </c>
      <c r="C129" s="4" t="str">
        <f t="shared" si="75"/>
        <v/>
      </c>
      <c r="D129" s="4" t="str">
        <f t="shared" si="75"/>
        <v/>
      </c>
      <c r="E129" s="4" t="str">
        <f t="shared" si="75"/>
        <v/>
      </c>
      <c r="F129" s="4" t="str">
        <f t="shared" si="75"/>
        <v/>
      </c>
      <c r="G129" s="4" t="str">
        <f t="shared" si="75"/>
        <v/>
      </c>
      <c r="H129" s="4" t="str">
        <f t="shared" si="75"/>
        <v/>
      </c>
      <c r="I129" s="4" t="str">
        <f t="shared" si="75"/>
        <v/>
      </c>
      <c r="J129" s="4" t="str">
        <f t="shared" si="75"/>
        <v/>
      </c>
      <c r="K129" s="4" t="str">
        <f t="shared" si="75"/>
        <v/>
      </c>
      <c r="L129" s="4" t="str">
        <f t="shared" si="75"/>
        <v/>
      </c>
      <c r="M129" s="4" t="str">
        <f t="shared" si="75"/>
        <v/>
      </c>
      <c r="N129" s="4" t="str">
        <f t="shared" si="75"/>
        <v/>
      </c>
      <c r="O129" s="4" t="str">
        <f t="shared" si="75"/>
        <v/>
      </c>
      <c r="P129" s="4" t="str">
        <f t="shared" si="75"/>
        <v/>
      </c>
      <c r="Q129" s="4" t="str">
        <f t="shared" si="75"/>
        <v/>
      </c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Schedule'!C3</f>
        <v>Gargantuan</v>
      </c>
      <c r="D1" s="4" t="s">
        <v>176</v>
      </c>
      <c r="E1" s="4" t="str">
        <f>if(C19&gt;L19, "Win", "Loss")</f>
        <v>Loss</v>
      </c>
      <c r="G1" s="75" t="s">
        <v>177</v>
      </c>
      <c r="H1" s="128">
        <f>C19-L19</f>
        <v>0</v>
      </c>
      <c r="I1" s="178" t="s">
        <v>214</v>
      </c>
      <c r="J1" s="165" t="str">
        <f>'Full Schedule'!D3</f>
        <v>Candice?</v>
      </c>
      <c r="M1" s="75" t="s">
        <v>176</v>
      </c>
      <c r="N1" s="128" t="str">
        <f>if(L19&gt;C19, "Win", "Loss")</f>
        <v>Loss</v>
      </c>
      <c r="P1" s="75" t="s">
        <v>177</v>
      </c>
      <c r="Q1" s="128">
        <f>L19-C19</f>
        <v>0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Maas</v>
      </c>
      <c r="B3" s="75">
        <v>6.0</v>
      </c>
      <c r="C3" s="181">
        <f t="shared" ref="C3:C17" si="1">if(sum(D3:G3)&gt;0, sum(D3:G3), "")</f>
        <v>27</v>
      </c>
      <c r="D3" s="75">
        <v>12.0</v>
      </c>
      <c r="E3" s="75">
        <v>5.0</v>
      </c>
      <c r="F3" s="75">
        <v>7.0</v>
      </c>
      <c r="G3" s="75">
        <v>3.0</v>
      </c>
      <c r="H3" s="75">
        <v>28.0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146">
        <v>4.0</v>
      </c>
      <c r="L3" s="181">
        <f t="shared" ref="L3:L17" si="2">if(sum(M3:P3)&gt;0, sum(M3:P3), "")</f>
        <v>17</v>
      </c>
      <c r="M3" s="146">
        <v>7.0</v>
      </c>
      <c r="N3" s="146">
        <v>0.0</v>
      </c>
      <c r="O3" s="146">
        <v>8.0</v>
      </c>
      <c r="P3" s="146">
        <v>2.0</v>
      </c>
      <c r="Q3" s="146">
        <v>27.0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Hawkins</v>
      </c>
      <c r="B4" s="75">
        <v>1.0</v>
      </c>
      <c r="C4" s="146">
        <f t="shared" si="1"/>
        <v>26</v>
      </c>
      <c r="D4" s="75">
        <v>4.0</v>
      </c>
      <c r="E4" s="75">
        <v>2.0</v>
      </c>
      <c r="F4" s="75">
        <v>18.0</v>
      </c>
      <c r="G4" s="75">
        <v>2.0</v>
      </c>
      <c r="H4" s="75">
        <v>25.0</v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 Y</v>
      </c>
      <c r="K4" s="146">
        <v>5.0</v>
      </c>
      <c r="L4" s="146">
        <f t="shared" si="2"/>
        <v>15</v>
      </c>
      <c r="M4" s="146">
        <v>3.0</v>
      </c>
      <c r="N4" s="146">
        <v>4.0</v>
      </c>
      <c r="O4" s="146">
        <v>5.0</v>
      </c>
      <c r="P4" s="146">
        <v>3.0</v>
      </c>
      <c r="Q4" s="146">
        <v>28.0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Grish</v>
      </c>
      <c r="B5" s="75">
        <v>5.0</v>
      </c>
      <c r="C5" s="4">
        <f t="shared" si="1"/>
        <v>8</v>
      </c>
      <c r="D5" s="75">
        <v>6.0</v>
      </c>
      <c r="E5" s="75">
        <v>0.0</v>
      </c>
      <c r="F5" s="75">
        <v>2.0</v>
      </c>
      <c r="G5" s="75">
        <v>0.0</v>
      </c>
      <c r="H5" s="75">
        <v>29.0</v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Porco</v>
      </c>
      <c r="K5" s="146">
        <v>6.0</v>
      </c>
      <c r="L5" s="146">
        <f t="shared" si="2"/>
        <v>16</v>
      </c>
      <c r="M5" s="146">
        <v>6.0</v>
      </c>
      <c r="N5" s="146">
        <v>2.0</v>
      </c>
      <c r="O5" s="146">
        <v>8.0</v>
      </c>
      <c r="P5" s="146">
        <v>0.0</v>
      </c>
      <c r="Q5" s="146">
        <v>29.0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Rockett</v>
      </c>
      <c r="B6" s="75">
        <v>3.0</v>
      </c>
      <c r="C6" s="4">
        <f t="shared" si="1"/>
        <v>10</v>
      </c>
      <c r="D6" s="75">
        <v>7.0</v>
      </c>
      <c r="E6" s="75">
        <v>2.0</v>
      </c>
      <c r="F6" s="75">
        <v>1.0</v>
      </c>
      <c r="G6" s="75">
        <v>0.0</v>
      </c>
      <c r="H6" s="75">
        <v>29.0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Marmo</v>
      </c>
      <c r="K6" s="146">
        <v>1.0</v>
      </c>
      <c r="L6" s="146">
        <f t="shared" si="2"/>
        <v>22</v>
      </c>
      <c r="M6" s="146">
        <v>4.0</v>
      </c>
      <c r="N6" s="146">
        <v>0.0</v>
      </c>
      <c r="O6" s="146">
        <v>18.0</v>
      </c>
      <c r="P6" s="146">
        <v>0.0</v>
      </c>
      <c r="Q6" s="146">
        <v>27.0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Du</v>
      </c>
      <c r="B7" s="75">
        <v>4.0</v>
      </c>
      <c r="C7" s="146">
        <f t="shared" si="1"/>
        <v>9</v>
      </c>
      <c r="D7" s="75">
        <v>2.0</v>
      </c>
      <c r="E7" s="75">
        <v>0.0</v>
      </c>
      <c r="F7" s="75">
        <v>7.0</v>
      </c>
      <c r="G7" s="75">
        <v>0.0</v>
      </c>
      <c r="H7" s="75">
        <v>30.0</v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Swit</v>
      </c>
      <c r="K7" s="146">
        <v>3.0</v>
      </c>
      <c r="L7" s="146">
        <f t="shared" si="2"/>
        <v>12</v>
      </c>
      <c r="M7" s="146">
        <v>10.0</v>
      </c>
      <c r="N7" s="146">
        <v>1.0</v>
      </c>
      <c r="O7" s="146">
        <v>0.0</v>
      </c>
      <c r="P7" s="146">
        <v>1.0</v>
      </c>
      <c r="Q7" s="146">
        <v>28.0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Raymond</v>
      </c>
      <c r="C8" s="146" t="str">
        <f t="shared" si="1"/>
        <v/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Emi</v>
      </c>
      <c r="K8" s="4"/>
      <c r="L8" s="4" t="str">
        <f t="shared" si="2"/>
        <v/>
      </c>
      <c r="M8" s="4"/>
      <c r="N8" s="4"/>
      <c r="O8" s="4"/>
      <c r="P8" s="4"/>
      <c r="Q8" s="4"/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Derek</v>
      </c>
      <c r="B9" s="75">
        <v>2.0</v>
      </c>
      <c r="C9" s="146">
        <f t="shared" si="1"/>
        <v>18</v>
      </c>
      <c r="D9" s="75">
        <v>5.0</v>
      </c>
      <c r="E9" s="75">
        <v>0.0</v>
      </c>
      <c r="F9" s="75">
        <v>13.0</v>
      </c>
      <c r="G9" s="75">
        <v>0.0</v>
      </c>
      <c r="H9" s="75">
        <v>29.0</v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SoHo</v>
      </c>
      <c r="K9" s="146">
        <v>2.0</v>
      </c>
      <c r="L9" s="146">
        <f t="shared" si="2"/>
        <v>16</v>
      </c>
      <c r="M9" s="146">
        <v>8.0</v>
      </c>
      <c r="N9" s="146">
        <v>0.0</v>
      </c>
      <c r="O9" s="146">
        <v>8.0</v>
      </c>
      <c r="P9" s="146">
        <v>0.0</v>
      </c>
      <c r="Q9" s="146">
        <v>28.0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Neo</v>
      </c>
      <c r="C10" s="146" t="str">
        <f t="shared" si="1"/>
        <v/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/>
      </c>
      <c r="L10" s="146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Brendan</v>
      </c>
      <c r="C11" s="4" t="str">
        <f t="shared" si="1"/>
        <v/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Hanono</v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98</v>
      </c>
      <c r="D19" s="184"/>
      <c r="E19" s="184"/>
      <c r="F19" s="184"/>
      <c r="G19" s="184"/>
      <c r="H19" s="175">
        <f>sum(C3:C17)/(sum(C3:C17)+sum(H3:H17))</f>
        <v>0.3656716418</v>
      </c>
      <c r="I19" s="180"/>
      <c r="J19" s="182" t="s">
        <v>184</v>
      </c>
      <c r="K19" s="183"/>
      <c r="L19" s="183">
        <f>sum(L3:L18)</f>
        <v>98</v>
      </c>
      <c r="M19" s="184"/>
      <c r="N19" s="184"/>
      <c r="O19" s="184"/>
      <c r="P19" s="184"/>
      <c r="Q19" s="175">
        <f>sum(L3:L17)/(sum(L3:L17)+sum(Q3:Q17))</f>
        <v>0.3698113208</v>
      </c>
    </row>
    <row r="20">
      <c r="A20" s="4"/>
      <c r="I20" s="180"/>
      <c r="J20" s="4"/>
    </row>
    <row r="21">
      <c r="A21" s="161" t="str">
        <f>'Full Schedule'!C4</f>
        <v>Team E</v>
      </c>
      <c r="D21" s="4" t="s">
        <v>176</v>
      </c>
      <c r="E21" s="4" t="str">
        <f>if(C39&gt;L39, "Win", "Loss")</f>
        <v>Loss</v>
      </c>
      <c r="G21" s="75" t="s">
        <v>177</v>
      </c>
      <c r="H21" s="128">
        <f>C39-L39</f>
        <v>-15</v>
      </c>
      <c r="I21" s="178" t="s">
        <v>214</v>
      </c>
      <c r="J21" s="161" t="str">
        <f>'Full Schedule'!D4</f>
        <v>Team F</v>
      </c>
      <c r="M21" s="75" t="s">
        <v>176</v>
      </c>
      <c r="N21" s="128" t="str">
        <f>if(L39&gt;C39, "Win", "Loss")</f>
        <v>Win</v>
      </c>
      <c r="P21" s="75" t="s">
        <v>177</v>
      </c>
      <c r="Q21" s="128">
        <f>L39-C39</f>
        <v>15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Taran</v>
      </c>
      <c r="B23" s="75">
        <v>6.0</v>
      </c>
      <c r="C23" s="181">
        <f t="shared" ref="C23:C37" si="3">if(sum(D23:G23)&gt;0, sum(D23:G23), "")</f>
        <v>23</v>
      </c>
      <c r="D23" s="75">
        <v>5.0</v>
      </c>
      <c r="E23" s="75">
        <v>5.0</v>
      </c>
      <c r="F23" s="75">
        <v>12.0</v>
      </c>
      <c r="G23" s="75">
        <v>1.0</v>
      </c>
      <c r="H23" s="75">
        <v>28.0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BXu</v>
      </c>
      <c r="K23" s="75">
        <v>5.0</v>
      </c>
      <c r="L23" s="181">
        <f t="shared" ref="L23:L37" si="4">if(sum(M23:P23)&gt;0, sum(M23:P23), "")</f>
        <v>16</v>
      </c>
      <c r="M23" s="75">
        <v>5.0</v>
      </c>
      <c r="N23" s="75">
        <v>3.0</v>
      </c>
      <c r="O23" s="75">
        <v>6.0</v>
      </c>
      <c r="P23" s="75">
        <v>2.0</v>
      </c>
      <c r="Q23" s="75">
        <v>31.0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Miguel F</v>
      </c>
      <c r="B24" s="75">
        <v>5.0</v>
      </c>
      <c r="C24" s="146">
        <f t="shared" si="3"/>
        <v>13</v>
      </c>
      <c r="D24" s="75">
        <v>12.0</v>
      </c>
      <c r="E24" s="75">
        <v>0.0</v>
      </c>
      <c r="F24" s="75">
        <v>1.0</v>
      </c>
      <c r="G24" s="75">
        <v>0.0</v>
      </c>
      <c r="H24" s="75">
        <v>32.0</v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JChan</v>
      </c>
      <c r="K24" s="75">
        <v>6.0</v>
      </c>
      <c r="L24" s="146">
        <f t="shared" si="4"/>
        <v>18</v>
      </c>
      <c r="M24" s="75">
        <v>3.0</v>
      </c>
      <c r="N24" s="75">
        <v>5.0</v>
      </c>
      <c r="O24" s="75">
        <v>6.0</v>
      </c>
      <c r="P24" s="75">
        <v>4.0</v>
      </c>
      <c r="Q24" s="75">
        <v>29.0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Mike H</v>
      </c>
      <c r="C25" s="4" t="str">
        <f t="shared" si="3"/>
        <v/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DC</v>
      </c>
      <c r="K25" s="75">
        <v>3.0</v>
      </c>
      <c r="L25" s="4">
        <f t="shared" si="4"/>
        <v>12</v>
      </c>
      <c r="M25" s="75">
        <v>7.0</v>
      </c>
      <c r="N25" s="75">
        <v>0.0</v>
      </c>
      <c r="O25" s="75">
        <v>5.0</v>
      </c>
      <c r="P25" s="75">
        <v>0.0</v>
      </c>
      <c r="Q25" s="75">
        <v>31.0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Madams</v>
      </c>
      <c r="B26" s="75">
        <v>4.0</v>
      </c>
      <c r="C26" s="4">
        <f t="shared" si="3"/>
        <v>11</v>
      </c>
      <c r="D26" s="75">
        <v>4.0</v>
      </c>
      <c r="E26" s="75">
        <v>1.0</v>
      </c>
      <c r="F26" s="75">
        <v>6.0</v>
      </c>
      <c r="G26" s="75">
        <v>0.0</v>
      </c>
      <c r="H26" s="75">
        <v>34.0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Schmid</v>
      </c>
      <c r="K26" s="75">
        <v>1.0</v>
      </c>
      <c r="L26" s="4">
        <f t="shared" si="4"/>
        <v>22</v>
      </c>
      <c r="M26" s="75">
        <v>4.0</v>
      </c>
      <c r="N26" s="75">
        <v>0.0</v>
      </c>
      <c r="O26" s="75">
        <v>16.0</v>
      </c>
      <c r="P26" s="75">
        <v>2.0</v>
      </c>
      <c r="Q26" s="75">
        <v>31.0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Jay S</v>
      </c>
      <c r="B27" s="75">
        <v>1.0</v>
      </c>
      <c r="C27" s="146">
        <f t="shared" si="3"/>
        <v>12</v>
      </c>
      <c r="D27" s="75">
        <v>8.0</v>
      </c>
      <c r="E27" s="75">
        <v>0.0</v>
      </c>
      <c r="F27" s="75">
        <v>4.0</v>
      </c>
      <c r="G27" s="75">
        <v>0.0</v>
      </c>
      <c r="H27" s="75">
        <v>33.0</v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Kian</v>
      </c>
      <c r="K27" s="75">
        <v>4.0</v>
      </c>
      <c r="L27" s="146">
        <f t="shared" si="4"/>
        <v>17</v>
      </c>
      <c r="M27" s="75">
        <v>4.0</v>
      </c>
      <c r="N27" s="75">
        <v>4.0</v>
      </c>
      <c r="O27" s="75">
        <v>8.0</v>
      </c>
      <c r="P27" s="75">
        <v>1.0</v>
      </c>
      <c r="Q27" s="75">
        <v>32.0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Tripp</v>
      </c>
      <c r="B28" s="75">
        <v>2.0</v>
      </c>
      <c r="C28" s="146">
        <f t="shared" si="3"/>
        <v>9</v>
      </c>
      <c r="D28" s="75">
        <v>3.0</v>
      </c>
      <c r="E28" s="75">
        <v>2.0</v>
      </c>
      <c r="F28" s="75">
        <v>4.0</v>
      </c>
      <c r="G28" s="75">
        <v>0.0</v>
      </c>
      <c r="H28" s="75">
        <v>34.0</v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Hando</v>
      </c>
      <c r="K28" s="75">
        <v>2.0</v>
      </c>
      <c r="L28" s="146">
        <f t="shared" si="4"/>
        <v>15</v>
      </c>
      <c r="M28" s="75">
        <v>9.0</v>
      </c>
      <c r="N28" s="75">
        <v>1.0</v>
      </c>
      <c r="O28" s="75">
        <v>5.0</v>
      </c>
      <c r="P28" s="75">
        <v>0.0</v>
      </c>
      <c r="Q28" s="75">
        <v>34.0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Lulu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Petric</v>
      </c>
      <c r="L29" s="146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Ilt</v>
      </c>
      <c r="B30" s="75">
        <v>3.0</v>
      </c>
      <c r="C30" s="146">
        <f t="shared" si="3"/>
        <v>17</v>
      </c>
      <c r="D30" s="75">
        <v>4.0</v>
      </c>
      <c r="E30" s="75">
        <v>0.0</v>
      </c>
      <c r="F30" s="75">
        <v>13.0</v>
      </c>
      <c r="G30" s="75">
        <v>0.0</v>
      </c>
      <c r="H30" s="75">
        <v>30.0</v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Mike Zhou</v>
      </c>
      <c r="L30" s="146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Pasha</v>
      </c>
      <c r="C31" s="4" t="str">
        <f t="shared" si="3"/>
        <v/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Cole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I38" s="180"/>
      <c r="J38" s="163" t="s">
        <v>221</v>
      </c>
    </row>
    <row r="39">
      <c r="A39" s="182" t="s">
        <v>184</v>
      </c>
      <c r="B39" s="183"/>
      <c r="C39" s="183">
        <f>sum(C23:C38)</f>
        <v>85</v>
      </c>
      <c r="D39" s="184"/>
      <c r="E39" s="184"/>
      <c r="F39" s="184"/>
      <c r="G39" s="184"/>
      <c r="H39" s="175">
        <f>sum(C23:C37)/(sum(C23:C37)+sum(H23:H37))</f>
        <v>0.3079710145</v>
      </c>
      <c r="I39" s="180"/>
      <c r="J39" s="182" t="s">
        <v>184</v>
      </c>
      <c r="K39" s="183"/>
      <c r="L39" s="183">
        <f>sum(L23:L38)</f>
        <v>100</v>
      </c>
      <c r="M39" s="184"/>
      <c r="N39" s="184"/>
      <c r="O39" s="184"/>
      <c r="P39" s="184"/>
      <c r="Q39" s="175">
        <f>sum(L23:L37)/(sum(L23:L37)+sum(Q23:Q37))</f>
        <v>0.3472222222</v>
      </c>
    </row>
    <row r="40">
      <c r="A40" s="4"/>
      <c r="I40" s="180"/>
      <c r="J40" s="4"/>
    </row>
    <row r="41">
      <c r="A41" s="161" t="str">
        <f>'Full Schedule'!C5</f>
        <v>Migos</v>
      </c>
      <c r="D41" s="4" t="s">
        <v>176</v>
      </c>
      <c r="E41" s="4" t="str">
        <f>if(C59&gt;L59, "Win", "Loss")</f>
        <v>Win</v>
      </c>
      <c r="G41" s="75" t="s">
        <v>177</v>
      </c>
      <c r="H41" s="128">
        <f>C59-L59</f>
        <v>10</v>
      </c>
      <c r="I41" s="178" t="s">
        <v>214</v>
      </c>
      <c r="J41" s="161" t="str">
        <f>'Full Schedule'!D5</f>
        <v>Team C</v>
      </c>
      <c r="M41" s="75" t="s">
        <v>176</v>
      </c>
      <c r="N41" s="128" t="str">
        <f>if(L59&gt;C59, "Win", "Loss")</f>
        <v>Loss</v>
      </c>
      <c r="P41" s="75" t="s">
        <v>177</v>
      </c>
      <c r="Q41" s="128">
        <f>L59-C59</f>
        <v>-10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Leo</v>
      </c>
      <c r="B43" s="75">
        <v>5.0</v>
      </c>
      <c r="C43" s="181">
        <f t="shared" ref="C43:C57" si="5">if(sum(D43:G43)&gt;0, sum(D43:G43), "")</f>
        <v>13</v>
      </c>
      <c r="D43" s="75">
        <v>5.0</v>
      </c>
      <c r="E43" s="75">
        <v>0.0</v>
      </c>
      <c r="F43" s="75">
        <v>5.0</v>
      </c>
      <c r="G43" s="75">
        <v>3.0</v>
      </c>
      <c r="H43" s="75">
        <v>21.0</v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Matt</v>
      </c>
      <c r="K43" s="75">
        <v>6.0</v>
      </c>
      <c r="L43" s="181">
        <f t="shared" ref="L43:L57" si="6">if(sum(M43:P43)&gt;0, sum(M43:P43), "")</f>
        <v>10</v>
      </c>
      <c r="M43" s="75">
        <v>2.0</v>
      </c>
      <c r="N43" s="75">
        <v>0.0</v>
      </c>
      <c r="O43" s="75">
        <v>7.0</v>
      </c>
      <c r="P43" s="75">
        <v>1.0</v>
      </c>
      <c r="Q43" s="75">
        <v>20.0</v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Seb</v>
      </c>
      <c r="B44" s="75">
        <v>6.0</v>
      </c>
      <c r="C44" s="146">
        <f t="shared" si="5"/>
        <v>24</v>
      </c>
      <c r="D44" s="75">
        <v>9.0</v>
      </c>
      <c r="E44" s="75">
        <v>4.0</v>
      </c>
      <c r="F44" s="75">
        <v>7.0</v>
      </c>
      <c r="G44" s="75">
        <v>4.0</v>
      </c>
      <c r="H44" s="75">
        <v>18.0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Gid</v>
      </c>
      <c r="K44" s="75">
        <v>5.0</v>
      </c>
      <c r="L44" s="146">
        <f t="shared" si="6"/>
        <v>14</v>
      </c>
      <c r="M44" s="75">
        <v>6.0</v>
      </c>
      <c r="N44" s="75">
        <v>3.0</v>
      </c>
      <c r="O44" s="75">
        <v>4.0</v>
      </c>
      <c r="P44" s="75">
        <v>1.0</v>
      </c>
      <c r="Q44" s="75">
        <v>21.0</v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Fritz</v>
      </c>
      <c r="B45" s="75">
        <v>1.0</v>
      </c>
      <c r="C45" s="4">
        <f t="shared" si="5"/>
        <v>23</v>
      </c>
      <c r="D45" s="75">
        <v>16.0</v>
      </c>
      <c r="E45" s="75">
        <v>3.0</v>
      </c>
      <c r="F45" s="75">
        <v>3.0</v>
      </c>
      <c r="G45" s="75">
        <v>1.0</v>
      </c>
      <c r="H45" s="75">
        <v>19.0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Nikita S</v>
      </c>
      <c r="K45" s="75">
        <v>1.0</v>
      </c>
      <c r="L45" s="4">
        <f t="shared" si="6"/>
        <v>19</v>
      </c>
      <c r="M45" s="75">
        <v>14.0</v>
      </c>
      <c r="N45" s="75">
        <v>0.0</v>
      </c>
      <c r="O45" s="75">
        <v>4.0</v>
      </c>
      <c r="P45" s="75">
        <v>1.0</v>
      </c>
      <c r="Q45" s="75">
        <v>22.0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Arnav</v>
      </c>
      <c r="B46" s="75">
        <v>2.0</v>
      </c>
      <c r="C46" s="4">
        <f t="shared" si="5"/>
        <v>11</v>
      </c>
      <c r="D46" s="75">
        <v>2.0</v>
      </c>
      <c r="E46" s="75">
        <v>0.0</v>
      </c>
      <c r="F46" s="75">
        <v>9.0</v>
      </c>
      <c r="G46" s="75">
        <v>0.0</v>
      </c>
      <c r="H46" s="75">
        <v>22.0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Sonne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Lanuza</v>
      </c>
      <c r="C47" s="146" t="str">
        <f t="shared" si="5"/>
        <v/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Crosby</v>
      </c>
      <c r="K47" s="75">
        <v>2.0</v>
      </c>
      <c r="L47" s="146">
        <f t="shared" si="6"/>
        <v>18</v>
      </c>
      <c r="M47" s="75">
        <v>12.0</v>
      </c>
      <c r="N47" s="75">
        <v>0.0</v>
      </c>
      <c r="O47" s="75">
        <v>6.0</v>
      </c>
      <c r="P47" s="75">
        <v>0.0</v>
      </c>
      <c r="Q47" s="75">
        <v>22.0</v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Samos</v>
      </c>
      <c r="B48" s="75">
        <v>4.0</v>
      </c>
      <c r="C48" s="146">
        <f t="shared" si="5"/>
        <v>15</v>
      </c>
      <c r="D48" s="75">
        <v>4.0</v>
      </c>
      <c r="E48" s="75">
        <v>1.0</v>
      </c>
      <c r="F48" s="75">
        <v>9.0</v>
      </c>
      <c r="G48" s="75">
        <v>1.0</v>
      </c>
      <c r="H48" s="75">
        <v>20.0</v>
      </c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Kevin Zhou</v>
      </c>
      <c r="K48" s="75">
        <v>4.0</v>
      </c>
      <c r="L48" s="146">
        <f t="shared" si="6"/>
        <v>9</v>
      </c>
      <c r="M48" s="75">
        <v>2.0</v>
      </c>
      <c r="N48" s="75">
        <v>0.0</v>
      </c>
      <c r="O48" s="75">
        <v>7.0</v>
      </c>
      <c r="P48" s="75">
        <v>0.0</v>
      </c>
      <c r="Q48" s="75">
        <v>22.0</v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Kyi</v>
      </c>
      <c r="C49" s="146" t="str">
        <f t="shared" si="5"/>
        <v/>
      </c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Somil</v>
      </c>
      <c r="L49" s="146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TC</v>
      </c>
      <c r="B50" s="75">
        <v>3.0</v>
      </c>
      <c r="C50" s="146">
        <f t="shared" si="5"/>
        <v>13</v>
      </c>
      <c r="D50" s="75">
        <v>1.0</v>
      </c>
      <c r="E50" s="75">
        <v>0.0</v>
      </c>
      <c r="F50" s="75">
        <v>12.0</v>
      </c>
      <c r="G50" s="75">
        <v>0.0</v>
      </c>
      <c r="H50" s="75">
        <v>22.0</v>
      </c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Suyoag</v>
      </c>
      <c r="K50" s="75">
        <v>3.0</v>
      </c>
      <c r="L50" s="146">
        <f t="shared" si="6"/>
        <v>17</v>
      </c>
      <c r="M50" s="75">
        <v>4.0</v>
      </c>
      <c r="N50" s="75">
        <v>0.0</v>
      </c>
      <c r="O50" s="75">
        <v>13.0</v>
      </c>
      <c r="P50" s="75">
        <v>0.0</v>
      </c>
      <c r="Q50" s="75">
        <v>19.0</v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Adi</v>
      </c>
      <c r="C51" s="4" t="str">
        <f t="shared" si="5"/>
        <v/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Will Ho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/>
      </c>
      <c r="C52" s="4" t="str">
        <f t="shared" si="5"/>
        <v/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Nagle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C58" s="75">
        <v>1.0</v>
      </c>
      <c r="I58" s="180"/>
      <c r="J58" s="163" t="s">
        <v>221</v>
      </c>
      <c r="L58" s="75">
        <v>3.0</v>
      </c>
    </row>
    <row r="59">
      <c r="A59" s="182" t="s">
        <v>184</v>
      </c>
      <c r="B59" s="183"/>
      <c r="C59" s="183">
        <f>sum(C43:C58)</f>
        <v>100</v>
      </c>
      <c r="D59" s="184"/>
      <c r="E59" s="184"/>
      <c r="F59" s="184"/>
      <c r="G59" s="184"/>
      <c r="H59" s="175">
        <f>sum(C43:C57)/(sum(C43:C57)+sum(H43:H57))</f>
        <v>0.4479638009</v>
      </c>
      <c r="I59" s="180"/>
      <c r="J59" s="182" t="s">
        <v>184</v>
      </c>
      <c r="K59" s="183"/>
      <c r="L59" s="183">
        <f>sum(L43:L58)</f>
        <v>90</v>
      </c>
      <c r="M59" s="184"/>
      <c r="N59" s="184"/>
      <c r="O59" s="184"/>
      <c r="P59" s="184"/>
      <c r="Q59" s="175">
        <f>sum(L43:L57)/(sum(L43:L57)+sum(Q43:Q57))</f>
        <v>0.4084507042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G61" si="7">J1</f>
        <v>Candice?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Loss</v>
      </c>
      <c r="F61" s="4" t="str">
        <f t="shared" si="7"/>
        <v/>
      </c>
      <c r="G61" s="177" t="str">
        <f t="shared" si="7"/>
        <v>Margin</v>
      </c>
      <c r="H61" s="4"/>
      <c r="I61" s="4"/>
      <c r="J61" s="177" t="str">
        <f t="shared" ref="J61:M61" si="8">A1</f>
        <v>Gargantuan</v>
      </c>
      <c r="K61" s="4" t="str">
        <f t="shared" si="8"/>
        <v/>
      </c>
      <c r="L61" s="4" t="str">
        <f t="shared" si="8"/>
        <v/>
      </c>
      <c r="M61" s="177" t="str">
        <f t="shared" si="8"/>
        <v>Result</v>
      </c>
      <c r="N61" s="4"/>
      <c r="O61" s="4" t="str">
        <f t="shared" ref="O61:P61" si="9">F1</f>
        <v/>
      </c>
      <c r="P61" s="177" t="str">
        <f t="shared" si="9"/>
        <v>Margin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H62" si="10">J2</f>
        <v>Name</v>
      </c>
      <c r="B62" s="177" t="str">
        <f t="shared" si="10"/>
        <v>Shot Order</v>
      </c>
      <c r="C62" s="177" t="str">
        <f t="shared" si="10"/>
        <v>Total Cups</v>
      </c>
      <c r="D62" s="177" t="str">
        <f t="shared" si="10"/>
        <v>Tops</v>
      </c>
      <c r="E62" s="177" t="str">
        <f t="shared" si="10"/>
        <v>Top Isos</v>
      </c>
      <c r="F62" s="177" t="str">
        <f t="shared" si="10"/>
        <v>Bottoms</v>
      </c>
      <c r="G62" s="177" t="str">
        <f t="shared" si="10"/>
        <v>Bottom Isos</v>
      </c>
      <c r="H62" s="177" t="str">
        <f t="shared" si="10"/>
        <v>Misses</v>
      </c>
      <c r="I62" s="4"/>
      <c r="J62" s="177" t="str">
        <f t="shared" ref="J62:Q62" si="11">A2</f>
        <v>Name</v>
      </c>
      <c r="K62" s="177" t="str">
        <f t="shared" si="11"/>
        <v>Shot Order</v>
      </c>
      <c r="L62" s="177" t="str">
        <f t="shared" si="11"/>
        <v>Total Cups</v>
      </c>
      <c r="M62" s="177" t="str">
        <f t="shared" si="11"/>
        <v>Tops</v>
      </c>
      <c r="N62" s="177" t="str">
        <f t="shared" si="11"/>
        <v>Top Isos</v>
      </c>
      <c r="O62" s="177" t="str">
        <f t="shared" si="11"/>
        <v>Bottoms</v>
      </c>
      <c r="P62" s="177" t="str">
        <f t="shared" si="11"/>
        <v>Bottom Isos</v>
      </c>
      <c r="Q62" s="177" t="str">
        <f t="shared" si="11"/>
        <v>Misses</v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H63" si="12">J3</f>
        <v>Elmer</v>
      </c>
      <c r="B63" s="124">
        <f t="shared" si="12"/>
        <v>4</v>
      </c>
      <c r="C63" s="124">
        <f t="shared" si="12"/>
        <v>17</v>
      </c>
      <c r="D63" s="124">
        <f t="shared" si="12"/>
        <v>7</v>
      </c>
      <c r="E63" s="124">
        <f t="shared" si="12"/>
        <v>0</v>
      </c>
      <c r="F63" s="124">
        <f t="shared" si="12"/>
        <v>8</v>
      </c>
      <c r="G63" s="124">
        <f t="shared" si="12"/>
        <v>2</v>
      </c>
      <c r="H63" s="124">
        <f t="shared" si="12"/>
        <v>27</v>
      </c>
      <c r="I63" s="4"/>
      <c r="J63" s="177" t="str">
        <f t="shared" ref="J63:Q63" si="13">A3</f>
        <v>Maas</v>
      </c>
      <c r="K63" s="124">
        <f t="shared" si="13"/>
        <v>6</v>
      </c>
      <c r="L63" s="124">
        <f t="shared" si="13"/>
        <v>27</v>
      </c>
      <c r="M63" s="124">
        <f t="shared" si="13"/>
        <v>12</v>
      </c>
      <c r="N63" s="124">
        <f t="shared" si="13"/>
        <v>5</v>
      </c>
      <c r="O63" s="124">
        <f t="shared" si="13"/>
        <v>7</v>
      </c>
      <c r="P63" s="124">
        <f t="shared" si="13"/>
        <v>3</v>
      </c>
      <c r="Q63" s="124">
        <f t="shared" si="13"/>
        <v>28</v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H64" si="14">J4</f>
        <v>John Y</v>
      </c>
      <c r="B64" s="124">
        <f t="shared" si="14"/>
        <v>5</v>
      </c>
      <c r="C64" s="124">
        <f t="shared" si="14"/>
        <v>15</v>
      </c>
      <c r="D64" s="124">
        <f t="shared" si="14"/>
        <v>3</v>
      </c>
      <c r="E64" s="124">
        <f t="shared" si="14"/>
        <v>4</v>
      </c>
      <c r="F64" s="124">
        <f t="shared" si="14"/>
        <v>5</v>
      </c>
      <c r="G64" s="124">
        <f t="shared" si="14"/>
        <v>3</v>
      </c>
      <c r="H64" s="124">
        <f t="shared" si="14"/>
        <v>28</v>
      </c>
      <c r="I64" s="4"/>
      <c r="J64" s="177" t="str">
        <f t="shared" ref="J64:Q64" si="15">A4</f>
        <v>Hawkins</v>
      </c>
      <c r="K64" s="124">
        <f t="shared" si="15"/>
        <v>1</v>
      </c>
      <c r="L64" s="124">
        <f t="shared" si="15"/>
        <v>26</v>
      </c>
      <c r="M64" s="124">
        <f t="shared" si="15"/>
        <v>4</v>
      </c>
      <c r="N64" s="124">
        <f t="shared" si="15"/>
        <v>2</v>
      </c>
      <c r="O64" s="124">
        <f t="shared" si="15"/>
        <v>18</v>
      </c>
      <c r="P64" s="124">
        <f t="shared" si="15"/>
        <v>2</v>
      </c>
      <c r="Q64" s="124">
        <f t="shared" si="15"/>
        <v>25</v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H65" si="16">J5</f>
        <v>Porco</v>
      </c>
      <c r="B65" s="124">
        <f t="shared" si="16"/>
        <v>6</v>
      </c>
      <c r="C65" s="124">
        <f t="shared" si="16"/>
        <v>16</v>
      </c>
      <c r="D65" s="124">
        <f t="shared" si="16"/>
        <v>6</v>
      </c>
      <c r="E65" s="124">
        <f t="shared" si="16"/>
        <v>2</v>
      </c>
      <c r="F65" s="124">
        <f t="shared" si="16"/>
        <v>8</v>
      </c>
      <c r="G65" s="124">
        <f t="shared" si="16"/>
        <v>0</v>
      </c>
      <c r="H65" s="124">
        <f t="shared" si="16"/>
        <v>29</v>
      </c>
      <c r="I65" s="4"/>
      <c r="J65" s="177" t="str">
        <f t="shared" ref="J65:Q65" si="17">A5</f>
        <v>Grish</v>
      </c>
      <c r="K65" s="124">
        <f t="shared" si="17"/>
        <v>5</v>
      </c>
      <c r="L65" s="124">
        <f t="shared" si="17"/>
        <v>8</v>
      </c>
      <c r="M65" s="124">
        <f t="shared" si="17"/>
        <v>6</v>
      </c>
      <c r="N65" s="124">
        <f t="shared" si="17"/>
        <v>0</v>
      </c>
      <c r="O65" s="124">
        <f t="shared" si="17"/>
        <v>2</v>
      </c>
      <c r="P65" s="124">
        <f t="shared" si="17"/>
        <v>0</v>
      </c>
      <c r="Q65" s="124">
        <f t="shared" si="17"/>
        <v>29</v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H66" si="18">J6</f>
        <v>Marmo</v>
      </c>
      <c r="B66" s="4">
        <f t="shared" si="18"/>
        <v>1</v>
      </c>
      <c r="C66" s="4">
        <f t="shared" si="18"/>
        <v>22</v>
      </c>
      <c r="D66" s="4">
        <f t="shared" si="18"/>
        <v>4</v>
      </c>
      <c r="E66" s="4">
        <f t="shared" si="18"/>
        <v>0</v>
      </c>
      <c r="F66" s="4">
        <f t="shared" si="18"/>
        <v>18</v>
      </c>
      <c r="G66" s="4">
        <f t="shared" si="18"/>
        <v>0</v>
      </c>
      <c r="H66" s="4">
        <f t="shared" si="18"/>
        <v>27</v>
      </c>
      <c r="I66" s="4"/>
      <c r="J66" s="177" t="str">
        <f t="shared" ref="J66:Q66" si="19">A6</f>
        <v>Rockett</v>
      </c>
      <c r="K66" s="4">
        <f t="shared" si="19"/>
        <v>3</v>
      </c>
      <c r="L66" s="4">
        <f t="shared" si="19"/>
        <v>10</v>
      </c>
      <c r="M66" s="4">
        <f t="shared" si="19"/>
        <v>7</v>
      </c>
      <c r="N66" s="4">
        <f t="shared" si="19"/>
        <v>2</v>
      </c>
      <c r="O66" s="4">
        <f t="shared" si="19"/>
        <v>1</v>
      </c>
      <c r="P66" s="4">
        <f t="shared" si="19"/>
        <v>0</v>
      </c>
      <c r="Q66" s="4">
        <f t="shared" si="19"/>
        <v>29</v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H67" si="20">J7</f>
        <v>Swit</v>
      </c>
      <c r="B67" s="4">
        <f t="shared" si="20"/>
        <v>3</v>
      </c>
      <c r="C67" s="4">
        <f t="shared" si="20"/>
        <v>12</v>
      </c>
      <c r="D67" s="4">
        <f t="shared" si="20"/>
        <v>10</v>
      </c>
      <c r="E67" s="4">
        <f t="shared" si="20"/>
        <v>1</v>
      </c>
      <c r="F67" s="4">
        <f t="shared" si="20"/>
        <v>0</v>
      </c>
      <c r="G67" s="4">
        <f t="shared" si="20"/>
        <v>1</v>
      </c>
      <c r="H67" s="4">
        <f t="shared" si="20"/>
        <v>28</v>
      </c>
      <c r="I67" s="4"/>
      <c r="J67" s="177" t="str">
        <f t="shared" ref="J67:Q67" si="21">A7</f>
        <v>Du</v>
      </c>
      <c r="K67" s="124">
        <f t="shared" si="21"/>
        <v>4</v>
      </c>
      <c r="L67" s="124">
        <f t="shared" si="21"/>
        <v>9</v>
      </c>
      <c r="M67" s="124">
        <f t="shared" si="21"/>
        <v>2</v>
      </c>
      <c r="N67" s="124">
        <f t="shared" si="21"/>
        <v>0</v>
      </c>
      <c r="O67" s="124">
        <f t="shared" si="21"/>
        <v>7</v>
      </c>
      <c r="P67" s="124">
        <f t="shared" si="21"/>
        <v>0</v>
      </c>
      <c r="Q67" s="124">
        <f t="shared" si="21"/>
        <v>30</v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H68" si="22">J8</f>
        <v>Emi</v>
      </c>
      <c r="B68" s="124" t="str">
        <f t="shared" si="22"/>
        <v/>
      </c>
      <c r="C68" s="124" t="str">
        <f t="shared" si="22"/>
        <v/>
      </c>
      <c r="D68" s="124" t="str">
        <f t="shared" si="22"/>
        <v/>
      </c>
      <c r="E68" s="124" t="str">
        <f t="shared" si="22"/>
        <v/>
      </c>
      <c r="F68" s="124" t="str">
        <f t="shared" si="22"/>
        <v/>
      </c>
      <c r="G68" s="124" t="str">
        <f t="shared" si="22"/>
        <v/>
      </c>
      <c r="H68" s="124" t="str">
        <f t="shared" si="22"/>
        <v/>
      </c>
      <c r="I68" s="4"/>
      <c r="J68" s="177" t="str">
        <f t="shared" ref="J68:Q68" si="23">A8</f>
        <v>Raymond</v>
      </c>
      <c r="K68" s="124" t="str">
        <f t="shared" si="23"/>
        <v/>
      </c>
      <c r="L68" s="124" t="str">
        <f t="shared" si="23"/>
        <v/>
      </c>
      <c r="M68" s="124" t="str">
        <f t="shared" si="23"/>
        <v/>
      </c>
      <c r="N68" s="124" t="str">
        <f t="shared" si="23"/>
        <v/>
      </c>
      <c r="O68" s="124" t="str">
        <f t="shared" si="23"/>
        <v/>
      </c>
      <c r="P68" s="124" t="str">
        <f t="shared" si="23"/>
        <v/>
      </c>
      <c r="Q68" s="124" t="str">
        <f t="shared" si="23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H69" si="24">J9</f>
        <v>SoHo</v>
      </c>
      <c r="B69" s="124">
        <f t="shared" si="24"/>
        <v>2</v>
      </c>
      <c r="C69" s="124">
        <f t="shared" si="24"/>
        <v>16</v>
      </c>
      <c r="D69" s="124">
        <f t="shared" si="24"/>
        <v>8</v>
      </c>
      <c r="E69" s="124">
        <f t="shared" si="24"/>
        <v>0</v>
      </c>
      <c r="F69" s="124">
        <f t="shared" si="24"/>
        <v>8</v>
      </c>
      <c r="G69" s="124">
        <f t="shared" si="24"/>
        <v>0</v>
      </c>
      <c r="H69" s="124">
        <f t="shared" si="24"/>
        <v>28</v>
      </c>
      <c r="I69" s="4"/>
      <c r="J69" s="177" t="str">
        <f t="shared" ref="J69:Q69" si="25">A9</f>
        <v>Derek</v>
      </c>
      <c r="K69" s="4">
        <f t="shared" si="25"/>
        <v>2</v>
      </c>
      <c r="L69" s="4">
        <f t="shared" si="25"/>
        <v>18</v>
      </c>
      <c r="M69" s="4">
        <f t="shared" si="25"/>
        <v>5</v>
      </c>
      <c r="N69" s="4">
        <f t="shared" si="25"/>
        <v>0</v>
      </c>
      <c r="O69" s="4">
        <f t="shared" si="25"/>
        <v>13</v>
      </c>
      <c r="P69" s="4">
        <f t="shared" si="25"/>
        <v>0</v>
      </c>
      <c r="Q69" s="4">
        <f t="shared" si="25"/>
        <v>29</v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H70" si="26">J10</f>
        <v/>
      </c>
      <c r="B70" s="4" t="str">
        <f t="shared" si="26"/>
        <v/>
      </c>
      <c r="C70" s="4" t="str">
        <f t="shared" si="26"/>
        <v/>
      </c>
      <c r="D70" s="4" t="str">
        <f t="shared" si="26"/>
        <v/>
      </c>
      <c r="E70" s="4" t="str">
        <f t="shared" si="26"/>
        <v/>
      </c>
      <c r="F70" s="4" t="str">
        <f t="shared" si="26"/>
        <v/>
      </c>
      <c r="G70" s="4" t="str">
        <f t="shared" si="26"/>
        <v/>
      </c>
      <c r="H70" s="4" t="str">
        <f t="shared" si="26"/>
        <v/>
      </c>
      <c r="I70" s="4"/>
      <c r="J70" s="177" t="str">
        <f t="shared" ref="J70:Q70" si="27">A10</f>
        <v>Neo</v>
      </c>
      <c r="K70" s="4" t="str">
        <f t="shared" si="27"/>
        <v/>
      </c>
      <c r="L70" s="4" t="str">
        <f t="shared" si="27"/>
        <v/>
      </c>
      <c r="M70" s="4" t="str">
        <f t="shared" si="27"/>
        <v/>
      </c>
      <c r="N70" s="4" t="str">
        <f t="shared" si="27"/>
        <v/>
      </c>
      <c r="O70" s="4" t="str">
        <f t="shared" si="27"/>
        <v/>
      </c>
      <c r="P70" s="4" t="str">
        <f t="shared" si="27"/>
        <v/>
      </c>
      <c r="Q70" s="4" t="str">
        <f t="shared" si="27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H71" si="28">J11</f>
        <v/>
      </c>
      <c r="B71" s="124" t="str">
        <f t="shared" si="28"/>
        <v/>
      </c>
      <c r="C71" s="124" t="str">
        <f t="shared" si="28"/>
        <v/>
      </c>
      <c r="D71" s="124" t="str">
        <f t="shared" si="28"/>
        <v/>
      </c>
      <c r="E71" s="124" t="str">
        <f t="shared" si="28"/>
        <v/>
      </c>
      <c r="F71" s="124" t="str">
        <f t="shared" si="28"/>
        <v/>
      </c>
      <c r="G71" s="124" t="str">
        <f t="shared" si="28"/>
        <v/>
      </c>
      <c r="H71" s="124" t="str">
        <f t="shared" si="28"/>
        <v/>
      </c>
      <c r="I71" s="4"/>
      <c r="J71" s="177" t="str">
        <f t="shared" ref="J71:Q71" si="29">A11</f>
        <v>Brendan</v>
      </c>
      <c r="K71" s="124" t="str">
        <f t="shared" si="29"/>
        <v/>
      </c>
      <c r="L71" s="124" t="str">
        <f t="shared" si="29"/>
        <v/>
      </c>
      <c r="M71" s="124" t="str">
        <f t="shared" si="29"/>
        <v/>
      </c>
      <c r="N71" s="124" t="str">
        <f t="shared" si="29"/>
        <v/>
      </c>
      <c r="O71" s="124" t="str">
        <f t="shared" si="29"/>
        <v/>
      </c>
      <c r="P71" s="124" t="str">
        <f t="shared" si="29"/>
        <v/>
      </c>
      <c r="Q71" s="124" t="str">
        <f t="shared" si="29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H72" si="30">J12</f>
        <v/>
      </c>
      <c r="B72" s="4" t="str">
        <f t="shared" si="30"/>
        <v/>
      </c>
      <c r="C72" s="4" t="str">
        <f t="shared" si="30"/>
        <v/>
      </c>
      <c r="D72" s="4" t="str">
        <f t="shared" si="30"/>
        <v/>
      </c>
      <c r="E72" s="4" t="str">
        <f t="shared" si="30"/>
        <v/>
      </c>
      <c r="F72" s="4" t="str">
        <f t="shared" si="30"/>
        <v/>
      </c>
      <c r="G72" s="4" t="str">
        <f t="shared" si="30"/>
        <v/>
      </c>
      <c r="H72" s="4" t="str">
        <f t="shared" si="30"/>
        <v/>
      </c>
      <c r="I72" s="4"/>
      <c r="J72" s="177" t="str">
        <f t="shared" ref="J72:Q72" si="31">A12</f>
        <v>Hanono</v>
      </c>
      <c r="K72" s="4" t="str">
        <f t="shared" si="31"/>
        <v/>
      </c>
      <c r="L72" s="4" t="str">
        <f t="shared" si="31"/>
        <v/>
      </c>
      <c r="M72" s="4" t="str">
        <f t="shared" si="31"/>
        <v/>
      </c>
      <c r="N72" s="4" t="str">
        <f t="shared" si="31"/>
        <v/>
      </c>
      <c r="O72" s="4" t="str">
        <f t="shared" si="31"/>
        <v/>
      </c>
      <c r="P72" s="4" t="str">
        <f t="shared" si="31"/>
        <v/>
      </c>
      <c r="Q72" s="4" t="str">
        <f t="shared" si="31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4" t="str">
        <f t="shared" ref="A73:H73" si="32">J13</f>
        <v/>
      </c>
      <c r="B73" s="4" t="str">
        <f t="shared" si="32"/>
        <v/>
      </c>
      <c r="C73" s="4" t="str">
        <f t="shared" si="32"/>
        <v/>
      </c>
      <c r="D73" s="4" t="str">
        <f t="shared" si="32"/>
        <v/>
      </c>
      <c r="E73" s="4" t="str">
        <f t="shared" si="32"/>
        <v/>
      </c>
      <c r="F73" s="4" t="str">
        <f t="shared" si="32"/>
        <v/>
      </c>
      <c r="G73" s="4" t="str">
        <f t="shared" si="32"/>
        <v/>
      </c>
      <c r="H73" s="4" t="str">
        <f t="shared" si="32"/>
        <v/>
      </c>
      <c r="I73" s="4"/>
      <c r="J73" s="177" t="str">
        <f t="shared" ref="J73:Q73" si="33">A13</f>
        <v/>
      </c>
      <c r="K73" s="4" t="str">
        <f t="shared" si="33"/>
        <v/>
      </c>
      <c r="L73" s="4" t="str">
        <f t="shared" si="33"/>
        <v/>
      </c>
      <c r="M73" s="4" t="str">
        <f t="shared" si="33"/>
        <v/>
      </c>
      <c r="N73" s="4" t="str">
        <f t="shared" si="33"/>
        <v/>
      </c>
      <c r="O73" s="4" t="str">
        <f t="shared" si="33"/>
        <v/>
      </c>
      <c r="P73" s="4" t="str">
        <f t="shared" si="33"/>
        <v/>
      </c>
      <c r="Q73" s="4" t="str">
        <f t="shared" si="33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H74" si="34">J14</f>
        <v/>
      </c>
      <c r="B74" s="4" t="str">
        <f t="shared" si="34"/>
        <v/>
      </c>
      <c r="C74" s="4" t="str">
        <f t="shared" si="34"/>
        <v/>
      </c>
      <c r="D74" s="4" t="str">
        <f t="shared" si="34"/>
        <v/>
      </c>
      <c r="E74" s="4" t="str">
        <f t="shared" si="34"/>
        <v/>
      </c>
      <c r="F74" s="4" t="str">
        <f t="shared" si="34"/>
        <v/>
      </c>
      <c r="G74" s="4" t="str">
        <f t="shared" si="34"/>
        <v/>
      </c>
      <c r="H74" s="4" t="str">
        <f t="shared" si="34"/>
        <v/>
      </c>
      <c r="I74" s="4"/>
      <c r="J74" s="4" t="str">
        <f t="shared" ref="J74:Q74" si="35">A14</f>
        <v/>
      </c>
      <c r="K74" s="4" t="str">
        <f t="shared" si="35"/>
        <v/>
      </c>
      <c r="L74" s="4" t="str">
        <f t="shared" si="35"/>
        <v/>
      </c>
      <c r="M74" s="4" t="str">
        <f t="shared" si="35"/>
        <v/>
      </c>
      <c r="N74" s="4" t="str">
        <f t="shared" si="35"/>
        <v/>
      </c>
      <c r="O74" s="4" t="str">
        <f t="shared" si="35"/>
        <v/>
      </c>
      <c r="P74" s="4" t="str">
        <f t="shared" si="35"/>
        <v/>
      </c>
      <c r="Q74" s="4" t="str">
        <f t="shared" si="35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H75" si="36">J15</f>
        <v/>
      </c>
      <c r="B75" s="4" t="str">
        <f t="shared" si="36"/>
        <v/>
      </c>
      <c r="C75" s="4" t="str">
        <f t="shared" si="36"/>
        <v/>
      </c>
      <c r="D75" s="4" t="str">
        <f t="shared" si="36"/>
        <v/>
      </c>
      <c r="E75" s="4" t="str">
        <f t="shared" si="36"/>
        <v/>
      </c>
      <c r="F75" s="4" t="str">
        <f t="shared" si="36"/>
        <v/>
      </c>
      <c r="G75" s="4" t="str">
        <f t="shared" si="36"/>
        <v/>
      </c>
      <c r="H75" s="4" t="str">
        <f t="shared" si="36"/>
        <v/>
      </c>
      <c r="I75" s="4"/>
      <c r="J75" s="4" t="str">
        <f t="shared" ref="J75:Q75" si="37">A15</f>
        <v/>
      </c>
      <c r="K75" s="4" t="str">
        <f t="shared" si="37"/>
        <v/>
      </c>
      <c r="L75" s="4" t="str">
        <f t="shared" si="37"/>
        <v/>
      </c>
      <c r="M75" s="4" t="str">
        <f t="shared" si="37"/>
        <v/>
      </c>
      <c r="N75" s="4" t="str">
        <f t="shared" si="37"/>
        <v/>
      </c>
      <c r="O75" s="4" t="str">
        <f t="shared" si="37"/>
        <v/>
      </c>
      <c r="P75" s="4" t="str">
        <f t="shared" si="37"/>
        <v/>
      </c>
      <c r="Q75" s="4" t="str">
        <f t="shared" si="37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H76" si="38">J16</f>
        <v/>
      </c>
      <c r="B76" s="4" t="str">
        <f t="shared" si="38"/>
        <v/>
      </c>
      <c r="C76" s="4" t="str">
        <f t="shared" si="38"/>
        <v/>
      </c>
      <c r="D76" s="4" t="str">
        <f t="shared" si="38"/>
        <v/>
      </c>
      <c r="E76" s="4" t="str">
        <f t="shared" si="38"/>
        <v/>
      </c>
      <c r="F76" s="4" t="str">
        <f t="shared" si="38"/>
        <v/>
      </c>
      <c r="G76" s="4" t="str">
        <f t="shared" si="38"/>
        <v/>
      </c>
      <c r="H76" s="4" t="str">
        <f t="shared" si="38"/>
        <v/>
      </c>
      <c r="I76" s="4"/>
      <c r="J76" s="4" t="str">
        <f t="shared" ref="J76:Q76" si="39">A16</f>
        <v/>
      </c>
      <c r="K76" s="4" t="str">
        <f t="shared" si="39"/>
        <v/>
      </c>
      <c r="L76" s="4" t="str">
        <f t="shared" si="39"/>
        <v/>
      </c>
      <c r="M76" s="4" t="str">
        <f t="shared" si="39"/>
        <v/>
      </c>
      <c r="N76" s="4" t="str">
        <f t="shared" si="39"/>
        <v/>
      </c>
      <c r="O76" s="4" t="str">
        <f t="shared" si="39"/>
        <v/>
      </c>
      <c r="P76" s="4" t="str">
        <f t="shared" si="39"/>
        <v/>
      </c>
      <c r="Q76" s="4" t="str">
        <f t="shared" si="39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H77" si="40">J17</f>
        <v/>
      </c>
      <c r="B77" s="4" t="str">
        <f t="shared" si="40"/>
        <v/>
      </c>
      <c r="C77" s="4" t="str">
        <f t="shared" si="40"/>
        <v/>
      </c>
      <c r="D77" s="4" t="str">
        <f t="shared" si="40"/>
        <v/>
      </c>
      <c r="E77" s="4" t="str">
        <f t="shared" si="40"/>
        <v/>
      </c>
      <c r="F77" s="4" t="str">
        <f t="shared" si="40"/>
        <v/>
      </c>
      <c r="G77" s="4" t="str">
        <f t="shared" si="40"/>
        <v/>
      </c>
      <c r="H77" s="4" t="str">
        <f t="shared" si="40"/>
        <v/>
      </c>
      <c r="I77" s="4"/>
      <c r="J77" s="4" t="str">
        <f t="shared" ref="J77:Q77" si="41">A17</f>
        <v/>
      </c>
      <c r="K77" s="4" t="str">
        <f t="shared" si="41"/>
        <v/>
      </c>
      <c r="L77" s="4" t="str">
        <f t="shared" si="41"/>
        <v/>
      </c>
      <c r="M77" s="4" t="str">
        <f t="shared" si="41"/>
        <v/>
      </c>
      <c r="N77" s="4" t="str">
        <f t="shared" si="41"/>
        <v/>
      </c>
      <c r="O77" s="4" t="str">
        <f t="shared" si="41"/>
        <v/>
      </c>
      <c r="P77" s="4" t="str">
        <f t="shared" si="41"/>
        <v/>
      </c>
      <c r="Q77" s="4" t="str">
        <f t="shared" si="41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H78" si="42">J18</f>
        <v>Pulled Cups</v>
      </c>
      <c r="B78" s="4" t="str">
        <f t="shared" si="42"/>
        <v/>
      </c>
      <c r="C78" s="124" t="str">
        <f t="shared" si="42"/>
        <v/>
      </c>
      <c r="D78" s="4" t="str">
        <f t="shared" si="42"/>
        <v/>
      </c>
      <c r="E78" s="4" t="str">
        <f t="shared" si="42"/>
        <v/>
      </c>
      <c r="F78" s="4" t="str">
        <f t="shared" si="42"/>
        <v/>
      </c>
      <c r="G78" s="4" t="str">
        <f t="shared" si="42"/>
        <v/>
      </c>
      <c r="H78" s="4" t="str">
        <f t="shared" si="42"/>
        <v/>
      </c>
      <c r="I78" s="4"/>
      <c r="J78" s="177" t="str">
        <f t="shared" ref="J78:Q78" si="43">A18</f>
        <v>Pulled Cups</v>
      </c>
      <c r="K78" s="4" t="str">
        <f t="shared" si="43"/>
        <v/>
      </c>
      <c r="L78" s="4" t="str">
        <f t="shared" si="43"/>
        <v/>
      </c>
      <c r="M78" s="4" t="str">
        <f t="shared" si="43"/>
        <v/>
      </c>
      <c r="N78" s="4" t="str">
        <f t="shared" si="43"/>
        <v/>
      </c>
      <c r="O78" s="4" t="str">
        <f t="shared" si="43"/>
        <v/>
      </c>
      <c r="P78" s="4" t="str">
        <f t="shared" si="43"/>
        <v/>
      </c>
      <c r="Q78" s="4" t="str">
        <f t="shared" si="43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H79" si="44">J19</f>
        <v>Total</v>
      </c>
      <c r="B79" s="4" t="str">
        <f t="shared" si="44"/>
        <v/>
      </c>
      <c r="C79" s="124">
        <f t="shared" si="44"/>
        <v>98</v>
      </c>
      <c r="D79" s="4" t="str">
        <f t="shared" si="44"/>
        <v/>
      </c>
      <c r="E79" s="4" t="str">
        <f t="shared" si="44"/>
        <v/>
      </c>
      <c r="F79" s="4" t="str">
        <f t="shared" si="44"/>
        <v/>
      </c>
      <c r="G79" s="4" t="str">
        <f t="shared" si="44"/>
        <v/>
      </c>
      <c r="H79" s="123">
        <f t="shared" si="44"/>
        <v>0.3698113208</v>
      </c>
      <c r="I79" s="4"/>
      <c r="J79" s="177" t="str">
        <f t="shared" ref="J79:Q79" si="45">A19</f>
        <v>Total</v>
      </c>
      <c r="K79" s="4" t="str">
        <f t="shared" si="45"/>
        <v/>
      </c>
      <c r="L79" s="124">
        <f t="shared" si="45"/>
        <v>98</v>
      </c>
      <c r="M79" s="4" t="str">
        <f t="shared" si="45"/>
        <v/>
      </c>
      <c r="N79" s="4" t="str">
        <f t="shared" si="45"/>
        <v/>
      </c>
      <c r="O79" s="4" t="str">
        <f t="shared" si="45"/>
        <v/>
      </c>
      <c r="P79" s="4" t="str">
        <f t="shared" si="45"/>
        <v/>
      </c>
      <c r="Q79" s="123">
        <f t="shared" si="45"/>
        <v>0.3656716418</v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H80" si="46">J20</f>
        <v/>
      </c>
      <c r="B80" s="4" t="str">
        <f t="shared" si="46"/>
        <v/>
      </c>
      <c r="C80" s="4" t="str">
        <f t="shared" si="46"/>
        <v/>
      </c>
      <c r="D80" s="4" t="str">
        <f t="shared" si="46"/>
        <v/>
      </c>
      <c r="E80" s="4" t="str">
        <f t="shared" si="46"/>
        <v/>
      </c>
      <c r="F80" s="4" t="str">
        <f t="shared" si="46"/>
        <v/>
      </c>
      <c r="G80" s="4" t="str">
        <f t="shared" si="46"/>
        <v/>
      </c>
      <c r="H80" s="4" t="str">
        <f t="shared" si="46"/>
        <v/>
      </c>
      <c r="I80" s="4"/>
      <c r="J80" s="4" t="str">
        <f t="shared" ref="J80:Q80" si="47">A20</f>
        <v/>
      </c>
      <c r="K80" s="4" t="str">
        <f t="shared" si="47"/>
        <v/>
      </c>
      <c r="L80" s="4" t="str">
        <f t="shared" si="47"/>
        <v/>
      </c>
      <c r="M80" s="4" t="str">
        <f t="shared" si="47"/>
        <v/>
      </c>
      <c r="N80" s="4" t="str">
        <f t="shared" si="47"/>
        <v/>
      </c>
      <c r="O80" s="4" t="str">
        <f t="shared" si="47"/>
        <v/>
      </c>
      <c r="P80" s="4" t="str">
        <f t="shared" si="47"/>
        <v/>
      </c>
      <c r="Q80" s="4" t="str">
        <f t="shared" si="47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H81" si="48">J21</f>
        <v>Team F</v>
      </c>
      <c r="B81" s="4" t="str">
        <f t="shared" si="48"/>
        <v/>
      </c>
      <c r="C81" s="4" t="str">
        <f t="shared" si="48"/>
        <v/>
      </c>
      <c r="D81" s="177" t="str">
        <f t="shared" si="48"/>
        <v>Result</v>
      </c>
      <c r="E81" s="162" t="str">
        <f t="shared" si="48"/>
        <v>Win</v>
      </c>
      <c r="F81" s="4" t="str">
        <f t="shared" si="48"/>
        <v/>
      </c>
      <c r="G81" s="177" t="str">
        <f t="shared" si="48"/>
        <v>Margin</v>
      </c>
      <c r="H81" s="124">
        <f t="shared" si="48"/>
        <v>15</v>
      </c>
      <c r="I81" s="4"/>
      <c r="J81" s="177" t="str">
        <f t="shared" ref="J81:M81" si="49">A21</f>
        <v>Team E</v>
      </c>
      <c r="K81" s="4" t="str">
        <f t="shared" si="49"/>
        <v/>
      </c>
      <c r="L81" s="4" t="str">
        <f t="shared" si="49"/>
        <v/>
      </c>
      <c r="M81" s="177" t="str">
        <f t="shared" si="49"/>
        <v>Result</v>
      </c>
      <c r="N81" s="4"/>
      <c r="O81" s="4" t="str">
        <f t="shared" ref="O81:Q81" si="50">F21</f>
        <v/>
      </c>
      <c r="P81" s="177" t="str">
        <f t="shared" si="50"/>
        <v>Margin</v>
      </c>
      <c r="Q81" s="124">
        <f t="shared" si="50"/>
        <v>-15</v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H82" si="51">J22</f>
        <v>Name</v>
      </c>
      <c r="B82" s="177" t="str">
        <f t="shared" si="51"/>
        <v>Shot Order</v>
      </c>
      <c r="C82" s="177" t="str">
        <f t="shared" si="51"/>
        <v>Total Cups</v>
      </c>
      <c r="D82" s="177" t="str">
        <f t="shared" si="51"/>
        <v>Tops</v>
      </c>
      <c r="E82" s="177" t="str">
        <f t="shared" si="51"/>
        <v>Top Isos</v>
      </c>
      <c r="F82" s="177" t="str">
        <f t="shared" si="51"/>
        <v>Bottoms</v>
      </c>
      <c r="G82" s="177" t="str">
        <f t="shared" si="51"/>
        <v>Bottom Isos</v>
      </c>
      <c r="H82" s="177" t="str">
        <f t="shared" si="51"/>
        <v>Misses</v>
      </c>
      <c r="I82" s="4"/>
      <c r="J82" s="177" t="str">
        <f t="shared" ref="J82:Q82" si="52">A22</f>
        <v>Name</v>
      </c>
      <c r="K82" s="177" t="str">
        <f t="shared" si="52"/>
        <v>Shot Order</v>
      </c>
      <c r="L82" s="177" t="str">
        <f t="shared" si="52"/>
        <v>Total Cups</v>
      </c>
      <c r="M82" s="177" t="str">
        <f t="shared" si="52"/>
        <v>Tops</v>
      </c>
      <c r="N82" s="177" t="str">
        <f t="shared" si="52"/>
        <v>Top Isos</v>
      </c>
      <c r="O82" s="177" t="str">
        <f t="shared" si="52"/>
        <v>Bottoms</v>
      </c>
      <c r="P82" s="177" t="str">
        <f t="shared" si="52"/>
        <v>Bottom Isos</v>
      </c>
      <c r="Q82" s="177" t="str">
        <f t="shared" si="52"/>
        <v>Misses</v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H83" si="53">J23</f>
        <v>BXu</v>
      </c>
      <c r="B83" s="124">
        <f t="shared" si="53"/>
        <v>5</v>
      </c>
      <c r="C83" s="124">
        <f t="shared" si="53"/>
        <v>16</v>
      </c>
      <c r="D83" s="124">
        <f t="shared" si="53"/>
        <v>5</v>
      </c>
      <c r="E83" s="124">
        <f t="shared" si="53"/>
        <v>3</v>
      </c>
      <c r="F83" s="124">
        <f t="shared" si="53"/>
        <v>6</v>
      </c>
      <c r="G83" s="124">
        <f t="shared" si="53"/>
        <v>2</v>
      </c>
      <c r="H83" s="124">
        <f t="shared" si="53"/>
        <v>31</v>
      </c>
      <c r="I83" s="4"/>
      <c r="J83" s="177" t="str">
        <f t="shared" ref="J83:Q83" si="54">A23</f>
        <v>Taran</v>
      </c>
      <c r="K83" s="124">
        <f t="shared" si="54"/>
        <v>6</v>
      </c>
      <c r="L83" s="124">
        <f t="shared" si="54"/>
        <v>23</v>
      </c>
      <c r="M83" s="124">
        <f t="shared" si="54"/>
        <v>5</v>
      </c>
      <c r="N83" s="124">
        <f t="shared" si="54"/>
        <v>5</v>
      </c>
      <c r="O83" s="124">
        <f t="shared" si="54"/>
        <v>12</v>
      </c>
      <c r="P83" s="124">
        <f t="shared" si="54"/>
        <v>1</v>
      </c>
      <c r="Q83" s="124">
        <f t="shared" si="54"/>
        <v>28</v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H84" si="55">J24</f>
        <v>JChan</v>
      </c>
      <c r="B84" s="124">
        <f t="shared" si="55"/>
        <v>6</v>
      </c>
      <c r="C84" s="124">
        <f t="shared" si="55"/>
        <v>18</v>
      </c>
      <c r="D84" s="124">
        <f t="shared" si="55"/>
        <v>3</v>
      </c>
      <c r="E84" s="124">
        <f t="shared" si="55"/>
        <v>5</v>
      </c>
      <c r="F84" s="124">
        <f t="shared" si="55"/>
        <v>6</v>
      </c>
      <c r="G84" s="124">
        <f t="shared" si="55"/>
        <v>4</v>
      </c>
      <c r="H84" s="124">
        <f t="shared" si="55"/>
        <v>29</v>
      </c>
      <c r="I84" s="4"/>
      <c r="J84" s="177" t="str">
        <f t="shared" ref="J84:Q84" si="56">A24</f>
        <v>Miguel F</v>
      </c>
      <c r="K84" s="124">
        <f t="shared" si="56"/>
        <v>5</v>
      </c>
      <c r="L84" s="124">
        <f t="shared" si="56"/>
        <v>13</v>
      </c>
      <c r="M84" s="124">
        <f t="shared" si="56"/>
        <v>12</v>
      </c>
      <c r="N84" s="124">
        <f t="shared" si="56"/>
        <v>0</v>
      </c>
      <c r="O84" s="124">
        <f t="shared" si="56"/>
        <v>1</v>
      </c>
      <c r="P84" s="124">
        <f t="shared" si="56"/>
        <v>0</v>
      </c>
      <c r="Q84" s="124">
        <f t="shared" si="56"/>
        <v>32</v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H85" si="57">J25</f>
        <v>DC</v>
      </c>
      <c r="B85" s="124">
        <f t="shared" si="57"/>
        <v>3</v>
      </c>
      <c r="C85" s="124">
        <f t="shared" si="57"/>
        <v>12</v>
      </c>
      <c r="D85" s="124">
        <f t="shared" si="57"/>
        <v>7</v>
      </c>
      <c r="E85" s="124">
        <f t="shared" si="57"/>
        <v>0</v>
      </c>
      <c r="F85" s="124">
        <f t="shared" si="57"/>
        <v>5</v>
      </c>
      <c r="G85" s="124">
        <f t="shared" si="57"/>
        <v>0</v>
      </c>
      <c r="H85" s="124">
        <f t="shared" si="57"/>
        <v>31</v>
      </c>
      <c r="I85" s="4"/>
      <c r="J85" s="177" t="str">
        <f t="shared" ref="J85:Q85" si="58">A25</f>
        <v>Mike H</v>
      </c>
      <c r="K85" s="124" t="str">
        <f t="shared" si="58"/>
        <v/>
      </c>
      <c r="L85" s="124" t="str">
        <f t="shared" si="58"/>
        <v/>
      </c>
      <c r="M85" s="124" t="str">
        <f t="shared" si="58"/>
        <v/>
      </c>
      <c r="N85" s="124" t="str">
        <f t="shared" si="58"/>
        <v/>
      </c>
      <c r="O85" s="124" t="str">
        <f t="shared" si="58"/>
        <v/>
      </c>
      <c r="P85" s="124" t="str">
        <f t="shared" si="58"/>
        <v/>
      </c>
      <c r="Q85" s="124" t="str">
        <f t="shared" si="58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H86" si="59">J26</f>
        <v>Schmid</v>
      </c>
      <c r="B86" s="4">
        <f t="shared" si="59"/>
        <v>1</v>
      </c>
      <c r="C86" s="4">
        <f t="shared" si="59"/>
        <v>22</v>
      </c>
      <c r="D86" s="4">
        <f t="shared" si="59"/>
        <v>4</v>
      </c>
      <c r="E86" s="4">
        <f t="shared" si="59"/>
        <v>0</v>
      </c>
      <c r="F86" s="4">
        <f t="shared" si="59"/>
        <v>16</v>
      </c>
      <c r="G86" s="4">
        <f t="shared" si="59"/>
        <v>2</v>
      </c>
      <c r="H86" s="4">
        <f t="shared" si="59"/>
        <v>31</v>
      </c>
      <c r="I86" s="4"/>
      <c r="J86" s="177" t="str">
        <f t="shared" ref="J86:Q86" si="60">A26</f>
        <v>Madams</v>
      </c>
      <c r="K86" s="124">
        <f t="shared" si="60"/>
        <v>4</v>
      </c>
      <c r="L86" s="124">
        <f t="shared" si="60"/>
        <v>11</v>
      </c>
      <c r="M86" s="124">
        <f t="shared" si="60"/>
        <v>4</v>
      </c>
      <c r="N86" s="124">
        <f t="shared" si="60"/>
        <v>1</v>
      </c>
      <c r="O86" s="124">
        <f t="shared" si="60"/>
        <v>6</v>
      </c>
      <c r="P86" s="124">
        <f t="shared" si="60"/>
        <v>0</v>
      </c>
      <c r="Q86" s="124">
        <f t="shared" si="60"/>
        <v>34</v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H87" si="61">J27</f>
        <v>Kian</v>
      </c>
      <c r="B87" s="124">
        <f t="shared" si="61"/>
        <v>4</v>
      </c>
      <c r="C87" s="124">
        <f t="shared" si="61"/>
        <v>17</v>
      </c>
      <c r="D87" s="124">
        <f t="shared" si="61"/>
        <v>4</v>
      </c>
      <c r="E87" s="124">
        <f t="shared" si="61"/>
        <v>4</v>
      </c>
      <c r="F87" s="124">
        <f t="shared" si="61"/>
        <v>8</v>
      </c>
      <c r="G87" s="124">
        <f t="shared" si="61"/>
        <v>1</v>
      </c>
      <c r="H87" s="124">
        <f t="shared" si="61"/>
        <v>32</v>
      </c>
      <c r="I87" s="4"/>
      <c r="J87" s="177" t="str">
        <f t="shared" ref="J87:Q87" si="62">A27</f>
        <v>Jay S</v>
      </c>
      <c r="K87" s="124">
        <f t="shared" si="62"/>
        <v>1</v>
      </c>
      <c r="L87" s="124">
        <f t="shared" si="62"/>
        <v>12</v>
      </c>
      <c r="M87" s="124">
        <f t="shared" si="62"/>
        <v>8</v>
      </c>
      <c r="N87" s="124">
        <f t="shared" si="62"/>
        <v>0</v>
      </c>
      <c r="O87" s="124">
        <f t="shared" si="62"/>
        <v>4</v>
      </c>
      <c r="P87" s="124">
        <f t="shared" si="62"/>
        <v>0</v>
      </c>
      <c r="Q87" s="124">
        <f t="shared" si="62"/>
        <v>33</v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H88" si="63">J28</f>
        <v>Hando</v>
      </c>
      <c r="B88" s="124">
        <f t="shared" si="63"/>
        <v>2</v>
      </c>
      <c r="C88" s="124">
        <f t="shared" si="63"/>
        <v>15</v>
      </c>
      <c r="D88" s="124">
        <f t="shared" si="63"/>
        <v>9</v>
      </c>
      <c r="E88" s="124">
        <f t="shared" si="63"/>
        <v>1</v>
      </c>
      <c r="F88" s="124">
        <f t="shared" si="63"/>
        <v>5</v>
      </c>
      <c r="G88" s="124">
        <f t="shared" si="63"/>
        <v>0</v>
      </c>
      <c r="H88" s="124">
        <f t="shared" si="63"/>
        <v>34</v>
      </c>
      <c r="I88" s="4"/>
      <c r="J88" s="177" t="str">
        <f t="shared" ref="J88:Q88" si="64">A28</f>
        <v>Tripp</v>
      </c>
      <c r="K88" s="4">
        <f t="shared" si="64"/>
        <v>2</v>
      </c>
      <c r="L88" s="4">
        <f t="shared" si="64"/>
        <v>9</v>
      </c>
      <c r="M88" s="4">
        <f t="shared" si="64"/>
        <v>3</v>
      </c>
      <c r="N88" s="4">
        <f t="shared" si="64"/>
        <v>2</v>
      </c>
      <c r="O88" s="4">
        <f t="shared" si="64"/>
        <v>4</v>
      </c>
      <c r="P88" s="4">
        <f t="shared" si="64"/>
        <v>0</v>
      </c>
      <c r="Q88" s="4">
        <f t="shared" si="64"/>
        <v>34</v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H89" si="65">J29</f>
        <v>Petric</v>
      </c>
      <c r="B89" s="4" t="str">
        <f t="shared" si="65"/>
        <v/>
      </c>
      <c r="C89" s="4" t="str">
        <f t="shared" si="65"/>
        <v/>
      </c>
      <c r="D89" s="4" t="str">
        <f t="shared" si="65"/>
        <v/>
      </c>
      <c r="E89" s="4" t="str">
        <f t="shared" si="65"/>
        <v/>
      </c>
      <c r="F89" s="4" t="str">
        <f t="shared" si="65"/>
        <v/>
      </c>
      <c r="G89" s="4" t="str">
        <f t="shared" si="65"/>
        <v/>
      </c>
      <c r="H89" s="4" t="str">
        <f t="shared" si="65"/>
        <v/>
      </c>
      <c r="I89" s="4"/>
      <c r="J89" s="177" t="str">
        <f t="shared" ref="J89:Q89" si="66">A29</f>
        <v>Lulu</v>
      </c>
      <c r="K89" s="4" t="str">
        <f t="shared" si="66"/>
        <v/>
      </c>
      <c r="L89" s="4" t="str">
        <f t="shared" si="66"/>
        <v/>
      </c>
      <c r="M89" s="4" t="str">
        <f t="shared" si="66"/>
        <v/>
      </c>
      <c r="N89" s="4" t="str">
        <f t="shared" si="66"/>
        <v/>
      </c>
      <c r="O89" s="4" t="str">
        <f t="shared" si="66"/>
        <v/>
      </c>
      <c r="P89" s="4" t="str">
        <f t="shared" si="66"/>
        <v/>
      </c>
      <c r="Q89" s="4" t="str">
        <f t="shared" si="66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H90" si="67">J30</f>
        <v>Mike Zhou</v>
      </c>
      <c r="B90" s="124" t="str">
        <f t="shared" si="67"/>
        <v/>
      </c>
      <c r="C90" s="124" t="str">
        <f t="shared" si="67"/>
        <v/>
      </c>
      <c r="D90" s="124" t="str">
        <f t="shared" si="67"/>
        <v/>
      </c>
      <c r="E90" s="124" t="str">
        <f t="shared" si="67"/>
        <v/>
      </c>
      <c r="F90" s="124" t="str">
        <f t="shared" si="67"/>
        <v/>
      </c>
      <c r="G90" s="124" t="str">
        <f t="shared" si="67"/>
        <v/>
      </c>
      <c r="H90" s="124" t="str">
        <f t="shared" si="67"/>
        <v/>
      </c>
      <c r="I90" s="4"/>
      <c r="J90" s="177" t="str">
        <f t="shared" ref="J90:Q90" si="68">A30</f>
        <v>Ilt</v>
      </c>
      <c r="K90" s="124">
        <f t="shared" si="68"/>
        <v>3</v>
      </c>
      <c r="L90" s="124">
        <f t="shared" si="68"/>
        <v>17</v>
      </c>
      <c r="M90" s="124">
        <f t="shared" si="68"/>
        <v>4</v>
      </c>
      <c r="N90" s="124">
        <f t="shared" si="68"/>
        <v>0</v>
      </c>
      <c r="O90" s="124">
        <f t="shared" si="68"/>
        <v>13</v>
      </c>
      <c r="P90" s="124">
        <f t="shared" si="68"/>
        <v>0</v>
      </c>
      <c r="Q90" s="124">
        <f t="shared" si="68"/>
        <v>30</v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H91" si="69">J31</f>
        <v>Cole</v>
      </c>
      <c r="B91" s="4" t="str">
        <f t="shared" si="69"/>
        <v/>
      </c>
      <c r="C91" s="4" t="str">
        <f t="shared" si="69"/>
        <v/>
      </c>
      <c r="D91" s="4" t="str">
        <f t="shared" si="69"/>
        <v/>
      </c>
      <c r="E91" s="4" t="str">
        <f t="shared" si="69"/>
        <v/>
      </c>
      <c r="F91" s="4" t="str">
        <f t="shared" si="69"/>
        <v/>
      </c>
      <c r="G91" s="4" t="str">
        <f t="shared" si="69"/>
        <v/>
      </c>
      <c r="H91" s="4" t="str">
        <f t="shared" si="69"/>
        <v/>
      </c>
      <c r="I91" s="4"/>
      <c r="J91" s="177" t="str">
        <f t="shared" ref="J91:Q91" si="70">A31</f>
        <v>Pasha</v>
      </c>
      <c r="K91" s="4" t="str">
        <f t="shared" si="70"/>
        <v/>
      </c>
      <c r="L91" s="4" t="str">
        <f t="shared" si="70"/>
        <v/>
      </c>
      <c r="M91" s="4" t="str">
        <f t="shared" si="70"/>
        <v/>
      </c>
      <c r="N91" s="4" t="str">
        <f t="shared" si="70"/>
        <v/>
      </c>
      <c r="O91" s="4" t="str">
        <f t="shared" si="70"/>
        <v/>
      </c>
      <c r="P91" s="4" t="str">
        <f t="shared" si="70"/>
        <v/>
      </c>
      <c r="Q91" s="4" t="str">
        <f t="shared" si="70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H92" si="71">J32</f>
        <v/>
      </c>
      <c r="B92" s="4" t="str">
        <f t="shared" si="71"/>
        <v/>
      </c>
      <c r="C92" s="4" t="str">
        <f t="shared" si="71"/>
        <v/>
      </c>
      <c r="D92" s="4" t="str">
        <f t="shared" si="71"/>
        <v/>
      </c>
      <c r="E92" s="4" t="str">
        <f t="shared" si="71"/>
        <v/>
      </c>
      <c r="F92" s="4" t="str">
        <f t="shared" si="71"/>
        <v/>
      </c>
      <c r="G92" s="4" t="str">
        <f t="shared" si="71"/>
        <v/>
      </c>
      <c r="H92" s="4" t="str">
        <f t="shared" si="71"/>
        <v/>
      </c>
      <c r="I92" s="4"/>
      <c r="J92" s="177" t="str">
        <f t="shared" ref="J92:Q92" si="72">A32</f>
        <v/>
      </c>
      <c r="K92" s="4" t="str">
        <f t="shared" si="72"/>
        <v/>
      </c>
      <c r="L92" s="4" t="str">
        <f t="shared" si="72"/>
        <v/>
      </c>
      <c r="M92" s="4" t="str">
        <f t="shared" si="72"/>
        <v/>
      </c>
      <c r="N92" s="4" t="str">
        <f t="shared" si="72"/>
        <v/>
      </c>
      <c r="O92" s="4" t="str">
        <f t="shared" si="72"/>
        <v/>
      </c>
      <c r="P92" s="4" t="str">
        <f t="shared" si="72"/>
        <v/>
      </c>
      <c r="Q92" s="4" t="str">
        <f t="shared" si="72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H93" si="73">J33</f>
        <v/>
      </c>
      <c r="B93" s="4" t="str">
        <f t="shared" si="73"/>
        <v/>
      </c>
      <c r="C93" s="4" t="str">
        <f t="shared" si="73"/>
        <v/>
      </c>
      <c r="D93" s="4" t="str">
        <f t="shared" si="73"/>
        <v/>
      </c>
      <c r="E93" s="4" t="str">
        <f t="shared" si="73"/>
        <v/>
      </c>
      <c r="F93" s="4" t="str">
        <f t="shared" si="73"/>
        <v/>
      </c>
      <c r="G93" s="4" t="str">
        <f t="shared" si="73"/>
        <v/>
      </c>
      <c r="H93" s="4" t="str">
        <f t="shared" si="73"/>
        <v/>
      </c>
      <c r="I93" s="4"/>
      <c r="J93" s="177" t="str">
        <f t="shared" ref="J93:Q93" si="74">A33</f>
        <v/>
      </c>
      <c r="K93" s="4" t="str">
        <f t="shared" si="74"/>
        <v/>
      </c>
      <c r="L93" s="4" t="str">
        <f t="shared" si="74"/>
        <v/>
      </c>
      <c r="M93" s="4" t="str">
        <f t="shared" si="74"/>
        <v/>
      </c>
      <c r="N93" s="4" t="str">
        <f t="shared" si="74"/>
        <v/>
      </c>
      <c r="O93" s="4" t="str">
        <f t="shared" si="74"/>
        <v/>
      </c>
      <c r="P93" s="4" t="str">
        <f t="shared" si="74"/>
        <v/>
      </c>
      <c r="Q93" s="4" t="str">
        <f t="shared" si="74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H94" si="75">J34</f>
        <v/>
      </c>
      <c r="B94" s="4" t="str">
        <f t="shared" si="75"/>
        <v/>
      </c>
      <c r="C94" s="4" t="str">
        <f t="shared" si="75"/>
        <v/>
      </c>
      <c r="D94" s="4" t="str">
        <f t="shared" si="75"/>
        <v/>
      </c>
      <c r="E94" s="4" t="str">
        <f t="shared" si="75"/>
        <v/>
      </c>
      <c r="F94" s="4" t="str">
        <f t="shared" si="75"/>
        <v/>
      </c>
      <c r="G94" s="4" t="str">
        <f t="shared" si="75"/>
        <v/>
      </c>
      <c r="H94" s="4" t="str">
        <f t="shared" si="75"/>
        <v/>
      </c>
      <c r="I94" s="4"/>
      <c r="J94" s="4" t="str">
        <f t="shared" ref="J94:Q94" si="76">A34</f>
        <v/>
      </c>
      <c r="K94" s="4" t="str">
        <f t="shared" si="76"/>
        <v/>
      </c>
      <c r="L94" s="4" t="str">
        <f t="shared" si="76"/>
        <v/>
      </c>
      <c r="M94" s="4" t="str">
        <f t="shared" si="76"/>
        <v/>
      </c>
      <c r="N94" s="4" t="str">
        <f t="shared" si="76"/>
        <v/>
      </c>
      <c r="O94" s="4" t="str">
        <f t="shared" si="76"/>
        <v/>
      </c>
      <c r="P94" s="4" t="str">
        <f t="shared" si="76"/>
        <v/>
      </c>
      <c r="Q94" s="4" t="str">
        <f t="shared" si="76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H95" si="77">J35</f>
        <v/>
      </c>
      <c r="B95" s="4" t="str">
        <f t="shared" si="77"/>
        <v/>
      </c>
      <c r="C95" s="4" t="str">
        <f t="shared" si="77"/>
        <v/>
      </c>
      <c r="D95" s="4" t="str">
        <f t="shared" si="77"/>
        <v/>
      </c>
      <c r="E95" s="4" t="str">
        <f t="shared" si="77"/>
        <v/>
      </c>
      <c r="F95" s="4" t="str">
        <f t="shared" si="77"/>
        <v/>
      </c>
      <c r="G95" s="4" t="str">
        <f t="shared" si="77"/>
        <v/>
      </c>
      <c r="H95" s="4" t="str">
        <f t="shared" si="77"/>
        <v/>
      </c>
      <c r="I95" s="4"/>
      <c r="J95" s="4" t="str">
        <f t="shared" ref="J95:Q95" si="78">A35</f>
        <v/>
      </c>
      <c r="K95" s="4" t="str">
        <f t="shared" si="78"/>
        <v/>
      </c>
      <c r="L95" s="4" t="str">
        <f t="shared" si="78"/>
        <v/>
      </c>
      <c r="M95" s="4" t="str">
        <f t="shared" si="78"/>
        <v/>
      </c>
      <c r="N95" s="4" t="str">
        <f t="shared" si="78"/>
        <v/>
      </c>
      <c r="O95" s="4" t="str">
        <f t="shared" si="78"/>
        <v/>
      </c>
      <c r="P95" s="4" t="str">
        <f t="shared" si="78"/>
        <v/>
      </c>
      <c r="Q95" s="4" t="str">
        <f t="shared" si="78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H96" si="79">J36</f>
        <v/>
      </c>
      <c r="B96" s="4" t="str">
        <f t="shared" si="79"/>
        <v/>
      </c>
      <c r="C96" s="4" t="str">
        <f t="shared" si="79"/>
        <v/>
      </c>
      <c r="D96" s="4" t="str">
        <f t="shared" si="79"/>
        <v/>
      </c>
      <c r="E96" s="4" t="str">
        <f t="shared" si="79"/>
        <v/>
      </c>
      <c r="F96" s="4" t="str">
        <f t="shared" si="79"/>
        <v/>
      </c>
      <c r="G96" s="4" t="str">
        <f t="shared" si="79"/>
        <v/>
      </c>
      <c r="H96" s="4" t="str">
        <f t="shared" si="79"/>
        <v/>
      </c>
      <c r="I96" s="4"/>
      <c r="J96" s="4" t="str">
        <f t="shared" ref="J96:Q96" si="80">A36</f>
        <v/>
      </c>
      <c r="K96" s="4" t="str">
        <f t="shared" si="80"/>
        <v/>
      </c>
      <c r="L96" s="4" t="str">
        <f t="shared" si="80"/>
        <v/>
      </c>
      <c r="M96" s="4" t="str">
        <f t="shared" si="80"/>
        <v/>
      </c>
      <c r="N96" s="4" t="str">
        <f t="shared" si="80"/>
        <v/>
      </c>
      <c r="O96" s="4" t="str">
        <f t="shared" si="80"/>
        <v/>
      </c>
      <c r="P96" s="4" t="str">
        <f t="shared" si="80"/>
        <v/>
      </c>
      <c r="Q96" s="4" t="str">
        <f t="shared" si="80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H97" si="81">J37</f>
        <v/>
      </c>
      <c r="B97" s="4" t="str">
        <f t="shared" si="81"/>
        <v/>
      </c>
      <c r="C97" s="4" t="str">
        <f t="shared" si="81"/>
        <v/>
      </c>
      <c r="D97" s="4" t="str">
        <f t="shared" si="81"/>
        <v/>
      </c>
      <c r="E97" s="4" t="str">
        <f t="shared" si="81"/>
        <v/>
      </c>
      <c r="F97" s="4" t="str">
        <f t="shared" si="81"/>
        <v/>
      </c>
      <c r="G97" s="4" t="str">
        <f t="shared" si="81"/>
        <v/>
      </c>
      <c r="H97" s="4" t="str">
        <f t="shared" si="81"/>
        <v/>
      </c>
      <c r="I97" s="4"/>
      <c r="J97" s="4" t="str">
        <f t="shared" ref="J97:Q97" si="82">A37</f>
        <v/>
      </c>
      <c r="K97" s="4" t="str">
        <f t="shared" si="82"/>
        <v/>
      </c>
      <c r="L97" s="4" t="str">
        <f t="shared" si="82"/>
        <v/>
      </c>
      <c r="M97" s="4" t="str">
        <f t="shared" si="82"/>
        <v/>
      </c>
      <c r="N97" s="4" t="str">
        <f t="shared" si="82"/>
        <v/>
      </c>
      <c r="O97" s="4" t="str">
        <f t="shared" si="82"/>
        <v/>
      </c>
      <c r="P97" s="4" t="str">
        <f t="shared" si="82"/>
        <v/>
      </c>
      <c r="Q97" s="4" t="str">
        <f t="shared" si="82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H98" si="83">J38</f>
        <v>Pulled Cups</v>
      </c>
      <c r="B98" s="4" t="str">
        <f t="shared" si="83"/>
        <v/>
      </c>
      <c r="C98" s="124" t="str">
        <f t="shared" si="83"/>
        <v/>
      </c>
      <c r="D98" s="4" t="str">
        <f t="shared" si="83"/>
        <v/>
      </c>
      <c r="E98" s="4" t="str">
        <f t="shared" si="83"/>
        <v/>
      </c>
      <c r="F98" s="4" t="str">
        <f t="shared" si="83"/>
        <v/>
      </c>
      <c r="G98" s="4" t="str">
        <f t="shared" si="83"/>
        <v/>
      </c>
      <c r="H98" s="4" t="str">
        <f t="shared" si="83"/>
        <v/>
      </c>
      <c r="I98" s="4"/>
      <c r="J98" s="177" t="str">
        <f t="shared" ref="J98:Q98" si="84">A38</f>
        <v>Pulled Cups</v>
      </c>
      <c r="K98" s="4" t="str">
        <f t="shared" si="84"/>
        <v/>
      </c>
      <c r="L98" s="4" t="str">
        <f t="shared" si="84"/>
        <v/>
      </c>
      <c r="M98" s="4" t="str">
        <f t="shared" si="84"/>
        <v/>
      </c>
      <c r="N98" s="4" t="str">
        <f t="shared" si="84"/>
        <v/>
      </c>
      <c r="O98" s="4" t="str">
        <f t="shared" si="84"/>
        <v/>
      </c>
      <c r="P98" s="4" t="str">
        <f t="shared" si="84"/>
        <v/>
      </c>
      <c r="Q98" s="4" t="str">
        <f t="shared" si="8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H99" si="85">J39</f>
        <v>Total</v>
      </c>
      <c r="B99" s="4" t="str">
        <f t="shared" si="85"/>
        <v/>
      </c>
      <c r="C99" s="124">
        <f t="shared" si="85"/>
        <v>100</v>
      </c>
      <c r="D99" s="4" t="str">
        <f t="shared" si="85"/>
        <v/>
      </c>
      <c r="E99" s="4" t="str">
        <f t="shared" si="85"/>
        <v/>
      </c>
      <c r="F99" s="4" t="str">
        <f t="shared" si="85"/>
        <v/>
      </c>
      <c r="G99" s="4" t="str">
        <f t="shared" si="85"/>
        <v/>
      </c>
      <c r="H99" s="123">
        <f t="shared" si="85"/>
        <v>0.3472222222</v>
      </c>
      <c r="I99" s="4"/>
      <c r="J99" s="177" t="str">
        <f t="shared" ref="J99:Q99" si="86">A39</f>
        <v>Total</v>
      </c>
      <c r="K99" s="4" t="str">
        <f t="shared" si="86"/>
        <v/>
      </c>
      <c r="L99" s="124">
        <f t="shared" si="86"/>
        <v>85</v>
      </c>
      <c r="M99" s="4" t="str">
        <f t="shared" si="86"/>
        <v/>
      </c>
      <c r="N99" s="4" t="str">
        <f t="shared" si="86"/>
        <v/>
      </c>
      <c r="O99" s="4" t="str">
        <f t="shared" si="86"/>
        <v/>
      </c>
      <c r="P99" s="4" t="str">
        <f t="shared" si="86"/>
        <v/>
      </c>
      <c r="Q99" s="123">
        <f t="shared" si="86"/>
        <v>0.3079710145</v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H100" si="87">J40</f>
        <v/>
      </c>
      <c r="B100" s="4" t="str">
        <f t="shared" si="87"/>
        <v/>
      </c>
      <c r="C100" s="4" t="str">
        <f t="shared" si="87"/>
        <v/>
      </c>
      <c r="D100" s="4" t="str">
        <f t="shared" si="87"/>
        <v/>
      </c>
      <c r="E100" s="4" t="str">
        <f t="shared" si="87"/>
        <v/>
      </c>
      <c r="F100" s="4" t="str">
        <f t="shared" si="87"/>
        <v/>
      </c>
      <c r="G100" s="4" t="str">
        <f t="shared" si="87"/>
        <v/>
      </c>
      <c r="H100" s="4" t="str">
        <f t="shared" si="87"/>
        <v/>
      </c>
      <c r="I100" s="4"/>
      <c r="J100" s="4" t="str">
        <f t="shared" ref="J100:Q100" si="88">A40</f>
        <v/>
      </c>
      <c r="K100" s="4" t="str">
        <f t="shared" si="88"/>
        <v/>
      </c>
      <c r="L100" s="4" t="str">
        <f t="shared" si="88"/>
        <v/>
      </c>
      <c r="M100" s="4" t="str">
        <f t="shared" si="88"/>
        <v/>
      </c>
      <c r="N100" s="4" t="str">
        <f t="shared" si="88"/>
        <v/>
      </c>
      <c r="O100" s="4" t="str">
        <f t="shared" si="88"/>
        <v/>
      </c>
      <c r="P100" s="4" t="str">
        <f t="shared" si="88"/>
        <v/>
      </c>
      <c r="Q100" s="4" t="str">
        <f t="shared" si="88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H101" si="89">J41</f>
        <v>Team C</v>
      </c>
      <c r="B101" s="4" t="str">
        <f t="shared" si="89"/>
        <v/>
      </c>
      <c r="C101" s="4" t="str">
        <f t="shared" si="89"/>
        <v/>
      </c>
      <c r="D101" s="177" t="str">
        <f t="shared" si="89"/>
        <v>Result</v>
      </c>
      <c r="E101" s="166" t="str">
        <f t="shared" si="89"/>
        <v>Loss</v>
      </c>
      <c r="F101" s="4" t="str">
        <f t="shared" si="89"/>
        <v/>
      </c>
      <c r="G101" s="177" t="str">
        <f t="shared" si="89"/>
        <v>Margin</v>
      </c>
      <c r="H101" s="124">
        <f t="shared" si="89"/>
        <v>-10</v>
      </c>
      <c r="I101" s="4"/>
      <c r="J101" s="177" t="str">
        <f t="shared" ref="J101:M101" si="90">A41</f>
        <v>Migos</v>
      </c>
      <c r="K101" s="4" t="str">
        <f t="shared" si="90"/>
        <v/>
      </c>
      <c r="L101" s="4" t="str">
        <f t="shared" si="90"/>
        <v/>
      </c>
      <c r="M101" s="177" t="str">
        <f t="shared" si="90"/>
        <v>Result</v>
      </c>
      <c r="N101" s="4"/>
      <c r="O101" s="4" t="str">
        <f t="shared" ref="O101:Q101" si="91">F41</f>
        <v/>
      </c>
      <c r="P101" s="177" t="str">
        <f t="shared" si="91"/>
        <v>Margin</v>
      </c>
      <c r="Q101" s="124">
        <f t="shared" si="91"/>
        <v>10</v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H102" si="92">J42</f>
        <v>Name</v>
      </c>
      <c r="B102" s="177" t="str">
        <f t="shared" si="92"/>
        <v>Shot Order</v>
      </c>
      <c r="C102" s="177" t="str">
        <f t="shared" si="92"/>
        <v>Total Cups</v>
      </c>
      <c r="D102" s="177" t="str">
        <f t="shared" si="92"/>
        <v>Tops</v>
      </c>
      <c r="E102" s="177" t="str">
        <f t="shared" si="92"/>
        <v>Top Isos</v>
      </c>
      <c r="F102" s="177" t="str">
        <f t="shared" si="92"/>
        <v>Bottoms</v>
      </c>
      <c r="G102" s="177" t="str">
        <f t="shared" si="92"/>
        <v>Bottom Isos</v>
      </c>
      <c r="H102" s="177" t="str">
        <f t="shared" si="92"/>
        <v>Misses</v>
      </c>
      <c r="I102" s="4"/>
      <c r="J102" s="177" t="str">
        <f t="shared" ref="J102:Q102" si="93">A42</f>
        <v>Name</v>
      </c>
      <c r="K102" s="177" t="str">
        <f t="shared" si="93"/>
        <v>Shot Order</v>
      </c>
      <c r="L102" s="177" t="str">
        <f t="shared" si="93"/>
        <v>Total Cups</v>
      </c>
      <c r="M102" s="177" t="str">
        <f t="shared" si="93"/>
        <v>Tops</v>
      </c>
      <c r="N102" s="177" t="str">
        <f t="shared" si="93"/>
        <v>Top Isos</v>
      </c>
      <c r="O102" s="177" t="str">
        <f t="shared" si="93"/>
        <v>Bottoms</v>
      </c>
      <c r="P102" s="177" t="str">
        <f t="shared" si="93"/>
        <v>Bottom Isos</v>
      </c>
      <c r="Q102" s="177" t="str">
        <f t="shared" si="93"/>
        <v>Misses</v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H103" si="94">J43</f>
        <v>Matt</v>
      </c>
      <c r="B103" s="124">
        <f t="shared" si="94"/>
        <v>6</v>
      </c>
      <c r="C103" s="124">
        <f t="shared" si="94"/>
        <v>10</v>
      </c>
      <c r="D103" s="124">
        <f t="shared" si="94"/>
        <v>2</v>
      </c>
      <c r="E103" s="124">
        <f t="shared" si="94"/>
        <v>0</v>
      </c>
      <c r="F103" s="124">
        <f t="shared" si="94"/>
        <v>7</v>
      </c>
      <c r="G103" s="124">
        <f t="shared" si="94"/>
        <v>1</v>
      </c>
      <c r="H103" s="124">
        <f t="shared" si="94"/>
        <v>20</v>
      </c>
      <c r="I103" s="4"/>
      <c r="J103" s="177" t="str">
        <f t="shared" ref="J103:Q103" si="95">A43</f>
        <v>Leo</v>
      </c>
      <c r="K103" s="124">
        <f t="shared" si="95"/>
        <v>5</v>
      </c>
      <c r="L103" s="124">
        <f t="shared" si="95"/>
        <v>13</v>
      </c>
      <c r="M103" s="124">
        <f t="shared" si="95"/>
        <v>5</v>
      </c>
      <c r="N103" s="124">
        <f t="shared" si="95"/>
        <v>0</v>
      </c>
      <c r="O103" s="124">
        <f t="shared" si="95"/>
        <v>5</v>
      </c>
      <c r="P103" s="124">
        <f t="shared" si="95"/>
        <v>3</v>
      </c>
      <c r="Q103" s="124">
        <f t="shared" si="95"/>
        <v>21</v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H104" si="96">J44</f>
        <v>Gid</v>
      </c>
      <c r="B104" s="124">
        <f t="shared" si="96"/>
        <v>5</v>
      </c>
      <c r="C104" s="124">
        <f t="shared" si="96"/>
        <v>14</v>
      </c>
      <c r="D104" s="124">
        <f t="shared" si="96"/>
        <v>6</v>
      </c>
      <c r="E104" s="124">
        <f t="shared" si="96"/>
        <v>3</v>
      </c>
      <c r="F104" s="124">
        <f t="shared" si="96"/>
        <v>4</v>
      </c>
      <c r="G104" s="124">
        <f t="shared" si="96"/>
        <v>1</v>
      </c>
      <c r="H104" s="124">
        <f t="shared" si="96"/>
        <v>21</v>
      </c>
      <c r="I104" s="4"/>
      <c r="J104" s="177" t="str">
        <f t="shared" ref="J104:Q104" si="97">A44</f>
        <v>Seb</v>
      </c>
      <c r="K104" s="124">
        <f t="shared" si="97"/>
        <v>6</v>
      </c>
      <c r="L104" s="124">
        <f t="shared" si="97"/>
        <v>24</v>
      </c>
      <c r="M104" s="124">
        <f t="shared" si="97"/>
        <v>9</v>
      </c>
      <c r="N104" s="124">
        <f t="shared" si="97"/>
        <v>4</v>
      </c>
      <c r="O104" s="124">
        <f t="shared" si="97"/>
        <v>7</v>
      </c>
      <c r="P104" s="124">
        <f t="shared" si="97"/>
        <v>4</v>
      </c>
      <c r="Q104" s="124">
        <f t="shared" si="97"/>
        <v>18</v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H105" si="98">J45</f>
        <v>Nikita S</v>
      </c>
      <c r="B105" s="124">
        <f t="shared" si="98"/>
        <v>1</v>
      </c>
      <c r="C105" s="124">
        <f t="shared" si="98"/>
        <v>19</v>
      </c>
      <c r="D105" s="124">
        <f t="shared" si="98"/>
        <v>14</v>
      </c>
      <c r="E105" s="124">
        <f t="shared" si="98"/>
        <v>0</v>
      </c>
      <c r="F105" s="124">
        <f t="shared" si="98"/>
        <v>4</v>
      </c>
      <c r="G105" s="124">
        <f t="shared" si="98"/>
        <v>1</v>
      </c>
      <c r="H105" s="124">
        <f t="shared" si="98"/>
        <v>22</v>
      </c>
      <c r="I105" s="4"/>
      <c r="J105" s="177" t="str">
        <f t="shared" ref="J105:Q105" si="99">A45</f>
        <v>Fritz</v>
      </c>
      <c r="K105" s="124">
        <f t="shared" si="99"/>
        <v>1</v>
      </c>
      <c r="L105" s="124">
        <f t="shared" si="99"/>
        <v>23</v>
      </c>
      <c r="M105" s="124">
        <f t="shared" si="99"/>
        <v>16</v>
      </c>
      <c r="N105" s="124">
        <f t="shared" si="99"/>
        <v>3</v>
      </c>
      <c r="O105" s="124">
        <f t="shared" si="99"/>
        <v>3</v>
      </c>
      <c r="P105" s="124">
        <f t="shared" si="99"/>
        <v>1</v>
      </c>
      <c r="Q105" s="124">
        <f t="shared" si="99"/>
        <v>19</v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H106" si="100">J46</f>
        <v>Sonne</v>
      </c>
      <c r="B106" s="124" t="str">
        <f t="shared" si="100"/>
        <v/>
      </c>
      <c r="C106" s="124" t="str">
        <f t="shared" si="100"/>
        <v/>
      </c>
      <c r="D106" s="124" t="str">
        <f t="shared" si="100"/>
        <v/>
      </c>
      <c r="E106" s="124" t="str">
        <f t="shared" si="100"/>
        <v/>
      </c>
      <c r="F106" s="124" t="str">
        <f t="shared" si="100"/>
        <v/>
      </c>
      <c r="G106" s="124" t="str">
        <f t="shared" si="100"/>
        <v/>
      </c>
      <c r="H106" s="124" t="str">
        <f t="shared" si="100"/>
        <v/>
      </c>
      <c r="I106" s="4"/>
      <c r="J106" s="177" t="str">
        <f t="shared" ref="J106:Q106" si="101">A46</f>
        <v>Arnav</v>
      </c>
      <c r="K106" s="4">
        <f t="shared" si="101"/>
        <v>2</v>
      </c>
      <c r="L106" s="4">
        <f t="shared" si="101"/>
        <v>11</v>
      </c>
      <c r="M106" s="4">
        <f t="shared" si="101"/>
        <v>2</v>
      </c>
      <c r="N106" s="4">
        <f t="shared" si="101"/>
        <v>0</v>
      </c>
      <c r="O106" s="4">
        <f t="shared" si="101"/>
        <v>9</v>
      </c>
      <c r="P106" s="4">
        <f t="shared" si="101"/>
        <v>0</v>
      </c>
      <c r="Q106" s="4">
        <f t="shared" si="101"/>
        <v>22</v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H107" si="102">J47</f>
        <v>Crosby</v>
      </c>
      <c r="B107" s="4">
        <f t="shared" si="102"/>
        <v>2</v>
      </c>
      <c r="C107" s="4">
        <f t="shared" si="102"/>
        <v>18</v>
      </c>
      <c r="D107" s="4">
        <f t="shared" si="102"/>
        <v>12</v>
      </c>
      <c r="E107" s="4">
        <f t="shared" si="102"/>
        <v>0</v>
      </c>
      <c r="F107" s="4">
        <f t="shared" si="102"/>
        <v>6</v>
      </c>
      <c r="G107" s="4">
        <f t="shared" si="102"/>
        <v>0</v>
      </c>
      <c r="H107" s="4">
        <f t="shared" si="102"/>
        <v>22</v>
      </c>
      <c r="I107" s="4"/>
      <c r="J107" s="177" t="str">
        <f t="shared" ref="J107:Q107" si="103">A47</f>
        <v>Lanuza</v>
      </c>
      <c r="K107" s="124" t="str">
        <f t="shared" si="103"/>
        <v/>
      </c>
      <c r="L107" s="124" t="str">
        <f t="shared" si="103"/>
        <v/>
      </c>
      <c r="M107" s="124" t="str">
        <f t="shared" si="103"/>
        <v/>
      </c>
      <c r="N107" s="124" t="str">
        <f t="shared" si="103"/>
        <v/>
      </c>
      <c r="O107" s="124" t="str">
        <f t="shared" si="103"/>
        <v/>
      </c>
      <c r="P107" s="124" t="str">
        <f t="shared" si="103"/>
        <v/>
      </c>
      <c r="Q107" s="124" t="str">
        <f t="shared" si="10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H108" si="104">J48</f>
        <v>Kevin Zhou</v>
      </c>
      <c r="B108" s="124">
        <f t="shared" si="104"/>
        <v>4</v>
      </c>
      <c r="C108" s="124">
        <f t="shared" si="104"/>
        <v>9</v>
      </c>
      <c r="D108" s="124">
        <f t="shared" si="104"/>
        <v>2</v>
      </c>
      <c r="E108" s="124">
        <f t="shared" si="104"/>
        <v>0</v>
      </c>
      <c r="F108" s="124">
        <f t="shared" si="104"/>
        <v>7</v>
      </c>
      <c r="G108" s="124">
        <f t="shared" si="104"/>
        <v>0</v>
      </c>
      <c r="H108" s="124">
        <f t="shared" si="104"/>
        <v>22</v>
      </c>
      <c r="I108" s="4"/>
      <c r="J108" s="177" t="str">
        <f t="shared" ref="J108:Q108" si="105">A48</f>
        <v>Samos</v>
      </c>
      <c r="K108" s="4">
        <f t="shared" si="105"/>
        <v>4</v>
      </c>
      <c r="L108" s="4">
        <f t="shared" si="105"/>
        <v>15</v>
      </c>
      <c r="M108" s="4">
        <f t="shared" si="105"/>
        <v>4</v>
      </c>
      <c r="N108" s="4">
        <f t="shared" si="105"/>
        <v>1</v>
      </c>
      <c r="O108" s="4">
        <f t="shared" si="105"/>
        <v>9</v>
      </c>
      <c r="P108" s="4">
        <f t="shared" si="105"/>
        <v>1</v>
      </c>
      <c r="Q108" s="4">
        <f t="shared" si="105"/>
        <v>20</v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H109" si="106">J49</f>
        <v>Somil</v>
      </c>
      <c r="B109" s="124" t="str">
        <f t="shared" si="106"/>
        <v/>
      </c>
      <c r="C109" s="124" t="str">
        <f t="shared" si="106"/>
        <v/>
      </c>
      <c r="D109" s="124" t="str">
        <f t="shared" si="106"/>
        <v/>
      </c>
      <c r="E109" s="124" t="str">
        <f t="shared" si="106"/>
        <v/>
      </c>
      <c r="F109" s="124" t="str">
        <f t="shared" si="106"/>
        <v/>
      </c>
      <c r="G109" s="124" t="str">
        <f t="shared" si="106"/>
        <v/>
      </c>
      <c r="H109" s="124" t="str">
        <f t="shared" si="106"/>
        <v/>
      </c>
      <c r="I109" s="4"/>
      <c r="J109" s="177" t="str">
        <f t="shared" ref="J109:Q109" si="107">A49</f>
        <v>Kyi</v>
      </c>
      <c r="K109" s="124" t="str">
        <f t="shared" si="107"/>
        <v/>
      </c>
      <c r="L109" s="124" t="str">
        <f t="shared" si="107"/>
        <v/>
      </c>
      <c r="M109" s="124" t="str">
        <f t="shared" si="107"/>
        <v/>
      </c>
      <c r="N109" s="124" t="str">
        <f t="shared" si="107"/>
        <v/>
      </c>
      <c r="O109" s="124" t="str">
        <f t="shared" si="107"/>
        <v/>
      </c>
      <c r="P109" s="124" t="str">
        <f t="shared" si="107"/>
        <v/>
      </c>
      <c r="Q109" s="124" t="str">
        <f t="shared" si="107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H110" si="108">J50</f>
        <v>Suyoag</v>
      </c>
      <c r="B110" s="4">
        <f t="shared" si="108"/>
        <v>3</v>
      </c>
      <c r="C110" s="4">
        <f t="shared" si="108"/>
        <v>17</v>
      </c>
      <c r="D110" s="4">
        <f t="shared" si="108"/>
        <v>4</v>
      </c>
      <c r="E110" s="4">
        <f t="shared" si="108"/>
        <v>0</v>
      </c>
      <c r="F110" s="4">
        <f t="shared" si="108"/>
        <v>13</v>
      </c>
      <c r="G110" s="4">
        <f t="shared" si="108"/>
        <v>0</v>
      </c>
      <c r="H110" s="4">
        <f t="shared" si="108"/>
        <v>19</v>
      </c>
      <c r="I110" s="4"/>
      <c r="J110" s="177" t="str">
        <f t="shared" ref="J110:Q110" si="109">A50</f>
        <v>TC</v>
      </c>
      <c r="K110" s="124">
        <f t="shared" si="109"/>
        <v>3</v>
      </c>
      <c r="L110" s="124">
        <f t="shared" si="109"/>
        <v>13</v>
      </c>
      <c r="M110" s="124">
        <f t="shared" si="109"/>
        <v>1</v>
      </c>
      <c r="N110" s="124">
        <f t="shared" si="109"/>
        <v>0</v>
      </c>
      <c r="O110" s="124">
        <f t="shared" si="109"/>
        <v>12</v>
      </c>
      <c r="P110" s="124">
        <f t="shared" si="109"/>
        <v>0</v>
      </c>
      <c r="Q110" s="124">
        <f t="shared" si="109"/>
        <v>22</v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H111" si="110">J51</f>
        <v>Will Ho</v>
      </c>
      <c r="B111" s="4" t="str">
        <f t="shared" si="110"/>
        <v/>
      </c>
      <c r="C111" s="4" t="str">
        <f t="shared" si="110"/>
        <v/>
      </c>
      <c r="D111" s="4" t="str">
        <f t="shared" si="110"/>
        <v/>
      </c>
      <c r="E111" s="4" t="str">
        <f t="shared" si="110"/>
        <v/>
      </c>
      <c r="F111" s="4" t="str">
        <f t="shared" si="110"/>
        <v/>
      </c>
      <c r="G111" s="4" t="str">
        <f t="shared" si="110"/>
        <v/>
      </c>
      <c r="H111" s="4" t="str">
        <f t="shared" si="110"/>
        <v/>
      </c>
      <c r="I111" s="4"/>
      <c r="J111" s="177" t="str">
        <f t="shared" ref="J111:Q111" si="111">A51</f>
        <v>Adi</v>
      </c>
      <c r="K111" s="4" t="str">
        <f t="shared" si="111"/>
        <v/>
      </c>
      <c r="L111" s="4" t="str">
        <f t="shared" si="111"/>
        <v/>
      </c>
      <c r="M111" s="4" t="str">
        <f t="shared" si="111"/>
        <v/>
      </c>
      <c r="N111" s="4" t="str">
        <f t="shared" si="111"/>
        <v/>
      </c>
      <c r="O111" s="4" t="str">
        <f t="shared" si="111"/>
        <v/>
      </c>
      <c r="P111" s="4" t="str">
        <f t="shared" si="111"/>
        <v/>
      </c>
      <c r="Q111" s="4" t="str">
        <f t="shared" si="111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H112" si="112">J52</f>
        <v>Nagle</v>
      </c>
      <c r="B112" s="4" t="str">
        <f t="shared" si="112"/>
        <v/>
      </c>
      <c r="C112" s="4" t="str">
        <f t="shared" si="112"/>
        <v/>
      </c>
      <c r="D112" s="4" t="str">
        <f t="shared" si="112"/>
        <v/>
      </c>
      <c r="E112" s="4" t="str">
        <f t="shared" si="112"/>
        <v/>
      </c>
      <c r="F112" s="4" t="str">
        <f t="shared" si="112"/>
        <v/>
      </c>
      <c r="G112" s="4" t="str">
        <f t="shared" si="112"/>
        <v/>
      </c>
      <c r="H112" s="4" t="str">
        <f t="shared" si="112"/>
        <v/>
      </c>
      <c r="I112" s="4"/>
      <c r="J112" s="177" t="str">
        <f t="shared" ref="J112:Q112" si="113">A52</f>
        <v/>
      </c>
      <c r="K112" s="4" t="str">
        <f t="shared" si="113"/>
        <v/>
      </c>
      <c r="L112" s="4" t="str">
        <f t="shared" si="113"/>
        <v/>
      </c>
      <c r="M112" s="4" t="str">
        <f t="shared" si="113"/>
        <v/>
      </c>
      <c r="N112" s="4" t="str">
        <f t="shared" si="113"/>
        <v/>
      </c>
      <c r="O112" s="4" t="str">
        <f t="shared" si="113"/>
        <v/>
      </c>
      <c r="P112" s="4" t="str">
        <f t="shared" si="113"/>
        <v/>
      </c>
      <c r="Q112" s="4" t="str">
        <f t="shared" si="113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4" t="str">
        <f t="shared" ref="A113:H113" si="114">J53</f>
        <v/>
      </c>
      <c r="B113" s="4" t="str">
        <f t="shared" si="114"/>
        <v/>
      </c>
      <c r="C113" s="4" t="str">
        <f t="shared" si="114"/>
        <v/>
      </c>
      <c r="D113" s="4" t="str">
        <f t="shared" si="114"/>
        <v/>
      </c>
      <c r="E113" s="4" t="str">
        <f t="shared" si="114"/>
        <v/>
      </c>
      <c r="F113" s="4" t="str">
        <f t="shared" si="114"/>
        <v/>
      </c>
      <c r="G113" s="4" t="str">
        <f t="shared" si="114"/>
        <v/>
      </c>
      <c r="H113" s="4" t="str">
        <f t="shared" si="114"/>
        <v/>
      </c>
      <c r="I113" s="4"/>
      <c r="J113" s="177" t="str">
        <f t="shared" ref="J113:Q113" si="115">A53</f>
        <v/>
      </c>
      <c r="K113" s="4" t="str">
        <f t="shared" si="115"/>
        <v/>
      </c>
      <c r="L113" s="4" t="str">
        <f t="shared" si="115"/>
        <v/>
      </c>
      <c r="M113" s="4" t="str">
        <f t="shared" si="115"/>
        <v/>
      </c>
      <c r="N113" s="4" t="str">
        <f t="shared" si="115"/>
        <v/>
      </c>
      <c r="O113" s="4" t="str">
        <f t="shared" si="115"/>
        <v/>
      </c>
      <c r="P113" s="4" t="str">
        <f t="shared" si="115"/>
        <v/>
      </c>
      <c r="Q113" s="4" t="str">
        <f t="shared" si="115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H114" si="116">J54</f>
        <v/>
      </c>
      <c r="B114" s="4" t="str">
        <f t="shared" si="116"/>
        <v/>
      </c>
      <c r="C114" s="4" t="str">
        <f t="shared" si="116"/>
        <v/>
      </c>
      <c r="D114" s="4" t="str">
        <f t="shared" si="116"/>
        <v/>
      </c>
      <c r="E114" s="4" t="str">
        <f t="shared" si="116"/>
        <v/>
      </c>
      <c r="F114" s="4" t="str">
        <f t="shared" si="116"/>
        <v/>
      </c>
      <c r="G114" s="4" t="str">
        <f t="shared" si="116"/>
        <v/>
      </c>
      <c r="H114" s="4" t="str">
        <f t="shared" si="116"/>
        <v/>
      </c>
      <c r="I114" s="4"/>
      <c r="J114" s="177" t="str">
        <f t="shared" ref="J114:Q114" si="117">A54</f>
        <v/>
      </c>
      <c r="K114" s="4" t="str">
        <f t="shared" si="117"/>
        <v/>
      </c>
      <c r="L114" s="4" t="str">
        <f t="shared" si="117"/>
        <v/>
      </c>
      <c r="M114" s="4" t="str">
        <f t="shared" si="117"/>
        <v/>
      </c>
      <c r="N114" s="4" t="str">
        <f t="shared" si="117"/>
        <v/>
      </c>
      <c r="O114" s="4" t="str">
        <f t="shared" si="117"/>
        <v/>
      </c>
      <c r="P114" s="4" t="str">
        <f t="shared" si="117"/>
        <v/>
      </c>
      <c r="Q114" s="4" t="str">
        <f t="shared" si="117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H115" si="118">J55</f>
        <v/>
      </c>
      <c r="B115" s="4" t="str">
        <f t="shared" si="118"/>
        <v/>
      </c>
      <c r="C115" s="4" t="str">
        <f t="shared" si="118"/>
        <v/>
      </c>
      <c r="D115" s="4" t="str">
        <f t="shared" si="118"/>
        <v/>
      </c>
      <c r="E115" s="4" t="str">
        <f t="shared" si="118"/>
        <v/>
      </c>
      <c r="F115" s="4" t="str">
        <f t="shared" si="118"/>
        <v/>
      </c>
      <c r="G115" s="4" t="str">
        <f t="shared" si="118"/>
        <v/>
      </c>
      <c r="H115" s="4" t="str">
        <f t="shared" si="118"/>
        <v/>
      </c>
      <c r="I115" s="4"/>
      <c r="J115" s="4" t="str">
        <f t="shared" ref="J115:Q115" si="119">A55</f>
        <v/>
      </c>
      <c r="K115" s="4" t="str">
        <f t="shared" si="119"/>
        <v/>
      </c>
      <c r="L115" s="4" t="str">
        <f t="shared" si="119"/>
        <v/>
      </c>
      <c r="M115" s="4" t="str">
        <f t="shared" si="119"/>
        <v/>
      </c>
      <c r="N115" s="4" t="str">
        <f t="shared" si="119"/>
        <v/>
      </c>
      <c r="O115" s="4" t="str">
        <f t="shared" si="119"/>
        <v/>
      </c>
      <c r="P115" s="4" t="str">
        <f t="shared" si="119"/>
        <v/>
      </c>
      <c r="Q115" s="4" t="str">
        <f t="shared" si="119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H116" si="120">J56</f>
        <v/>
      </c>
      <c r="B116" s="4" t="str">
        <f t="shared" si="120"/>
        <v/>
      </c>
      <c r="C116" s="4" t="str">
        <f t="shared" si="120"/>
        <v/>
      </c>
      <c r="D116" s="4" t="str">
        <f t="shared" si="120"/>
        <v/>
      </c>
      <c r="E116" s="4" t="str">
        <f t="shared" si="120"/>
        <v/>
      </c>
      <c r="F116" s="4" t="str">
        <f t="shared" si="120"/>
        <v/>
      </c>
      <c r="G116" s="4" t="str">
        <f t="shared" si="120"/>
        <v/>
      </c>
      <c r="H116" s="4" t="str">
        <f t="shared" si="120"/>
        <v/>
      </c>
      <c r="I116" s="4"/>
      <c r="J116" s="4" t="str">
        <f t="shared" ref="J116:Q116" si="121">A56</f>
        <v/>
      </c>
      <c r="K116" s="4" t="str">
        <f t="shared" si="121"/>
        <v/>
      </c>
      <c r="L116" s="4" t="str">
        <f t="shared" si="121"/>
        <v/>
      </c>
      <c r="M116" s="4" t="str">
        <f t="shared" si="121"/>
        <v/>
      </c>
      <c r="N116" s="4" t="str">
        <f t="shared" si="121"/>
        <v/>
      </c>
      <c r="O116" s="4" t="str">
        <f t="shared" si="121"/>
        <v/>
      </c>
      <c r="P116" s="4" t="str">
        <f t="shared" si="121"/>
        <v/>
      </c>
      <c r="Q116" s="4" t="str">
        <f t="shared" si="121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H117" si="122">J57</f>
        <v/>
      </c>
      <c r="B117" s="4" t="str">
        <f t="shared" si="122"/>
        <v/>
      </c>
      <c r="C117" s="4" t="str">
        <f t="shared" si="122"/>
        <v/>
      </c>
      <c r="D117" s="4" t="str">
        <f t="shared" si="122"/>
        <v/>
      </c>
      <c r="E117" s="4" t="str">
        <f t="shared" si="122"/>
        <v/>
      </c>
      <c r="F117" s="4" t="str">
        <f t="shared" si="122"/>
        <v/>
      </c>
      <c r="G117" s="4" t="str">
        <f t="shared" si="122"/>
        <v/>
      </c>
      <c r="H117" s="4" t="str">
        <f t="shared" si="122"/>
        <v/>
      </c>
      <c r="I117" s="4"/>
      <c r="J117" s="4" t="str">
        <f t="shared" ref="J117:Q117" si="123">A57</f>
        <v/>
      </c>
      <c r="K117" s="4" t="str">
        <f t="shared" si="123"/>
        <v/>
      </c>
      <c r="L117" s="4" t="str">
        <f t="shared" si="123"/>
        <v/>
      </c>
      <c r="M117" s="4" t="str">
        <f t="shared" si="123"/>
        <v/>
      </c>
      <c r="N117" s="4" t="str">
        <f t="shared" si="123"/>
        <v/>
      </c>
      <c r="O117" s="4" t="str">
        <f t="shared" si="123"/>
        <v/>
      </c>
      <c r="P117" s="4" t="str">
        <f t="shared" si="123"/>
        <v/>
      </c>
      <c r="Q117" s="4" t="str">
        <f t="shared" si="12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H118" si="124">J58</f>
        <v>Pulled Cups</v>
      </c>
      <c r="B118" s="4" t="str">
        <f t="shared" si="124"/>
        <v/>
      </c>
      <c r="C118" s="4">
        <f t="shared" si="124"/>
        <v>3</v>
      </c>
      <c r="D118" s="4" t="str">
        <f t="shared" si="124"/>
        <v/>
      </c>
      <c r="E118" s="4" t="str">
        <f t="shared" si="124"/>
        <v/>
      </c>
      <c r="F118" s="4" t="str">
        <f t="shared" si="124"/>
        <v/>
      </c>
      <c r="G118" s="4" t="str">
        <f t="shared" si="124"/>
        <v/>
      </c>
      <c r="H118" s="4" t="str">
        <f t="shared" si="124"/>
        <v/>
      </c>
      <c r="I118" s="4"/>
      <c r="J118" s="177" t="str">
        <f t="shared" ref="J118:Q118" si="125">A58</f>
        <v>Pulled Cups</v>
      </c>
      <c r="K118" s="4" t="str">
        <f t="shared" si="125"/>
        <v/>
      </c>
      <c r="L118" s="4">
        <f t="shared" si="125"/>
        <v>1</v>
      </c>
      <c r="M118" s="4" t="str">
        <f t="shared" si="125"/>
        <v/>
      </c>
      <c r="N118" s="4" t="str">
        <f t="shared" si="125"/>
        <v/>
      </c>
      <c r="O118" s="4" t="str">
        <f t="shared" si="125"/>
        <v/>
      </c>
      <c r="P118" s="4" t="str">
        <f t="shared" si="125"/>
        <v/>
      </c>
      <c r="Q118" s="4" t="str">
        <f t="shared" si="125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H119" si="126">J59</f>
        <v>Total</v>
      </c>
      <c r="B119" s="4" t="str">
        <f t="shared" si="126"/>
        <v/>
      </c>
      <c r="C119" s="124">
        <f t="shared" si="126"/>
        <v>90</v>
      </c>
      <c r="D119" s="4" t="str">
        <f t="shared" si="126"/>
        <v/>
      </c>
      <c r="E119" s="4" t="str">
        <f t="shared" si="126"/>
        <v/>
      </c>
      <c r="F119" s="4" t="str">
        <f t="shared" si="126"/>
        <v/>
      </c>
      <c r="G119" s="4" t="str">
        <f t="shared" si="126"/>
        <v/>
      </c>
      <c r="H119" s="123">
        <f t="shared" si="126"/>
        <v>0.4084507042</v>
      </c>
      <c r="I119" s="4"/>
      <c r="J119" s="177" t="str">
        <f t="shared" ref="J119:Q119" si="127">A59</f>
        <v>Total</v>
      </c>
      <c r="K119" s="4" t="str">
        <f t="shared" si="127"/>
        <v/>
      </c>
      <c r="L119" s="124">
        <f t="shared" si="127"/>
        <v>100</v>
      </c>
      <c r="M119" s="4" t="str">
        <f t="shared" si="127"/>
        <v/>
      </c>
      <c r="N119" s="4" t="str">
        <f t="shared" si="127"/>
        <v/>
      </c>
      <c r="O119" s="4" t="str">
        <f t="shared" si="127"/>
        <v/>
      </c>
      <c r="P119" s="4" t="str">
        <f t="shared" si="127"/>
        <v/>
      </c>
      <c r="Q119" s="123">
        <f t="shared" si="127"/>
        <v>0.4479638009</v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Schedule'!E3</f>
        <v>Candice?</v>
      </c>
      <c r="D1" s="4" t="s">
        <v>176</v>
      </c>
      <c r="E1" s="4" t="str">
        <f>if(C19&gt;L19, "Win", "Loss")</f>
        <v>Win</v>
      </c>
      <c r="G1" s="75" t="s">
        <v>177</v>
      </c>
      <c r="H1" s="128">
        <f>C19-L19</f>
        <v>4</v>
      </c>
      <c r="I1" s="178" t="s">
        <v>214</v>
      </c>
      <c r="J1" s="165" t="str">
        <f>'Full Schedule'!F3</f>
        <v>Migos</v>
      </c>
      <c r="M1" s="75" t="s">
        <v>176</v>
      </c>
      <c r="N1" s="128" t="str">
        <f>if(L19&gt;C19, "Win", "Loss")</f>
        <v>Loss</v>
      </c>
      <c r="P1" s="75" t="s">
        <v>177</v>
      </c>
      <c r="Q1" s="128">
        <f>L19-C19</f>
        <v>-4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75">
        <v>4.0</v>
      </c>
      <c r="C3" s="181">
        <f t="shared" ref="C3:C17" si="1">if(sum(D3:G3)&gt;0, sum(D3:G3), "")</f>
        <v>11</v>
      </c>
      <c r="D3" s="75">
        <v>5.0</v>
      </c>
      <c r="E3" s="75">
        <v>1.0</v>
      </c>
      <c r="F3" s="75">
        <v>4.0</v>
      </c>
      <c r="G3" s="75">
        <v>1.0</v>
      </c>
      <c r="H3" s="75">
        <v>25.0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Leo</v>
      </c>
      <c r="K3" s="75">
        <v>5.0</v>
      </c>
      <c r="L3" s="181">
        <f t="shared" ref="L3:L17" si="2">if(sum(M3:P3)&gt;0, sum(M3:P3), "")</f>
        <v>12</v>
      </c>
      <c r="M3" s="75">
        <v>6.0</v>
      </c>
      <c r="N3" s="75">
        <v>1.0</v>
      </c>
      <c r="O3" s="75">
        <v>5.0</v>
      </c>
      <c r="P3" s="75">
        <v>0.0</v>
      </c>
      <c r="Q3" s="75">
        <v>25.0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 Y</v>
      </c>
      <c r="B4" s="75">
        <v>5.0</v>
      </c>
      <c r="C4" s="146">
        <f t="shared" si="1"/>
        <v>17</v>
      </c>
      <c r="D4" s="75">
        <v>10.0</v>
      </c>
      <c r="E4" s="75">
        <v>0.0</v>
      </c>
      <c r="F4" s="75">
        <v>6.0</v>
      </c>
      <c r="G4" s="75">
        <v>1.0</v>
      </c>
      <c r="H4" s="75">
        <v>24.0</v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Seb</v>
      </c>
      <c r="K4" s="75">
        <v>6.0</v>
      </c>
      <c r="L4" s="146">
        <f t="shared" si="2"/>
        <v>25</v>
      </c>
      <c r="M4" s="75">
        <v>11.0</v>
      </c>
      <c r="N4" s="75">
        <v>5.0</v>
      </c>
      <c r="O4" s="75">
        <v>9.0</v>
      </c>
      <c r="P4" s="75">
        <v>0.0</v>
      </c>
      <c r="Q4" s="75">
        <v>23.0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Porco</v>
      </c>
      <c r="B5" s="75">
        <v>6.0</v>
      </c>
      <c r="C5" s="4">
        <f t="shared" si="1"/>
        <v>16</v>
      </c>
      <c r="D5" s="75">
        <v>10.0</v>
      </c>
      <c r="E5" s="75">
        <v>3.0</v>
      </c>
      <c r="F5" s="75">
        <v>3.0</v>
      </c>
      <c r="G5" s="75">
        <v>0.0</v>
      </c>
      <c r="H5" s="75">
        <v>26.0</v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Fritz</v>
      </c>
      <c r="K5" s="75">
        <v>1.0</v>
      </c>
      <c r="L5" s="4">
        <f t="shared" si="2"/>
        <v>18</v>
      </c>
      <c r="M5" s="75">
        <v>9.0</v>
      </c>
      <c r="N5" s="75">
        <v>0.0</v>
      </c>
      <c r="O5" s="75">
        <v>9.0</v>
      </c>
      <c r="P5" s="75">
        <v>0.0</v>
      </c>
      <c r="Q5" s="75">
        <v>27.0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Marmo</v>
      </c>
      <c r="B6" s="75">
        <v>1.0</v>
      </c>
      <c r="C6" s="4">
        <f t="shared" si="1"/>
        <v>12</v>
      </c>
      <c r="D6" s="75">
        <v>1.0</v>
      </c>
      <c r="E6" s="75">
        <v>0.0</v>
      </c>
      <c r="F6" s="75">
        <v>11.0</v>
      </c>
      <c r="G6" s="75">
        <v>0.0</v>
      </c>
      <c r="H6" s="75">
        <v>25.0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Arnav</v>
      </c>
      <c r="K6" s="75">
        <v>2.0</v>
      </c>
      <c r="L6" s="4">
        <f t="shared" si="2"/>
        <v>14</v>
      </c>
      <c r="M6" s="75">
        <v>3.0</v>
      </c>
      <c r="N6" s="75">
        <v>0.0</v>
      </c>
      <c r="O6" s="75">
        <v>10.0</v>
      </c>
      <c r="P6" s="75">
        <v>1.0</v>
      </c>
      <c r="Q6" s="75">
        <v>25.0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Swit</v>
      </c>
      <c r="B7" s="75">
        <v>3.0</v>
      </c>
      <c r="C7" s="146">
        <f t="shared" si="1"/>
        <v>15</v>
      </c>
      <c r="D7" s="75">
        <v>7.0</v>
      </c>
      <c r="E7" s="75">
        <v>0.0</v>
      </c>
      <c r="F7" s="75">
        <v>7.0</v>
      </c>
      <c r="G7" s="75">
        <v>1.0</v>
      </c>
      <c r="H7" s="75">
        <v>22.0</v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Lanuza</v>
      </c>
      <c r="K7" s="75">
        <v>3.0</v>
      </c>
      <c r="L7" s="146">
        <f t="shared" si="2"/>
        <v>14</v>
      </c>
      <c r="M7" s="75">
        <v>1.0</v>
      </c>
      <c r="N7" s="75">
        <v>0.0</v>
      </c>
      <c r="O7" s="75">
        <v>13.0</v>
      </c>
      <c r="P7" s="75">
        <v>0.0</v>
      </c>
      <c r="Q7" s="75">
        <v>27.0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Emi</v>
      </c>
      <c r="B8" s="75">
        <v>2.0</v>
      </c>
      <c r="C8" s="146">
        <f t="shared" si="1"/>
        <v>30</v>
      </c>
      <c r="D8" s="75">
        <v>8.0</v>
      </c>
      <c r="E8" s="75">
        <v>0.0</v>
      </c>
      <c r="F8" s="75">
        <v>20.0</v>
      </c>
      <c r="G8" s="75">
        <v>2.0</v>
      </c>
      <c r="H8" s="75">
        <v>22.0</v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Samos</v>
      </c>
      <c r="K8" s="75">
        <v>4.0</v>
      </c>
      <c r="L8" s="146">
        <f t="shared" si="2"/>
        <v>14</v>
      </c>
      <c r="M8" s="75">
        <v>9.0</v>
      </c>
      <c r="N8" s="75">
        <v>0.0</v>
      </c>
      <c r="O8" s="75">
        <v>5.0</v>
      </c>
      <c r="P8" s="75">
        <v>0.0</v>
      </c>
      <c r="Q8" s="75">
        <v>25.0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SoHo</v>
      </c>
      <c r="C9" s="146" t="str">
        <f t="shared" si="1"/>
        <v/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Kyi</v>
      </c>
      <c r="L9" s="146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/>
      </c>
      <c r="C10" s="146" t="str">
        <f t="shared" si="1"/>
        <v/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TC</v>
      </c>
      <c r="L10" s="146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/>
      </c>
      <c r="C11" s="4" t="str">
        <f t="shared" si="1"/>
        <v/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Adi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101</v>
      </c>
      <c r="D19" s="184"/>
      <c r="E19" s="184"/>
      <c r="F19" s="184"/>
      <c r="G19" s="184"/>
      <c r="H19" s="175">
        <f>sum(C3:C17)/(sum(C3:C17)+sum(H3:H17))</f>
        <v>0.412244898</v>
      </c>
      <c r="I19" s="180"/>
      <c r="J19" s="182" t="s">
        <v>184</v>
      </c>
      <c r="K19" s="183"/>
      <c r="L19" s="183">
        <f>sum(L3:L18)</f>
        <v>97</v>
      </c>
      <c r="M19" s="184"/>
      <c r="N19" s="184"/>
      <c r="O19" s="184"/>
      <c r="P19" s="184"/>
      <c r="Q19" s="175">
        <f>sum(L3:L17)/(sum(L3:L17)+sum(Q3:Q17))</f>
        <v>0.3895582329</v>
      </c>
    </row>
    <row r="20">
      <c r="A20" s="4"/>
      <c r="I20" s="180"/>
      <c r="J20" s="4"/>
    </row>
    <row r="21">
      <c r="A21" s="161" t="str">
        <f>'Full Schedule'!E4</f>
        <v>Team F</v>
      </c>
      <c r="D21" s="4" t="s">
        <v>176</v>
      </c>
      <c r="E21" s="4" t="str">
        <f>if(C39&gt;L39, "Win", "Loss")</f>
        <v>Win</v>
      </c>
      <c r="G21" s="75" t="s">
        <v>177</v>
      </c>
      <c r="H21" s="128">
        <f>C39-L39</f>
        <v>7</v>
      </c>
      <c r="I21" s="178" t="s">
        <v>214</v>
      </c>
      <c r="J21" s="161" t="str">
        <f>'Full Schedule'!F4</f>
        <v>Team E</v>
      </c>
      <c r="M21" s="75" t="s">
        <v>176</v>
      </c>
      <c r="N21" s="128" t="str">
        <f>if(L39&gt;C39, "Win", "Loss")</f>
        <v>Loss</v>
      </c>
      <c r="P21" s="75" t="s">
        <v>177</v>
      </c>
      <c r="Q21" s="128">
        <f>L39-C39</f>
        <v>-7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BXu</v>
      </c>
      <c r="B23" s="146">
        <v>5.0</v>
      </c>
      <c r="C23" s="181">
        <f t="shared" ref="C23:C37" si="3">if(sum(D23:G23)&gt;0, sum(D23:G23), "")</f>
        <v>18</v>
      </c>
      <c r="D23" s="146">
        <v>6.0</v>
      </c>
      <c r="E23" s="146">
        <v>2.0</v>
      </c>
      <c r="F23" s="146">
        <v>8.0</v>
      </c>
      <c r="G23" s="146">
        <v>2.0</v>
      </c>
      <c r="H23" s="146">
        <v>24.0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Taran</v>
      </c>
      <c r="K23" s="75">
        <v>1.0</v>
      </c>
      <c r="L23" s="181">
        <f t="shared" ref="L23:L37" si="4">if(sum(M23:P23)&gt;0, sum(M23:P23), "")</f>
        <v>18</v>
      </c>
      <c r="M23" s="75">
        <v>8.0</v>
      </c>
      <c r="N23" s="75">
        <v>1.0</v>
      </c>
      <c r="O23" s="75">
        <v>6.0</v>
      </c>
      <c r="P23" s="75">
        <v>3.0</v>
      </c>
      <c r="Q23" s="75">
        <v>26.0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JChan</v>
      </c>
      <c r="B24" s="146">
        <v>6.0</v>
      </c>
      <c r="C24" s="146">
        <f t="shared" si="3"/>
        <v>13</v>
      </c>
      <c r="D24" s="146">
        <v>1.0</v>
      </c>
      <c r="E24" s="146">
        <v>7.0</v>
      </c>
      <c r="F24" s="146">
        <v>3.0</v>
      </c>
      <c r="G24" s="146">
        <v>2.0</v>
      </c>
      <c r="H24" s="146">
        <v>24.0</v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Miguel F</v>
      </c>
      <c r="K24" s="75">
        <v>2.0</v>
      </c>
      <c r="L24" s="146">
        <f t="shared" si="4"/>
        <v>16</v>
      </c>
      <c r="M24" s="75">
        <v>6.0</v>
      </c>
      <c r="N24" s="75">
        <v>1.0</v>
      </c>
      <c r="O24" s="75">
        <v>9.0</v>
      </c>
      <c r="P24" s="75">
        <v>0.0</v>
      </c>
      <c r="Q24" s="75">
        <v>25.0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DC</v>
      </c>
      <c r="B25" s="146">
        <v>4.0</v>
      </c>
      <c r="C25" s="146">
        <f t="shared" si="3"/>
        <v>16</v>
      </c>
      <c r="D25" s="146">
        <v>9.0</v>
      </c>
      <c r="E25" s="146">
        <v>0.0</v>
      </c>
      <c r="F25" s="146">
        <v>7.0</v>
      </c>
      <c r="G25" s="146">
        <v>0.0</v>
      </c>
      <c r="H25" s="146">
        <v>23.0</v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Mike H</v>
      </c>
      <c r="K25" s="75">
        <v>3.0</v>
      </c>
      <c r="L25" s="4">
        <f t="shared" si="4"/>
        <v>19</v>
      </c>
      <c r="M25" s="75">
        <v>10.0</v>
      </c>
      <c r="N25" s="75">
        <v>2.0</v>
      </c>
      <c r="O25" s="75">
        <v>6.0</v>
      </c>
      <c r="P25" s="75">
        <v>1.0</v>
      </c>
      <c r="Q25" s="75">
        <v>21.0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Schmid</v>
      </c>
      <c r="B26" s="146">
        <v>1.0</v>
      </c>
      <c r="C26" s="146">
        <f t="shared" si="3"/>
        <v>21</v>
      </c>
      <c r="D26" s="146">
        <v>4.0</v>
      </c>
      <c r="E26" s="146">
        <v>0.0</v>
      </c>
      <c r="F26" s="146">
        <v>15.0</v>
      </c>
      <c r="G26" s="146">
        <v>2.0</v>
      </c>
      <c r="H26" s="146">
        <v>22.0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Madams</v>
      </c>
      <c r="K26" s="75">
        <v>6.0</v>
      </c>
      <c r="L26" s="4">
        <f t="shared" si="4"/>
        <v>10</v>
      </c>
      <c r="M26" s="75">
        <v>3.0</v>
      </c>
      <c r="N26" s="75">
        <v>0.0</v>
      </c>
      <c r="O26" s="75">
        <v>6.0</v>
      </c>
      <c r="P26" s="75">
        <v>1.0</v>
      </c>
      <c r="Q26" s="75">
        <v>27.0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Kian</v>
      </c>
      <c r="B27" s="146">
        <v>3.0</v>
      </c>
      <c r="C27" s="146">
        <f t="shared" si="3"/>
        <v>11</v>
      </c>
      <c r="D27" s="146">
        <v>4.0</v>
      </c>
      <c r="E27" s="146">
        <v>1.0</v>
      </c>
      <c r="F27" s="146">
        <v>4.0</v>
      </c>
      <c r="G27" s="146">
        <v>2.0</v>
      </c>
      <c r="H27" s="146">
        <v>26.0</v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K27" s="75">
        <v>5.0</v>
      </c>
      <c r="L27" s="146">
        <f t="shared" si="4"/>
        <v>13</v>
      </c>
      <c r="M27" s="75">
        <v>4.0</v>
      </c>
      <c r="N27" s="75">
        <v>0.0</v>
      </c>
      <c r="O27" s="75">
        <v>9.0</v>
      </c>
      <c r="P27" s="75">
        <v>0.0</v>
      </c>
      <c r="Q27" s="75">
        <v>26.0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Hando</v>
      </c>
      <c r="B28" s="146">
        <v>2.0</v>
      </c>
      <c r="C28" s="146">
        <f t="shared" si="3"/>
        <v>19</v>
      </c>
      <c r="D28" s="146">
        <v>11.0</v>
      </c>
      <c r="E28" s="146">
        <v>0.0</v>
      </c>
      <c r="F28" s="146">
        <v>8.0</v>
      </c>
      <c r="G28" s="146">
        <v>0.0</v>
      </c>
      <c r="H28" s="146">
        <v>24.0</v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Tripp</v>
      </c>
      <c r="L28" s="146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Petric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Lulu</v>
      </c>
      <c r="K29" s="75">
        <v>4.0</v>
      </c>
      <c r="L29" s="146">
        <f t="shared" si="4"/>
        <v>17</v>
      </c>
      <c r="M29" s="75">
        <v>9.0</v>
      </c>
      <c r="N29" s="75">
        <v>1.0</v>
      </c>
      <c r="O29" s="75">
        <v>7.0</v>
      </c>
      <c r="P29" s="75">
        <v>0.0</v>
      </c>
      <c r="Q29" s="75">
        <v>22.0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Mike Zhou</v>
      </c>
      <c r="C30" s="146" t="str">
        <f t="shared" si="3"/>
        <v/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Ilt</v>
      </c>
      <c r="L30" s="146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Cole</v>
      </c>
      <c r="C31" s="4" t="str">
        <f t="shared" si="3"/>
        <v/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Pasha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C38" s="75">
        <v>2.0</v>
      </c>
      <c r="I38" s="180"/>
      <c r="J38" s="163" t="s">
        <v>221</v>
      </c>
    </row>
    <row r="39">
      <c r="A39" s="182" t="s">
        <v>184</v>
      </c>
      <c r="B39" s="183"/>
      <c r="C39" s="183">
        <f>sum(C23:C38)</f>
        <v>100</v>
      </c>
      <c r="D39" s="184"/>
      <c r="E39" s="184"/>
      <c r="F39" s="184"/>
      <c r="G39" s="184"/>
      <c r="H39" s="175">
        <f>sum(C23:C37)/(sum(C23:C37)+sum(H23:H37))</f>
        <v>0.4066390041</v>
      </c>
      <c r="I39" s="180"/>
      <c r="J39" s="182" t="s">
        <v>184</v>
      </c>
      <c r="K39" s="183"/>
      <c r="L39" s="183">
        <f>sum(L23:L38)</f>
        <v>93</v>
      </c>
      <c r="M39" s="184"/>
      <c r="N39" s="184"/>
      <c r="O39" s="184"/>
      <c r="P39" s="184"/>
      <c r="Q39" s="175">
        <f>sum(L23:L37)/(sum(L23:L37)+sum(Q23:Q37))</f>
        <v>0.3875</v>
      </c>
    </row>
    <row r="40">
      <c r="A40" s="4"/>
      <c r="I40" s="180"/>
      <c r="J40" s="4"/>
    </row>
    <row r="41">
      <c r="A41" s="161" t="str">
        <f>'Full Schedule'!E5</f>
        <v>Team C</v>
      </c>
      <c r="D41" s="4" t="s">
        <v>176</v>
      </c>
      <c r="E41" s="4" t="str">
        <f>if(C59&gt;L59, "Win", "Loss")</f>
        <v>Win</v>
      </c>
      <c r="G41" s="75" t="s">
        <v>177</v>
      </c>
      <c r="H41" s="128">
        <f>C59-L59</f>
        <v>26</v>
      </c>
      <c r="I41" s="178" t="s">
        <v>214</v>
      </c>
      <c r="J41" s="161" t="str">
        <f>'Full Schedule'!F5</f>
        <v>Gargantuan</v>
      </c>
      <c r="M41" s="75" t="s">
        <v>176</v>
      </c>
      <c r="N41" s="128" t="str">
        <f>if(L59&gt;C59, "Win", "Loss")</f>
        <v>Loss</v>
      </c>
      <c r="P41" s="75" t="s">
        <v>177</v>
      </c>
      <c r="Q41" s="128">
        <f>L59-C59</f>
        <v>-26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5">
        <v>6.0</v>
      </c>
      <c r="C43" s="181">
        <f t="shared" ref="C43:C57" si="5">if(sum(D43:G43)&gt;0, sum(D43:G43), "")</f>
        <v>24</v>
      </c>
      <c r="D43" s="75">
        <v>4.0</v>
      </c>
      <c r="E43" s="75">
        <v>1.0</v>
      </c>
      <c r="F43" s="75">
        <v>16.0</v>
      </c>
      <c r="G43" s="75">
        <v>3.0</v>
      </c>
      <c r="H43" s="75">
        <v>18.0</v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Maas</v>
      </c>
      <c r="K43" s="75">
        <v>6.0</v>
      </c>
      <c r="L43" s="181">
        <f t="shared" ref="L43:L57" si="6">if(sum(M43:P43)&gt;0, sum(M43:P43), "")</f>
        <v>12</v>
      </c>
      <c r="M43" s="75">
        <v>9.0</v>
      </c>
      <c r="N43" s="75">
        <v>1.0</v>
      </c>
      <c r="O43" s="75">
        <v>2.0</v>
      </c>
      <c r="P43" s="75">
        <v>0.0</v>
      </c>
      <c r="Q43" s="75">
        <v>23.0</v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</v>
      </c>
      <c r="B44" s="75">
        <v>5.0</v>
      </c>
      <c r="C44" s="146">
        <f t="shared" si="5"/>
        <v>20</v>
      </c>
      <c r="D44" s="75">
        <v>7.0</v>
      </c>
      <c r="E44" s="75">
        <v>1.0</v>
      </c>
      <c r="F44" s="75">
        <v>10.0</v>
      </c>
      <c r="G44" s="75">
        <v>2.0</v>
      </c>
      <c r="H44" s="75">
        <v>22.0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Hawkins</v>
      </c>
      <c r="K44" s="75">
        <v>1.0</v>
      </c>
      <c r="L44" s="146">
        <f t="shared" si="6"/>
        <v>18</v>
      </c>
      <c r="M44" s="75">
        <v>7.0</v>
      </c>
      <c r="N44" s="75">
        <v>2.0</v>
      </c>
      <c r="O44" s="75">
        <v>7.0</v>
      </c>
      <c r="P44" s="75">
        <v>2.0</v>
      </c>
      <c r="Q44" s="75">
        <v>25.0</v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Nikita S</v>
      </c>
      <c r="B45" s="75">
        <v>1.0</v>
      </c>
      <c r="C45" s="4">
        <f t="shared" si="5"/>
        <v>21</v>
      </c>
      <c r="D45" s="75">
        <v>17.0</v>
      </c>
      <c r="E45" s="75">
        <v>2.0</v>
      </c>
      <c r="F45" s="75">
        <v>1.0</v>
      </c>
      <c r="G45" s="75">
        <v>1.0</v>
      </c>
      <c r="H45" s="75">
        <v>22.0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Grish</v>
      </c>
      <c r="K45" s="75">
        <v>5.0</v>
      </c>
      <c r="L45" s="4">
        <f t="shared" si="6"/>
        <v>14</v>
      </c>
      <c r="M45" s="75">
        <v>9.0</v>
      </c>
      <c r="N45" s="75">
        <v>1.0</v>
      </c>
      <c r="O45" s="75">
        <v>4.0</v>
      </c>
      <c r="P45" s="75">
        <v>0.0</v>
      </c>
      <c r="Q45" s="75">
        <v>22.0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Sonne</v>
      </c>
      <c r="B46" s="75">
        <v>4.0</v>
      </c>
      <c r="C46" s="4">
        <f t="shared" si="5"/>
        <v>8</v>
      </c>
      <c r="D46" s="75">
        <v>1.0</v>
      </c>
      <c r="E46" s="75">
        <v>1.0</v>
      </c>
      <c r="F46" s="75">
        <v>6.0</v>
      </c>
      <c r="G46" s="75">
        <v>0.0</v>
      </c>
      <c r="H46" s="75">
        <v>25.0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Rockett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Crosby</v>
      </c>
      <c r="B47" s="75">
        <v>2.0</v>
      </c>
      <c r="C47" s="146">
        <f t="shared" si="5"/>
        <v>17</v>
      </c>
      <c r="D47" s="75">
        <v>6.0</v>
      </c>
      <c r="E47" s="75">
        <v>1.0</v>
      </c>
      <c r="F47" s="75">
        <v>9.0</v>
      </c>
      <c r="G47" s="75">
        <v>1.0</v>
      </c>
      <c r="H47" s="75">
        <v>22.0</v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Du</v>
      </c>
      <c r="K47" s="75">
        <v>4.0</v>
      </c>
      <c r="L47" s="146">
        <f t="shared" si="6"/>
        <v>10</v>
      </c>
      <c r="M47" s="75">
        <v>9.0</v>
      </c>
      <c r="N47" s="75">
        <v>0.0</v>
      </c>
      <c r="O47" s="75">
        <v>1.0</v>
      </c>
      <c r="P47" s="75">
        <v>0.0</v>
      </c>
      <c r="Q47" s="75">
        <v>21.0</v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Kevin Zhou</v>
      </c>
      <c r="C48" s="146" t="str">
        <f t="shared" si="5"/>
        <v/>
      </c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Raymond</v>
      </c>
      <c r="L48" s="146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Somil</v>
      </c>
      <c r="B49" s="75">
        <v>3.0</v>
      </c>
      <c r="C49" s="146">
        <f t="shared" si="5"/>
        <v>10</v>
      </c>
      <c r="D49" s="75">
        <v>4.0</v>
      </c>
      <c r="E49" s="75">
        <v>0.0</v>
      </c>
      <c r="F49" s="75">
        <v>6.0</v>
      </c>
      <c r="G49" s="75">
        <v>0.0</v>
      </c>
      <c r="H49" s="75">
        <v>24.0</v>
      </c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Derek</v>
      </c>
      <c r="K49" s="75">
        <v>3.0</v>
      </c>
      <c r="L49" s="146">
        <f t="shared" si="6"/>
        <v>12</v>
      </c>
      <c r="M49" s="75">
        <v>2.0</v>
      </c>
      <c r="N49" s="75">
        <v>0.0</v>
      </c>
      <c r="O49" s="75">
        <v>9.0</v>
      </c>
      <c r="P49" s="75">
        <v>1.0</v>
      </c>
      <c r="Q49" s="75">
        <v>24.0</v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Suyoag</v>
      </c>
      <c r="C50" s="146" t="str">
        <f t="shared" si="5"/>
        <v/>
      </c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Neo</v>
      </c>
      <c r="K50" s="75">
        <v>2.0</v>
      </c>
      <c r="L50" s="146">
        <f t="shared" si="6"/>
        <v>8</v>
      </c>
      <c r="M50" s="75">
        <v>0.0</v>
      </c>
      <c r="N50" s="75">
        <v>1.0</v>
      </c>
      <c r="O50" s="75">
        <v>7.0</v>
      </c>
      <c r="P50" s="75">
        <v>0.0</v>
      </c>
      <c r="Q50" s="75">
        <v>26.0</v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Will Ho</v>
      </c>
      <c r="C51" s="4" t="str">
        <f t="shared" si="5"/>
        <v/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Brendan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Nagle</v>
      </c>
      <c r="C52" s="4" t="str">
        <f t="shared" si="5"/>
        <v/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Hanono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I58" s="180"/>
      <c r="J58" s="163" t="s">
        <v>221</v>
      </c>
    </row>
    <row r="59">
      <c r="A59" s="182" t="s">
        <v>184</v>
      </c>
      <c r="B59" s="183"/>
      <c r="C59" s="183">
        <f>sum(C43:C58)</f>
        <v>100</v>
      </c>
      <c r="D59" s="184"/>
      <c r="E59" s="184"/>
      <c r="F59" s="184"/>
      <c r="G59" s="184"/>
      <c r="H59" s="175">
        <f>sum(C43:C57)/(sum(C43:C57)+sum(H43:H57))</f>
        <v>0.4291845494</v>
      </c>
      <c r="I59" s="180"/>
      <c r="J59" s="182" t="s">
        <v>184</v>
      </c>
      <c r="K59" s="183"/>
      <c r="L59" s="183">
        <f>sum(L43:L58)</f>
        <v>74</v>
      </c>
      <c r="M59" s="184"/>
      <c r="N59" s="184"/>
      <c r="O59" s="184"/>
      <c r="P59" s="184"/>
      <c r="Q59" s="175">
        <f>sum(L43:L57)/(sum(L43:L57)+sum(Q43:Q57))</f>
        <v>0.3441860465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Migos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Loss</v>
      </c>
      <c r="F61" s="4" t="str">
        <f t="shared" si="7"/>
        <v/>
      </c>
      <c r="G61" s="177" t="str">
        <f t="shared" si="7"/>
        <v>Margin</v>
      </c>
      <c r="H61" s="124">
        <f t="shared" si="7"/>
        <v>-4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Leo</v>
      </c>
      <c r="B63" s="124">
        <f t="shared" si="9"/>
        <v>5</v>
      </c>
      <c r="C63" s="124">
        <f t="shared" si="9"/>
        <v>12</v>
      </c>
      <c r="D63" s="124">
        <f t="shared" si="9"/>
        <v>6</v>
      </c>
      <c r="E63" s="124">
        <f t="shared" si="9"/>
        <v>1</v>
      </c>
      <c r="F63" s="124">
        <f t="shared" si="9"/>
        <v>5</v>
      </c>
      <c r="G63" s="124">
        <f t="shared" si="9"/>
        <v>0</v>
      </c>
      <c r="H63" s="124">
        <f t="shared" si="9"/>
        <v>25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Seb</v>
      </c>
      <c r="B64" s="124">
        <f t="shared" si="10"/>
        <v>6</v>
      </c>
      <c r="C64" s="124">
        <f t="shared" si="10"/>
        <v>25</v>
      </c>
      <c r="D64" s="124">
        <f t="shared" si="10"/>
        <v>11</v>
      </c>
      <c r="E64" s="124">
        <f t="shared" si="10"/>
        <v>5</v>
      </c>
      <c r="F64" s="124">
        <f t="shared" si="10"/>
        <v>9</v>
      </c>
      <c r="G64" s="124">
        <f t="shared" si="10"/>
        <v>0</v>
      </c>
      <c r="H64" s="124">
        <f t="shared" si="10"/>
        <v>23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Fritz</v>
      </c>
      <c r="B65" s="124">
        <f t="shared" si="11"/>
        <v>1</v>
      </c>
      <c r="C65" s="124">
        <f t="shared" si="11"/>
        <v>18</v>
      </c>
      <c r="D65" s="124">
        <f t="shared" si="11"/>
        <v>9</v>
      </c>
      <c r="E65" s="124">
        <f t="shared" si="11"/>
        <v>0</v>
      </c>
      <c r="F65" s="124">
        <f t="shared" si="11"/>
        <v>9</v>
      </c>
      <c r="G65" s="124">
        <f t="shared" si="11"/>
        <v>0</v>
      </c>
      <c r="H65" s="124">
        <f t="shared" si="11"/>
        <v>27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Arnav</v>
      </c>
      <c r="B66" s="4">
        <f t="shared" si="12"/>
        <v>2</v>
      </c>
      <c r="C66" s="4">
        <f t="shared" si="12"/>
        <v>14</v>
      </c>
      <c r="D66" s="4">
        <f t="shared" si="12"/>
        <v>3</v>
      </c>
      <c r="E66" s="4">
        <f t="shared" si="12"/>
        <v>0</v>
      </c>
      <c r="F66" s="4">
        <f t="shared" si="12"/>
        <v>10</v>
      </c>
      <c r="G66" s="4">
        <f t="shared" si="12"/>
        <v>1</v>
      </c>
      <c r="H66" s="4">
        <f t="shared" si="12"/>
        <v>25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Lanuza</v>
      </c>
      <c r="B67" s="4">
        <f t="shared" si="13"/>
        <v>3</v>
      </c>
      <c r="C67" s="4">
        <f t="shared" si="13"/>
        <v>14</v>
      </c>
      <c r="D67" s="4">
        <f t="shared" si="13"/>
        <v>1</v>
      </c>
      <c r="E67" s="4">
        <f t="shared" si="13"/>
        <v>0</v>
      </c>
      <c r="F67" s="4">
        <f t="shared" si="13"/>
        <v>13</v>
      </c>
      <c r="G67" s="4">
        <f t="shared" si="13"/>
        <v>0</v>
      </c>
      <c r="H67" s="4">
        <f t="shared" si="13"/>
        <v>27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Samos</v>
      </c>
      <c r="B68" s="124">
        <f t="shared" si="14"/>
        <v>4</v>
      </c>
      <c r="C68" s="124">
        <f t="shared" si="14"/>
        <v>14</v>
      </c>
      <c r="D68" s="124">
        <f t="shared" si="14"/>
        <v>9</v>
      </c>
      <c r="E68" s="124">
        <f t="shared" si="14"/>
        <v>0</v>
      </c>
      <c r="F68" s="124">
        <f t="shared" si="14"/>
        <v>5</v>
      </c>
      <c r="G68" s="124">
        <f t="shared" si="14"/>
        <v>0</v>
      </c>
      <c r="H68" s="124">
        <f t="shared" si="14"/>
        <v>25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Kyi</v>
      </c>
      <c r="B69" s="124" t="str">
        <f t="shared" si="15"/>
        <v/>
      </c>
      <c r="C69" s="124" t="str">
        <f t="shared" si="15"/>
        <v/>
      </c>
      <c r="D69" s="124" t="str">
        <f t="shared" si="15"/>
        <v/>
      </c>
      <c r="E69" s="124" t="str">
        <f t="shared" si="15"/>
        <v/>
      </c>
      <c r="F69" s="124" t="str">
        <f t="shared" si="15"/>
        <v/>
      </c>
      <c r="G69" s="124" t="str">
        <f t="shared" si="15"/>
        <v/>
      </c>
      <c r="H69" s="12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>TC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>Adi</v>
      </c>
      <c r="B71" s="124" t="str">
        <f t="shared" si="17"/>
        <v/>
      </c>
      <c r="C71" s="124" t="str">
        <f t="shared" si="17"/>
        <v/>
      </c>
      <c r="D71" s="124" t="str">
        <f t="shared" si="17"/>
        <v/>
      </c>
      <c r="E71" s="124" t="str">
        <f t="shared" si="17"/>
        <v/>
      </c>
      <c r="F71" s="124" t="str">
        <f t="shared" si="17"/>
        <v/>
      </c>
      <c r="G71" s="124" t="str">
        <f t="shared" si="17"/>
        <v/>
      </c>
      <c r="H71" s="12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97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0.3895582329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Loss</v>
      </c>
      <c r="F81" s="4" t="str">
        <f t="shared" si="27"/>
        <v/>
      </c>
      <c r="G81" s="177" t="str">
        <f t="shared" si="27"/>
        <v>Margin</v>
      </c>
      <c r="H81" s="124">
        <f t="shared" si="27"/>
        <v>-7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Taran</v>
      </c>
      <c r="B83" s="124">
        <f t="shared" si="29"/>
        <v>1</v>
      </c>
      <c r="C83" s="124">
        <f t="shared" si="29"/>
        <v>18</v>
      </c>
      <c r="D83" s="124">
        <f t="shared" si="29"/>
        <v>8</v>
      </c>
      <c r="E83" s="124">
        <f t="shared" si="29"/>
        <v>1</v>
      </c>
      <c r="F83" s="124">
        <f t="shared" si="29"/>
        <v>6</v>
      </c>
      <c r="G83" s="124">
        <f t="shared" si="29"/>
        <v>3</v>
      </c>
      <c r="H83" s="124">
        <f t="shared" si="29"/>
        <v>26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Miguel F</v>
      </c>
      <c r="B84" s="124">
        <f t="shared" si="30"/>
        <v>2</v>
      </c>
      <c r="C84" s="124">
        <f t="shared" si="30"/>
        <v>16</v>
      </c>
      <c r="D84" s="124">
        <f t="shared" si="30"/>
        <v>6</v>
      </c>
      <c r="E84" s="124">
        <f t="shared" si="30"/>
        <v>1</v>
      </c>
      <c r="F84" s="124">
        <f t="shared" si="30"/>
        <v>9</v>
      </c>
      <c r="G84" s="124">
        <f t="shared" si="30"/>
        <v>0</v>
      </c>
      <c r="H84" s="124">
        <f t="shared" si="30"/>
        <v>25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Mike H</v>
      </c>
      <c r="B85" s="124">
        <f t="shared" si="31"/>
        <v>3</v>
      </c>
      <c r="C85" s="124">
        <f t="shared" si="31"/>
        <v>19</v>
      </c>
      <c r="D85" s="124">
        <f t="shared" si="31"/>
        <v>10</v>
      </c>
      <c r="E85" s="124">
        <f t="shared" si="31"/>
        <v>2</v>
      </c>
      <c r="F85" s="124">
        <f t="shared" si="31"/>
        <v>6</v>
      </c>
      <c r="G85" s="124">
        <f t="shared" si="31"/>
        <v>1</v>
      </c>
      <c r="H85" s="124">
        <f t="shared" si="31"/>
        <v>21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Madams</v>
      </c>
      <c r="B86" s="124">
        <f t="shared" si="32"/>
        <v>6</v>
      </c>
      <c r="C86" s="124">
        <f t="shared" si="32"/>
        <v>10</v>
      </c>
      <c r="D86" s="124">
        <f t="shared" si="32"/>
        <v>3</v>
      </c>
      <c r="E86" s="124">
        <f t="shared" si="32"/>
        <v>0</v>
      </c>
      <c r="F86" s="124">
        <f t="shared" si="32"/>
        <v>6</v>
      </c>
      <c r="G86" s="124">
        <f t="shared" si="32"/>
        <v>1</v>
      </c>
      <c r="H86" s="124">
        <f t="shared" si="32"/>
        <v>27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Jay S</v>
      </c>
      <c r="B87" s="124">
        <f t="shared" si="33"/>
        <v>5</v>
      </c>
      <c r="C87" s="124">
        <f t="shared" si="33"/>
        <v>13</v>
      </c>
      <c r="D87" s="124">
        <f t="shared" si="33"/>
        <v>4</v>
      </c>
      <c r="E87" s="124">
        <f t="shared" si="33"/>
        <v>0</v>
      </c>
      <c r="F87" s="124">
        <f t="shared" si="33"/>
        <v>9</v>
      </c>
      <c r="G87" s="124">
        <f t="shared" si="33"/>
        <v>0</v>
      </c>
      <c r="H87" s="124">
        <f t="shared" si="33"/>
        <v>26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Tripp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Lulu</v>
      </c>
      <c r="B89" s="124">
        <f t="shared" si="35"/>
        <v>4</v>
      </c>
      <c r="C89" s="124">
        <f t="shared" si="35"/>
        <v>17</v>
      </c>
      <c r="D89" s="124">
        <f t="shared" si="35"/>
        <v>9</v>
      </c>
      <c r="E89" s="124">
        <f t="shared" si="35"/>
        <v>1</v>
      </c>
      <c r="F89" s="124">
        <f t="shared" si="35"/>
        <v>7</v>
      </c>
      <c r="G89" s="124">
        <f t="shared" si="35"/>
        <v>0</v>
      </c>
      <c r="H89" s="124">
        <f t="shared" si="35"/>
        <v>22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Ilt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Pasha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93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0.3875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Gargantuan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Loss</v>
      </c>
      <c r="F101" s="4" t="str">
        <f t="shared" si="47"/>
        <v/>
      </c>
      <c r="G101" s="177" t="str">
        <f t="shared" si="47"/>
        <v>Margin</v>
      </c>
      <c r="H101" s="124">
        <f t="shared" si="47"/>
        <v>-26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Maas</v>
      </c>
      <c r="B103" s="124">
        <f t="shared" si="49"/>
        <v>6</v>
      </c>
      <c r="C103" s="124">
        <f t="shared" si="49"/>
        <v>12</v>
      </c>
      <c r="D103" s="124">
        <f t="shared" si="49"/>
        <v>9</v>
      </c>
      <c r="E103" s="124">
        <f t="shared" si="49"/>
        <v>1</v>
      </c>
      <c r="F103" s="124">
        <f t="shared" si="49"/>
        <v>2</v>
      </c>
      <c r="G103" s="124">
        <f t="shared" si="49"/>
        <v>0</v>
      </c>
      <c r="H103" s="124">
        <f t="shared" si="49"/>
        <v>23</v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Hawkins</v>
      </c>
      <c r="B104" s="124">
        <f t="shared" si="50"/>
        <v>1</v>
      </c>
      <c r="C104" s="124">
        <f t="shared" si="50"/>
        <v>18</v>
      </c>
      <c r="D104" s="124">
        <f t="shared" si="50"/>
        <v>7</v>
      </c>
      <c r="E104" s="124">
        <f t="shared" si="50"/>
        <v>2</v>
      </c>
      <c r="F104" s="124">
        <f t="shared" si="50"/>
        <v>7</v>
      </c>
      <c r="G104" s="124">
        <f t="shared" si="50"/>
        <v>2</v>
      </c>
      <c r="H104" s="124">
        <f t="shared" si="50"/>
        <v>25</v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Grish</v>
      </c>
      <c r="B105" s="4">
        <f t="shared" si="51"/>
        <v>5</v>
      </c>
      <c r="C105" s="4">
        <f t="shared" si="51"/>
        <v>14</v>
      </c>
      <c r="D105" s="4">
        <f t="shared" si="51"/>
        <v>9</v>
      </c>
      <c r="E105" s="4">
        <f t="shared" si="51"/>
        <v>1</v>
      </c>
      <c r="F105" s="4">
        <f t="shared" si="51"/>
        <v>4</v>
      </c>
      <c r="G105" s="4">
        <f t="shared" si="51"/>
        <v>0</v>
      </c>
      <c r="H105" s="4">
        <f t="shared" si="51"/>
        <v>22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Rockett</v>
      </c>
      <c r="B106" s="124" t="str">
        <f t="shared" si="52"/>
        <v/>
      </c>
      <c r="C106" s="124" t="str">
        <f t="shared" si="52"/>
        <v/>
      </c>
      <c r="D106" s="124" t="str">
        <f t="shared" si="52"/>
        <v/>
      </c>
      <c r="E106" s="124" t="str">
        <f t="shared" si="52"/>
        <v/>
      </c>
      <c r="F106" s="124" t="str">
        <f t="shared" si="52"/>
        <v/>
      </c>
      <c r="G106" s="124" t="str">
        <f t="shared" si="52"/>
        <v/>
      </c>
      <c r="H106" s="12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Du</v>
      </c>
      <c r="B107" s="4">
        <f t="shared" si="53"/>
        <v>4</v>
      </c>
      <c r="C107" s="4">
        <f t="shared" si="53"/>
        <v>10</v>
      </c>
      <c r="D107" s="4">
        <f t="shared" si="53"/>
        <v>9</v>
      </c>
      <c r="E107" s="4">
        <f t="shared" si="53"/>
        <v>0</v>
      </c>
      <c r="F107" s="4">
        <f t="shared" si="53"/>
        <v>1</v>
      </c>
      <c r="G107" s="4">
        <f t="shared" si="53"/>
        <v>0</v>
      </c>
      <c r="H107" s="4">
        <f t="shared" si="53"/>
        <v>21</v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Raymond</v>
      </c>
      <c r="B108" s="124" t="str">
        <f t="shared" si="54"/>
        <v/>
      </c>
      <c r="C108" s="124" t="str">
        <f t="shared" si="54"/>
        <v/>
      </c>
      <c r="D108" s="124" t="str">
        <f t="shared" si="54"/>
        <v/>
      </c>
      <c r="E108" s="124" t="str">
        <f t="shared" si="54"/>
        <v/>
      </c>
      <c r="F108" s="124" t="str">
        <f t="shared" si="54"/>
        <v/>
      </c>
      <c r="G108" s="124" t="str">
        <f t="shared" si="54"/>
        <v/>
      </c>
      <c r="H108" s="12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Derek</v>
      </c>
      <c r="B109" s="4">
        <f t="shared" si="55"/>
        <v>3</v>
      </c>
      <c r="C109" s="4">
        <f t="shared" si="55"/>
        <v>12</v>
      </c>
      <c r="D109" s="4">
        <f t="shared" si="55"/>
        <v>2</v>
      </c>
      <c r="E109" s="4">
        <f t="shared" si="55"/>
        <v>0</v>
      </c>
      <c r="F109" s="4">
        <f t="shared" si="55"/>
        <v>9</v>
      </c>
      <c r="G109" s="4">
        <f t="shared" si="55"/>
        <v>1</v>
      </c>
      <c r="H109" s="4">
        <f t="shared" si="55"/>
        <v>24</v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Neo</v>
      </c>
      <c r="B110" s="124">
        <f t="shared" si="56"/>
        <v>2</v>
      </c>
      <c r="C110" s="124">
        <f t="shared" si="56"/>
        <v>8</v>
      </c>
      <c r="D110" s="124">
        <f t="shared" si="56"/>
        <v>0</v>
      </c>
      <c r="E110" s="124">
        <f t="shared" si="56"/>
        <v>1</v>
      </c>
      <c r="F110" s="124">
        <f t="shared" si="56"/>
        <v>7</v>
      </c>
      <c r="G110" s="124">
        <f t="shared" si="56"/>
        <v>0</v>
      </c>
      <c r="H110" s="124">
        <f t="shared" si="56"/>
        <v>26</v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Brendan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>Hanono</v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74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0.3441860465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0"/>
      <c r="J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Schedule'!G3</f>
        <v>Team E</v>
      </c>
      <c r="D1" s="4" t="s">
        <v>176</v>
      </c>
      <c r="E1" s="4" t="str">
        <f>if(C19&gt;L19, "Win", "Loss")</f>
        <v>Loss</v>
      </c>
      <c r="G1" s="75" t="s">
        <v>177</v>
      </c>
      <c r="H1" s="128">
        <f>C19-L19</f>
        <v>-5</v>
      </c>
      <c r="I1" s="178" t="s">
        <v>214</v>
      </c>
      <c r="J1" s="165" t="str">
        <f>'Full Schedule'!H3</f>
        <v>Candice?</v>
      </c>
      <c r="M1" s="75" t="s">
        <v>176</v>
      </c>
      <c r="N1" s="128" t="str">
        <f>if(L19&gt;C19, "Win", "Loss")</f>
        <v>Win</v>
      </c>
      <c r="P1" s="75" t="s">
        <v>177</v>
      </c>
      <c r="Q1" s="128">
        <f>L19-C19</f>
        <v>5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Taran</v>
      </c>
      <c r="B3" s="75">
        <v>6.0</v>
      </c>
      <c r="C3" s="181">
        <f t="shared" ref="C3:C17" si="1">if(sum(D3:G3)&gt;0, sum(D3:G3), "")</f>
        <v>18</v>
      </c>
      <c r="D3" s="75">
        <v>5.0</v>
      </c>
      <c r="E3" s="75">
        <v>4.0</v>
      </c>
      <c r="F3" s="75">
        <v>7.0</v>
      </c>
      <c r="G3" s="75">
        <v>2.0</v>
      </c>
      <c r="H3" s="75">
        <v>26.0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75">
        <v>5.0</v>
      </c>
      <c r="L3" s="181">
        <f t="shared" ref="L3:L17" si="2">if(sum(M3:P3)&gt;0, sum(M3:P3), "")</f>
        <v>11</v>
      </c>
      <c r="M3" s="75">
        <v>3.0</v>
      </c>
      <c r="N3" s="75">
        <v>1.0</v>
      </c>
      <c r="O3" s="75">
        <v>6.0</v>
      </c>
      <c r="P3" s="75">
        <v>1.0</v>
      </c>
      <c r="Q3" s="75">
        <v>29.0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Miguel F</v>
      </c>
      <c r="B4" s="75">
        <v>5.0</v>
      </c>
      <c r="C4" s="146">
        <f t="shared" si="1"/>
        <v>17</v>
      </c>
      <c r="D4" s="75">
        <v>10.0</v>
      </c>
      <c r="E4" s="75">
        <v>2.0</v>
      </c>
      <c r="F4" s="75">
        <v>5.0</v>
      </c>
      <c r="G4" s="75">
        <v>0.0</v>
      </c>
      <c r="H4" s="75">
        <v>29.0</v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 Y</v>
      </c>
      <c r="K4" s="75">
        <v>6.0</v>
      </c>
      <c r="L4" s="146">
        <f t="shared" si="2"/>
        <v>19</v>
      </c>
      <c r="M4" s="75">
        <v>12.0</v>
      </c>
      <c r="N4" s="75">
        <v>3.0</v>
      </c>
      <c r="O4" s="75">
        <v>2.0</v>
      </c>
      <c r="P4" s="75">
        <v>2.0</v>
      </c>
      <c r="Q4" s="75">
        <v>26.0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Mike H</v>
      </c>
      <c r="C5" s="4" t="str">
        <f t="shared" si="1"/>
        <v/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Porco</v>
      </c>
      <c r="L5" s="4" t="str">
        <f t="shared" si="2"/>
        <v/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Madams</v>
      </c>
      <c r="B6" s="75">
        <v>1.0</v>
      </c>
      <c r="C6" s="4">
        <f t="shared" si="1"/>
        <v>16</v>
      </c>
      <c r="D6" s="75">
        <v>3.0</v>
      </c>
      <c r="E6" s="75">
        <v>0.0</v>
      </c>
      <c r="F6" s="75">
        <v>13.0</v>
      </c>
      <c r="G6" s="75">
        <v>0.0</v>
      </c>
      <c r="H6" s="75">
        <v>27.0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Marmo</v>
      </c>
      <c r="K6" s="75">
        <v>1.0</v>
      </c>
      <c r="L6" s="146">
        <f t="shared" si="2"/>
        <v>18</v>
      </c>
      <c r="M6" s="75">
        <v>1.0</v>
      </c>
      <c r="N6" s="75">
        <v>0.0</v>
      </c>
      <c r="O6" s="75">
        <v>15.0</v>
      </c>
      <c r="P6" s="75">
        <v>2.0</v>
      </c>
      <c r="Q6" s="75">
        <v>24.0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Jay S</v>
      </c>
      <c r="B7" s="75">
        <v>2.0</v>
      </c>
      <c r="C7" s="146">
        <f t="shared" si="1"/>
        <v>15</v>
      </c>
      <c r="D7" s="75">
        <v>10.0</v>
      </c>
      <c r="E7" s="75">
        <v>0.0</v>
      </c>
      <c r="F7" s="75">
        <v>5.0</v>
      </c>
      <c r="G7" s="75">
        <v>0.0</v>
      </c>
      <c r="H7" s="75">
        <v>28.0</v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Swit</v>
      </c>
      <c r="K7" s="75">
        <v>4.0</v>
      </c>
      <c r="L7" s="146">
        <f t="shared" si="2"/>
        <v>9</v>
      </c>
      <c r="M7" s="75">
        <v>4.0</v>
      </c>
      <c r="N7" s="75">
        <v>0.0</v>
      </c>
      <c r="O7" s="75">
        <v>4.0</v>
      </c>
      <c r="P7" s="75">
        <v>1.0</v>
      </c>
      <c r="Q7" s="75">
        <v>29.0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Tripp</v>
      </c>
      <c r="C8" s="146" t="str">
        <f t="shared" si="1"/>
        <v/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Emi</v>
      </c>
      <c r="K8" s="75">
        <v>3.0</v>
      </c>
      <c r="L8" s="146">
        <f t="shared" si="2"/>
        <v>22</v>
      </c>
      <c r="M8" s="75">
        <v>3.0</v>
      </c>
      <c r="N8" s="75">
        <v>2.0</v>
      </c>
      <c r="O8" s="75">
        <v>17.0</v>
      </c>
      <c r="P8" s="75">
        <v>0.0</v>
      </c>
      <c r="Q8" s="75">
        <v>24.0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Lulu</v>
      </c>
      <c r="B9" s="75">
        <v>3.0</v>
      </c>
      <c r="C9" s="146">
        <f t="shared" si="1"/>
        <v>13</v>
      </c>
      <c r="D9" s="75">
        <v>7.0</v>
      </c>
      <c r="E9" s="75">
        <v>0.0</v>
      </c>
      <c r="F9" s="75">
        <v>6.0</v>
      </c>
      <c r="G9" s="75">
        <v>0.0</v>
      </c>
      <c r="H9" s="75">
        <v>28.0</v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SoHo</v>
      </c>
      <c r="K9" s="75">
        <v>2.0</v>
      </c>
      <c r="L9" s="146">
        <f t="shared" si="2"/>
        <v>20</v>
      </c>
      <c r="M9" s="75">
        <v>16.0</v>
      </c>
      <c r="N9" s="75">
        <v>0.0</v>
      </c>
      <c r="O9" s="75">
        <v>4.0</v>
      </c>
      <c r="P9" s="75">
        <v>0.0</v>
      </c>
      <c r="Q9" s="75">
        <v>27.0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Ilt</v>
      </c>
      <c r="C10" s="146" t="str">
        <f t="shared" si="1"/>
        <v/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/>
      </c>
      <c r="L10" s="146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Pasha</v>
      </c>
      <c r="B11" s="75">
        <v>4.0</v>
      </c>
      <c r="C11" s="4">
        <f t="shared" si="1"/>
        <v>14</v>
      </c>
      <c r="D11" s="75">
        <v>2.0</v>
      </c>
      <c r="E11" s="75">
        <v>2.0</v>
      </c>
      <c r="F11" s="75">
        <v>10.0</v>
      </c>
      <c r="G11" s="75">
        <v>0.0</v>
      </c>
      <c r="H11" s="75">
        <v>26.0</v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C18" s="75">
        <v>1.0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94</v>
      </c>
      <c r="D19" s="184"/>
      <c r="E19" s="184"/>
      <c r="F19" s="184"/>
      <c r="G19" s="184"/>
      <c r="H19" s="175">
        <f>sum(C3:C17)/(sum(C3:C17)+sum(H3:H17))</f>
        <v>0.3618677043</v>
      </c>
      <c r="I19" s="180"/>
      <c r="J19" s="182" t="s">
        <v>184</v>
      </c>
      <c r="K19" s="183"/>
      <c r="L19" s="183">
        <f>sum(L3:L18)</f>
        <v>99</v>
      </c>
      <c r="M19" s="184"/>
      <c r="N19" s="184"/>
      <c r="O19" s="184"/>
      <c r="P19" s="184"/>
      <c r="Q19" s="175">
        <f>sum(L3:L17)/(sum(L3:L17)+sum(Q3:Q17))</f>
        <v>0.3837209302</v>
      </c>
    </row>
    <row r="20">
      <c r="A20" s="4"/>
      <c r="I20" s="180"/>
      <c r="J20" s="4"/>
    </row>
    <row r="21">
      <c r="A21" s="161" t="str">
        <f>'Full Schedule'!G4</f>
        <v>Team C</v>
      </c>
      <c r="D21" s="4" t="s">
        <v>176</v>
      </c>
      <c r="E21" s="4" t="str">
        <f>if(C39&gt;L39, "Win", "Loss")</f>
        <v>Win</v>
      </c>
      <c r="G21" s="75" t="s">
        <v>177</v>
      </c>
      <c r="H21" s="128">
        <f>C39-L39</f>
        <v>9</v>
      </c>
      <c r="I21" s="178" t="s">
        <v>214</v>
      </c>
      <c r="J21" s="161" t="str">
        <f>'Full Schedule'!H4</f>
        <v>Team F</v>
      </c>
      <c r="M21" s="75" t="s">
        <v>176</v>
      </c>
      <c r="N21" s="128" t="str">
        <f>if(L39&gt;C39, "Win", "Loss")</f>
        <v>Loss</v>
      </c>
      <c r="P21" s="75" t="s">
        <v>177</v>
      </c>
      <c r="Q21" s="128">
        <f>L39-C39</f>
        <v>-9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Matt</v>
      </c>
      <c r="B23" s="75">
        <v>6.0</v>
      </c>
      <c r="C23" s="181">
        <f t="shared" ref="C23:C37" si="3">if(sum(D23:G23)&gt;0, sum(D23:G23), "")</f>
        <v>22</v>
      </c>
      <c r="D23" s="75">
        <v>9.0</v>
      </c>
      <c r="E23" s="75">
        <v>2.0</v>
      </c>
      <c r="F23" s="75">
        <v>10.0</v>
      </c>
      <c r="G23" s="75">
        <v>1.0</v>
      </c>
      <c r="H23" s="75">
        <v>24.0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BXu</v>
      </c>
      <c r="K23" s="146">
        <v>5.0</v>
      </c>
      <c r="L23" s="181">
        <f t="shared" ref="L23:L37" si="4">if(sum(M23:P23)&gt;0, sum(M23:P23), "")</f>
        <v>16</v>
      </c>
      <c r="M23" s="146">
        <v>7.0</v>
      </c>
      <c r="N23" s="146">
        <v>2.0</v>
      </c>
      <c r="O23" s="146">
        <v>7.0</v>
      </c>
      <c r="P23" s="146">
        <v>0.0</v>
      </c>
      <c r="Q23" s="146">
        <v>26.0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Gid</v>
      </c>
      <c r="B24" s="75">
        <v>5.0</v>
      </c>
      <c r="C24" s="146">
        <f t="shared" si="3"/>
        <v>15</v>
      </c>
      <c r="D24" s="75">
        <v>2.0</v>
      </c>
      <c r="E24" s="75">
        <v>0.0</v>
      </c>
      <c r="F24" s="75">
        <v>10.0</v>
      </c>
      <c r="G24" s="75">
        <v>3.0</v>
      </c>
      <c r="H24" s="75">
        <v>26.0</v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JChan</v>
      </c>
      <c r="K24" s="146">
        <v>6.0</v>
      </c>
      <c r="L24" s="146">
        <f t="shared" si="4"/>
        <v>13</v>
      </c>
      <c r="M24" s="146">
        <v>5.0</v>
      </c>
      <c r="N24" s="146">
        <v>2.0</v>
      </c>
      <c r="O24" s="146">
        <v>6.0</v>
      </c>
      <c r="P24" s="146">
        <v>0.0</v>
      </c>
      <c r="Q24" s="146">
        <v>27.0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Nikita S</v>
      </c>
      <c r="B25" s="75">
        <v>1.0</v>
      </c>
      <c r="C25" s="4">
        <f t="shared" si="3"/>
        <v>23</v>
      </c>
      <c r="D25" s="75">
        <v>10.0</v>
      </c>
      <c r="E25" s="75">
        <v>2.0</v>
      </c>
      <c r="F25" s="75">
        <v>11.0</v>
      </c>
      <c r="G25" s="75">
        <v>0.0</v>
      </c>
      <c r="H25" s="75">
        <v>25.0</v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DC</v>
      </c>
      <c r="K25" s="4"/>
      <c r="L25" s="4" t="str">
        <f t="shared" si="4"/>
        <v/>
      </c>
      <c r="M25" s="4"/>
      <c r="N25" s="4"/>
      <c r="O25" s="4"/>
      <c r="P25" s="4"/>
      <c r="Q25" s="4"/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Sonne</v>
      </c>
      <c r="B26" s="75">
        <v>4.0</v>
      </c>
      <c r="C26" s="4">
        <f t="shared" si="3"/>
        <v>10</v>
      </c>
      <c r="D26" s="75">
        <v>5.0</v>
      </c>
      <c r="E26" s="75">
        <v>1.0</v>
      </c>
      <c r="F26" s="75">
        <v>4.0</v>
      </c>
      <c r="G26" s="75">
        <v>0.0</v>
      </c>
      <c r="H26" s="75">
        <v>28.0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Schmid</v>
      </c>
      <c r="K26" s="146">
        <v>1.0</v>
      </c>
      <c r="L26" s="146">
        <f t="shared" si="4"/>
        <v>23</v>
      </c>
      <c r="M26" s="146">
        <v>7.0</v>
      </c>
      <c r="N26" s="146">
        <v>0.0</v>
      </c>
      <c r="O26" s="146">
        <v>15.0</v>
      </c>
      <c r="P26" s="146">
        <v>1.0</v>
      </c>
      <c r="Q26" s="146">
        <v>23.0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Crosby</v>
      </c>
      <c r="C27" s="146" t="str">
        <f t="shared" si="3"/>
        <v/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Kian</v>
      </c>
      <c r="K27" s="146">
        <v>2.0</v>
      </c>
      <c r="L27" s="146">
        <f t="shared" si="4"/>
        <v>13</v>
      </c>
      <c r="M27" s="146">
        <v>7.0</v>
      </c>
      <c r="N27" s="146">
        <v>0.0</v>
      </c>
      <c r="O27" s="146">
        <v>4.0</v>
      </c>
      <c r="P27" s="146">
        <v>2.0</v>
      </c>
      <c r="Q27" s="146">
        <v>28.0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Kevin Zhou</v>
      </c>
      <c r="C28" s="146" t="str">
        <f t="shared" si="3"/>
        <v/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Hando</v>
      </c>
      <c r="K28" s="146">
        <v>4.0</v>
      </c>
      <c r="L28" s="146">
        <f t="shared" si="4"/>
        <v>15</v>
      </c>
      <c r="M28" s="146">
        <v>10.0</v>
      </c>
      <c r="N28" s="146">
        <v>0.0</v>
      </c>
      <c r="O28" s="146">
        <v>5.0</v>
      </c>
      <c r="P28" s="146">
        <v>0.0</v>
      </c>
      <c r="Q28" s="146">
        <v>26.0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Somil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Petric</v>
      </c>
      <c r="K29" s="146">
        <v>3.0</v>
      </c>
      <c r="L29" s="146">
        <f t="shared" si="4"/>
        <v>11</v>
      </c>
      <c r="M29" s="146">
        <v>5.0</v>
      </c>
      <c r="N29" s="146">
        <v>0.0</v>
      </c>
      <c r="O29" s="146">
        <v>6.0</v>
      </c>
      <c r="P29" s="146">
        <v>0.0</v>
      </c>
      <c r="Q29" s="146">
        <v>27.0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Suyoag</v>
      </c>
      <c r="C30" s="146" t="str">
        <f t="shared" si="3"/>
        <v/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Mike Zhou</v>
      </c>
      <c r="L30" s="146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Will Ho</v>
      </c>
      <c r="B31" s="75">
        <v>3.0</v>
      </c>
      <c r="C31" s="4">
        <f t="shared" si="3"/>
        <v>19</v>
      </c>
      <c r="D31" s="75">
        <v>7.0</v>
      </c>
      <c r="E31" s="75">
        <v>1.0</v>
      </c>
      <c r="F31" s="75">
        <v>11.0</v>
      </c>
      <c r="G31" s="75">
        <v>0.0</v>
      </c>
      <c r="H31" s="75">
        <v>26.0</v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Cole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Nagle</v>
      </c>
      <c r="B32" s="75">
        <v>2.0</v>
      </c>
      <c r="C32" s="4">
        <f t="shared" si="3"/>
        <v>10</v>
      </c>
      <c r="D32" s="75">
        <v>6.0</v>
      </c>
      <c r="E32" s="75">
        <v>0.0</v>
      </c>
      <c r="F32" s="75">
        <v>4.0</v>
      </c>
      <c r="G32" s="75">
        <v>0.0</v>
      </c>
      <c r="H32" s="75">
        <v>27.0</v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C38" s="75">
        <v>1.0</v>
      </c>
      <c r="I38" s="180"/>
      <c r="J38" s="163" t="s">
        <v>221</v>
      </c>
    </row>
    <row r="39">
      <c r="A39" s="182" t="s">
        <v>184</v>
      </c>
      <c r="B39" s="183"/>
      <c r="C39" s="183">
        <f>sum(C23:C38)</f>
        <v>100</v>
      </c>
      <c r="D39" s="184"/>
      <c r="E39" s="184"/>
      <c r="F39" s="184"/>
      <c r="G39" s="184"/>
      <c r="H39" s="175">
        <f>sum(C23:C37)/(sum(C23:C37)+sum(H23:H37))</f>
        <v>0.3882352941</v>
      </c>
      <c r="I39" s="180"/>
      <c r="J39" s="182" t="s">
        <v>184</v>
      </c>
      <c r="K39" s="183"/>
      <c r="L39" s="183">
        <f>sum(L23:L38)</f>
        <v>91</v>
      </c>
      <c r="M39" s="184"/>
      <c r="N39" s="184"/>
      <c r="O39" s="184"/>
      <c r="P39" s="184"/>
      <c r="Q39" s="175">
        <f>sum(L23:L37)/(sum(L23:L37)+sum(Q23:Q37))</f>
        <v>0.3669354839</v>
      </c>
    </row>
    <row r="40">
      <c r="A40" s="4"/>
      <c r="I40" s="180"/>
      <c r="J40" s="4"/>
    </row>
    <row r="41">
      <c r="A41" s="161" t="str">
        <f>'Full Schedule'!G5</f>
        <v>Gargantuan</v>
      </c>
      <c r="D41" s="4" t="s">
        <v>176</v>
      </c>
      <c r="E41" s="4" t="str">
        <f>if(C59&gt;L59, "Win", "Loss")</f>
        <v>Loss</v>
      </c>
      <c r="G41" s="75" t="s">
        <v>177</v>
      </c>
      <c r="H41" s="128">
        <f>C59-L59</f>
        <v>-9</v>
      </c>
      <c r="I41" s="178" t="s">
        <v>214</v>
      </c>
      <c r="J41" s="161" t="str">
        <f>'Full Schedule'!H5</f>
        <v>Migos</v>
      </c>
      <c r="M41" s="75" t="s">
        <v>176</v>
      </c>
      <c r="N41" s="128" t="str">
        <f>if(L59&gt;C59, "Win", "Loss")</f>
        <v>Win</v>
      </c>
      <c r="P41" s="75" t="s">
        <v>177</v>
      </c>
      <c r="Q41" s="128">
        <f>L59-C59</f>
        <v>9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Maas</v>
      </c>
      <c r="C43" s="181" t="str">
        <f t="shared" ref="C43:C57" si="5">if(sum(D43:G43)&gt;0, sum(D43:G43), "")</f>
        <v/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Leo</v>
      </c>
      <c r="K43" s="75">
        <v>6.0</v>
      </c>
      <c r="L43" s="181">
        <f t="shared" ref="L43:L57" si="6">if(sum(M43:P43)&gt;0, sum(M43:P43), "")</f>
        <v>25</v>
      </c>
      <c r="M43" s="75">
        <v>12.0</v>
      </c>
      <c r="N43" s="75">
        <v>1.0</v>
      </c>
      <c r="O43" s="75">
        <v>9.0</v>
      </c>
      <c r="P43" s="75">
        <v>3.0</v>
      </c>
      <c r="Q43" s="75">
        <v>26.0</v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Hawkins</v>
      </c>
      <c r="B44" s="75">
        <v>1.0</v>
      </c>
      <c r="C44" s="146">
        <f t="shared" si="5"/>
        <v>16</v>
      </c>
      <c r="D44" s="75">
        <v>2.0</v>
      </c>
      <c r="E44" s="75">
        <v>0.0</v>
      </c>
      <c r="F44" s="75">
        <v>13.0</v>
      </c>
      <c r="G44" s="75">
        <v>1.0</v>
      </c>
      <c r="H44" s="75">
        <v>28.0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Seb</v>
      </c>
      <c r="L44" s="146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Grish</v>
      </c>
      <c r="B45" s="75">
        <v>6.0</v>
      </c>
      <c r="C45" s="4">
        <f t="shared" si="5"/>
        <v>11</v>
      </c>
      <c r="D45" s="75">
        <v>8.0</v>
      </c>
      <c r="E45" s="75">
        <v>0.0</v>
      </c>
      <c r="F45" s="75">
        <v>3.0</v>
      </c>
      <c r="G45" s="75">
        <v>0.0</v>
      </c>
      <c r="H45" s="75">
        <v>31.0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Fritz</v>
      </c>
      <c r="K45" s="75">
        <v>1.0</v>
      </c>
      <c r="L45" s="4">
        <f t="shared" si="6"/>
        <v>18</v>
      </c>
      <c r="M45" s="75">
        <v>6.0</v>
      </c>
      <c r="N45" s="75">
        <v>2.0</v>
      </c>
      <c r="O45" s="75">
        <v>7.0</v>
      </c>
      <c r="P45" s="75">
        <v>3.0</v>
      </c>
      <c r="Q45" s="75">
        <v>26.0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Rockett</v>
      </c>
      <c r="B46" s="75">
        <v>2.0</v>
      </c>
      <c r="C46" s="4">
        <f t="shared" si="5"/>
        <v>16</v>
      </c>
      <c r="D46" s="75">
        <v>10.0</v>
      </c>
      <c r="E46" s="75">
        <v>3.0</v>
      </c>
      <c r="F46" s="75">
        <v>1.0</v>
      </c>
      <c r="G46" s="75">
        <v>2.0</v>
      </c>
      <c r="H46" s="75">
        <v>29.0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Arnav</v>
      </c>
      <c r="K46" s="75">
        <v>5.0</v>
      </c>
      <c r="L46" s="4">
        <f t="shared" si="6"/>
        <v>18</v>
      </c>
      <c r="M46" s="75">
        <v>10.0</v>
      </c>
      <c r="N46" s="75">
        <v>2.0</v>
      </c>
      <c r="O46" s="75">
        <v>3.0</v>
      </c>
      <c r="P46" s="75">
        <v>3.0</v>
      </c>
      <c r="Q46" s="75">
        <v>28.0</v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Du</v>
      </c>
      <c r="C47" s="146" t="str">
        <f t="shared" si="5"/>
        <v/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Lanuza</v>
      </c>
      <c r="L47" s="146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Raymond</v>
      </c>
      <c r="B48" s="75">
        <v>5.0</v>
      </c>
      <c r="C48" s="146">
        <f t="shared" si="5"/>
        <v>16</v>
      </c>
      <c r="D48" s="75">
        <v>7.0</v>
      </c>
      <c r="E48" s="75">
        <v>0.0</v>
      </c>
      <c r="F48" s="75">
        <v>9.0</v>
      </c>
      <c r="G48" s="75">
        <v>0.0</v>
      </c>
      <c r="H48" s="75">
        <v>30.0</v>
      </c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Samos</v>
      </c>
      <c r="K48" s="75">
        <v>4.0</v>
      </c>
      <c r="L48" s="146">
        <f t="shared" si="6"/>
        <v>12</v>
      </c>
      <c r="M48" s="75">
        <v>1.0</v>
      </c>
      <c r="N48" s="75">
        <v>0.0</v>
      </c>
      <c r="O48" s="75">
        <v>9.0</v>
      </c>
      <c r="P48" s="75">
        <v>2.0</v>
      </c>
      <c r="Q48" s="75">
        <v>28.0</v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Derek</v>
      </c>
      <c r="B49" s="75">
        <v>3.0</v>
      </c>
      <c r="C49" s="146">
        <f t="shared" si="5"/>
        <v>16</v>
      </c>
      <c r="D49" s="75">
        <v>6.0</v>
      </c>
      <c r="E49" s="75">
        <v>1.0</v>
      </c>
      <c r="F49" s="75">
        <v>8.0</v>
      </c>
      <c r="G49" s="75">
        <v>1.0</v>
      </c>
      <c r="H49" s="75">
        <v>30.0</v>
      </c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Kyi</v>
      </c>
      <c r="K49" s="75">
        <v>3.0</v>
      </c>
      <c r="L49" s="146">
        <f t="shared" si="6"/>
        <v>15</v>
      </c>
      <c r="M49" s="75">
        <v>3.0</v>
      </c>
      <c r="N49" s="75">
        <v>0.0</v>
      </c>
      <c r="O49" s="75">
        <v>12.0</v>
      </c>
      <c r="P49" s="75">
        <v>0.0</v>
      </c>
      <c r="Q49" s="75">
        <v>29.0</v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Neo</v>
      </c>
      <c r="C50" s="146" t="str">
        <f t="shared" si="5"/>
        <v/>
      </c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TC</v>
      </c>
      <c r="K50" s="75">
        <v>2.0</v>
      </c>
      <c r="L50" s="146">
        <f t="shared" si="6"/>
        <v>12</v>
      </c>
      <c r="M50" s="75">
        <v>8.0</v>
      </c>
      <c r="N50" s="75">
        <v>0.0</v>
      </c>
      <c r="O50" s="75">
        <v>4.0</v>
      </c>
      <c r="P50" s="75">
        <v>0.0</v>
      </c>
      <c r="Q50" s="75">
        <v>28.0</v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Brendan</v>
      </c>
      <c r="B51" s="75">
        <v>4.0</v>
      </c>
      <c r="C51" s="4">
        <f t="shared" si="5"/>
        <v>13</v>
      </c>
      <c r="D51" s="75">
        <v>6.0</v>
      </c>
      <c r="E51" s="75">
        <v>1.0</v>
      </c>
      <c r="F51" s="75">
        <v>6.0</v>
      </c>
      <c r="G51" s="75">
        <v>0.0</v>
      </c>
      <c r="H51" s="75">
        <v>30.0</v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Adi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Hanono</v>
      </c>
      <c r="C52" s="4" t="str">
        <f t="shared" si="5"/>
        <v/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/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C58" s="75">
        <v>3.0</v>
      </c>
      <c r="I58" s="180"/>
      <c r="J58" s="163" t="s">
        <v>221</v>
      </c>
    </row>
    <row r="59">
      <c r="A59" s="182" t="s">
        <v>184</v>
      </c>
      <c r="B59" s="183"/>
      <c r="C59" s="183">
        <f>sum(C43:C58)</f>
        <v>91</v>
      </c>
      <c r="D59" s="184"/>
      <c r="E59" s="184"/>
      <c r="F59" s="184"/>
      <c r="G59" s="184"/>
      <c r="H59" s="175">
        <f>sum(C43:C57)/(sum(C43:C57)+sum(H43:H57))</f>
        <v>0.3308270677</v>
      </c>
      <c r="I59" s="180"/>
      <c r="J59" s="182" t="s">
        <v>184</v>
      </c>
      <c r="K59" s="183"/>
      <c r="L59" s="183">
        <f>sum(L43:L58)</f>
        <v>100</v>
      </c>
      <c r="M59" s="184"/>
      <c r="N59" s="184"/>
      <c r="O59" s="184"/>
      <c r="P59" s="184"/>
      <c r="Q59" s="175">
        <f>sum(L43:L57)/(sum(L43:L57)+sum(Q43:Q57))</f>
        <v>0.3773584906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Candice?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Win</v>
      </c>
      <c r="F61" s="4" t="str">
        <f t="shared" si="7"/>
        <v/>
      </c>
      <c r="G61" s="177" t="str">
        <f t="shared" si="7"/>
        <v>Margin</v>
      </c>
      <c r="H61" s="124">
        <f t="shared" si="7"/>
        <v>5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Elmer</v>
      </c>
      <c r="B63" s="124">
        <f t="shared" si="9"/>
        <v>5</v>
      </c>
      <c r="C63" s="124">
        <f t="shared" si="9"/>
        <v>11</v>
      </c>
      <c r="D63" s="124">
        <f t="shared" si="9"/>
        <v>3</v>
      </c>
      <c r="E63" s="124">
        <f t="shared" si="9"/>
        <v>1</v>
      </c>
      <c r="F63" s="124">
        <f t="shared" si="9"/>
        <v>6</v>
      </c>
      <c r="G63" s="124">
        <f t="shared" si="9"/>
        <v>1</v>
      </c>
      <c r="H63" s="124">
        <f t="shared" si="9"/>
        <v>29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John Y</v>
      </c>
      <c r="B64" s="124">
        <f t="shared" si="10"/>
        <v>6</v>
      </c>
      <c r="C64" s="124">
        <f t="shared" si="10"/>
        <v>19</v>
      </c>
      <c r="D64" s="124">
        <f t="shared" si="10"/>
        <v>12</v>
      </c>
      <c r="E64" s="124">
        <f t="shared" si="10"/>
        <v>3</v>
      </c>
      <c r="F64" s="124">
        <f t="shared" si="10"/>
        <v>2</v>
      </c>
      <c r="G64" s="124">
        <f t="shared" si="10"/>
        <v>2</v>
      </c>
      <c r="H64" s="124">
        <f t="shared" si="10"/>
        <v>26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Porco</v>
      </c>
      <c r="B65" s="124" t="str">
        <f t="shared" si="11"/>
        <v/>
      </c>
      <c r="C65" s="124" t="str">
        <f t="shared" si="11"/>
        <v/>
      </c>
      <c r="D65" s="124" t="str">
        <f t="shared" si="11"/>
        <v/>
      </c>
      <c r="E65" s="124" t="str">
        <f t="shared" si="11"/>
        <v/>
      </c>
      <c r="F65" s="124" t="str">
        <f t="shared" si="11"/>
        <v/>
      </c>
      <c r="G65" s="124" t="str">
        <f t="shared" si="11"/>
        <v/>
      </c>
      <c r="H65" s="124" t="str">
        <f t="shared" si="11"/>
        <v/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Marmo</v>
      </c>
      <c r="B66" s="4">
        <f t="shared" si="12"/>
        <v>1</v>
      </c>
      <c r="C66" s="4">
        <f t="shared" si="12"/>
        <v>18</v>
      </c>
      <c r="D66" s="4">
        <f t="shared" si="12"/>
        <v>1</v>
      </c>
      <c r="E66" s="4">
        <f t="shared" si="12"/>
        <v>0</v>
      </c>
      <c r="F66" s="4">
        <f t="shared" si="12"/>
        <v>15</v>
      </c>
      <c r="G66" s="4">
        <f t="shared" si="12"/>
        <v>2</v>
      </c>
      <c r="H66" s="4">
        <f t="shared" si="12"/>
        <v>24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Swit</v>
      </c>
      <c r="B67" s="4">
        <f t="shared" si="13"/>
        <v>4</v>
      </c>
      <c r="C67" s="4">
        <f t="shared" si="13"/>
        <v>9</v>
      </c>
      <c r="D67" s="4">
        <f t="shared" si="13"/>
        <v>4</v>
      </c>
      <c r="E67" s="4">
        <f t="shared" si="13"/>
        <v>0</v>
      </c>
      <c r="F67" s="4">
        <f t="shared" si="13"/>
        <v>4</v>
      </c>
      <c r="G67" s="4">
        <f t="shared" si="13"/>
        <v>1</v>
      </c>
      <c r="H67" s="4">
        <f t="shared" si="13"/>
        <v>29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Emi</v>
      </c>
      <c r="B68" s="124">
        <f t="shared" si="14"/>
        <v>3</v>
      </c>
      <c r="C68" s="124">
        <f t="shared" si="14"/>
        <v>22</v>
      </c>
      <c r="D68" s="124">
        <f t="shared" si="14"/>
        <v>3</v>
      </c>
      <c r="E68" s="124">
        <f t="shared" si="14"/>
        <v>2</v>
      </c>
      <c r="F68" s="124">
        <f t="shared" si="14"/>
        <v>17</v>
      </c>
      <c r="G68" s="124">
        <f t="shared" si="14"/>
        <v>0</v>
      </c>
      <c r="H68" s="124">
        <f t="shared" si="14"/>
        <v>24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SoHo</v>
      </c>
      <c r="B69" s="124">
        <f t="shared" si="15"/>
        <v>2</v>
      </c>
      <c r="C69" s="124">
        <f t="shared" si="15"/>
        <v>20</v>
      </c>
      <c r="D69" s="124">
        <f t="shared" si="15"/>
        <v>16</v>
      </c>
      <c r="E69" s="124">
        <f t="shared" si="15"/>
        <v>0</v>
      </c>
      <c r="F69" s="124">
        <f t="shared" si="15"/>
        <v>4</v>
      </c>
      <c r="G69" s="124">
        <f t="shared" si="15"/>
        <v>0</v>
      </c>
      <c r="H69" s="124">
        <f t="shared" si="15"/>
        <v>27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/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/>
      </c>
      <c r="B71" s="124" t="str">
        <f t="shared" si="17"/>
        <v/>
      </c>
      <c r="C71" s="124" t="str">
        <f t="shared" si="17"/>
        <v/>
      </c>
      <c r="D71" s="124" t="str">
        <f t="shared" si="17"/>
        <v/>
      </c>
      <c r="E71" s="124" t="str">
        <f t="shared" si="17"/>
        <v/>
      </c>
      <c r="F71" s="124" t="str">
        <f t="shared" si="17"/>
        <v/>
      </c>
      <c r="G71" s="124" t="str">
        <f t="shared" si="17"/>
        <v/>
      </c>
      <c r="H71" s="12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99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0.3837209302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Team F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Loss</v>
      </c>
      <c r="F81" s="4" t="str">
        <f t="shared" si="27"/>
        <v/>
      </c>
      <c r="G81" s="177" t="str">
        <f t="shared" si="27"/>
        <v>Margin</v>
      </c>
      <c r="H81" s="124">
        <f t="shared" si="27"/>
        <v>-9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BXu</v>
      </c>
      <c r="B83" s="124">
        <f t="shared" si="29"/>
        <v>5</v>
      </c>
      <c r="C83" s="124">
        <f t="shared" si="29"/>
        <v>16</v>
      </c>
      <c r="D83" s="124">
        <f t="shared" si="29"/>
        <v>7</v>
      </c>
      <c r="E83" s="124">
        <f t="shared" si="29"/>
        <v>2</v>
      </c>
      <c r="F83" s="124">
        <f t="shared" si="29"/>
        <v>7</v>
      </c>
      <c r="G83" s="124">
        <f t="shared" si="29"/>
        <v>0</v>
      </c>
      <c r="H83" s="124">
        <f t="shared" si="29"/>
        <v>26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JChan</v>
      </c>
      <c r="B84" s="124">
        <f t="shared" si="30"/>
        <v>6</v>
      </c>
      <c r="C84" s="124">
        <f t="shared" si="30"/>
        <v>13</v>
      </c>
      <c r="D84" s="124">
        <f t="shared" si="30"/>
        <v>5</v>
      </c>
      <c r="E84" s="124">
        <f t="shared" si="30"/>
        <v>2</v>
      </c>
      <c r="F84" s="124">
        <f t="shared" si="30"/>
        <v>6</v>
      </c>
      <c r="G84" s="124">
        <f t="shared" si="30"/>
        <v>0</v>
      </c>
      <c r="H84" s="124">
        <f t="shared" si="30"/>
        <v>27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DC</v>
      </c>
      <c r="B85" s="124" t="str">
        <f t="shared" si="31"/>
        <v/>
      </c>
      <c r="C85" s="124" t="str">
        <f t="shared" si="31"/>
        <v/>
      </c>
      <c r="D85" s="124" t="str">
        <f t="shared" si="31"/>
        <v/>
      </c>
      <c r="E85" s="124" t="str">
        <f t="shared" si="31"/>
        <v/>
      </c>
      <c r="F85" s="124" t="str">
        <f t="shared" si="31"/>
        <v/>
      </c>
      <c r="G85" s="124" t="str">
        <f t="shared" si="31"/>
        <v/>
      </c>
      <c r="H85" s="12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Schmid</v>
      </c>
      <c r="B86" s="124">
        <f t="shared" si="32"/>
        <v>1</v>
      </c>
      <c r="C86" s="124">
        <f t="shared" si="32"/>
        <v>23</v>
      </c>
      <c r="D86" s="124">
        <f t="shared" si="32"/>
        <v>7</v>
      </c>
      <c r="E86" s="124">
        <f t="shared" si="32"/>
        <v>0</v>
      </c>
      <c r="F86" s="124">
        <f t="shared" si="32"/>
        <v>15</v>
      </c>
      <c r="G86" s="124">
        <f t="shared" si="32"/>
        <v>1</v>
      </c>
      <c r="H86" s="124">
        <f t="shared" si="32"/>
        <v>23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Kian</v>
      </c>
      <c r="B87" s="124">
        <f t="shared" si="33"/>
        <v>2</v>
      </c>
      <c r="C87" s="124">
        <f t="shared" si="33"/>
        <v>13</v>
      </c>
      <c r="D87" s="124">
        <f t="shared" si="33"/>
        <v>7</v>
      </c>
      <c r="E87" s="124">
        <f t="shared" si="33"/>
        <v>0</v>
      </c>
      <c r="F87" s="124">
        <f t="shared" si="33"/>
        <v>4</v>
      </c>
      <c r="G87" s="124">
        <f t="shared" si="33"/>
        <v>2</v>
      </c>
      <c r="H87" s="124">
        <f t="shared" si="33"/>
        <v>28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Hando</v>
      </c>
      <c r="B88" s="4">
        <f t="shared" si="34"/>
        <v>4</v>
      </c>
      <c r="C88" s="4">
        <f t="shared" si="34"/>
        <v>15</v>
      </c>
      <c r="D88" s="4">
        <f t="shared" si="34"/>
        <v>10</v>
      </c>
      <c r="E88" s="4">
        <f t="shared" si="34"/>
        <v>0</v>
      </c>
      <c r="F88" s="4">
        <f t="shared" si="34"/>
        <v>5</v>
      </c>
      <c r="G88" s="4">
        <f t="shared" si="34"/>
        <v>0</v>
      </c>
      <c r="H88" s="4">
        <f t="shared" si="34"/>
        <v>26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Petric</v>
      </c>
      <c r="B89" s="124">
        <f t="shared" si="35"/>
        <v>3</v>
      </c>
      <c r="C89" s="124">
        <f t="shared" si="35"/>
        <v>11</v>
      </c>
      <c r="D89" s="124">
        <f t="shared" si="35"/>
        <v>5</v>
      </c>
      <c r="E89" s="124">
        <f t="shared" si="35"/>
        <v>0</v>
      </c>
      <c r="F89" s="124">
        <f t="shared" si="35"/>
        <v>6</v>
      </c>
      <c r="G89" s="124">
        <f t="shared" si="35"/>
        <v>0</v>
      </c>
      <c r="H89" s="124">
        <f t="shared" si="35"/>
        <v>27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Mike Zhou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Cole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91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0.3669354839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Migos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Win</v>
      </c>
      <c r="F101" s="4" t="str">
        <f t="shared" si="47"/>
        <v/>
      </c>
      <c r="G101" s="177" t="str">
        <f t="shared" si="47"/>
        <v>Margin</v>
      </c>
      <c r="H101" s="124">
        <f t="shared" si="47"/>
        <v>9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Leo</v>
      </c>
      <c r="B103" s="124">
        <f t="shared" si="49"/>
        <v>6</v>
      </c>
      <c r="C103" s="124">
        <f t="shared" si="49"/>
        <v>25</v>
      </c>
      <c r="D103" s="124">
        <f t="shared" si="49"/>
        <v>12</v>
      </c>
      <c r="E103" s="124">
        <f t="shared" si="49"/>
        <v>1</v>
      </c>
      <c r="F103" s="124">
        <f t="shared" si="49"/>
        <v>9</v>
      </c>
      <c r="G103" s="124">
        <f t="shared" si="49"/>
        <v>3</v>
      </c>
      <c r="H103" s="124">
        <f t="shared" si="49"/>
        <v>26</v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Seb</v>
      </c>
      <c r="B104" s="124" t="str">
        <f t="shared" si="50"/>
        <v/>
      </c>
      <c r="C104" s="124" t="str">
        <f t="shared" si="50"/>
        <v/>
      </c>
      <c r="D104" s="124" t="str">
        <f t="shared" si="50"/>
        <v/>
      </c>
      <c r="E104" s="124" t="str">
        <f t="shared" si="50"/>
        <v/>
      </c>
      <c r="F104" s="124" t="str">
        <f t="shared" si="50"/>
        <v/>
      </c>
      <c r="G104" s="124" t="str">
        <f t="shared" si="50"/>
        <v/>
      </c>
      <c r="H104" s="12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Fritz</v>
      </c>
      <c r="B105" s="4">
        <f t="shared" si="51"/>
        <v>1</v>
      </c>
      <c r="C105" s="4">
        <f t="shared" si="51"/>
        <v>18</v>
      </c>
      <c r="D105" s="4">
        <f t="shared" si="51"/>
        <v>6</v>
      </c>
      <c r="E105" s="4">
        <f t="shared" si="51"/>
        <v>2</v>
      </c>
      <c r="F105" s="4">
        <f t="shared" si="51"/>
        <v>7</v>
      </c>
      <c r="G105" s="4">
        <f t="shared" si="51"/>
        <v>3</v>
      </c>
      <c r="H105" s="4">
        <f t="shared" si="51"/>
        <v>26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Arnav</v>
      </c>
      <c r="B106" s="124">
        <f t="shared" si="52"/>
        <v>5</v>
      </c>
      <c r="C106" s="124">
        <f t="shared" si="52"/>
        <v>18</v>
      </c>
      <c r="D106" s="124">
        <f t="shared" si="52"/>
        <v>10</v>
      </c>
      <c r="E106" s="124">
        <f t="shared" si="52"/>
        <v>2</v>
      </c>
      <c r="F106" s="124">
        <f t="shared" si="52"/>
        <v>3</v>
      </c>
      <c r="G106" s="124">
        <f t="shared" si="52"/>
        <v>3</v>
      </c>
      <c r="H106" s="124">
        <f t="shared" si="52"/>
        <v>28</v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Lanuza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Samos</v>
      </c>
      <c r="B108" s="124">
        <f t="shared" si="54"/>
        <v>4</v>
      </c>
      <c r="C108" s="124">
        <f t="shared" si="54"/>
        <v>12</v>
      </c>
      <c r="D108" s="124">
        <f t="shared" si="54"/>
        <v>1</v>
      </c>
      <c r="E108" s="124">
        <f t="shared" si="54"/>
        <v>0</v>
      </c>
      <c r="F108" s="124">
        <f t="shared" si="54"/>
        <v>9</v>
      </c>
      <c r="G108" s="124">
        <f t="shared" si="54"/>
        <v>2</v>
      </c>
      <c r="H108" s="124">
        <f t="shared" si="54"/>
        <v>28</v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Kyi</v>
      </c>
      <c r="B109" s="4">
        <f t="shared" si="55"/>
        <v>3</v>
      </c>
      <c r="C109" s="4">
        <f t="shared" si="55"/>
        <v>15</v>
      </c>
      <c r="D109" s="4">
        <f t="shared" si="55"/>
        <v>3</v>
      </c>
      <c r="E109" s="4">
        <f t="shared" si="55"/>
        <v>0</v>
      </c>
      <c r="F109" s="4">
        <f t="shared" si="55"/>
        <v>12</v>
      </c>
      <c r="G109" s="4">
        <f t="shared" si="55"/>
        <v>0</v>
      </c>
      <c r="H109" s="4">
        <f t="shared" si="55"/>
        <v>29</v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TC</v>
      </c>
      <c r="B110" s="124">
        <f t="shared" si="56"/>
        <v>2</v>
      </c>
      <c r="C110" s="124">
        <f t="shared" si="56"/>
        <v>12</v>
      </c>
      <c r="D110" s="124">
        <f t="shared" si="56"/>
        <v>8</v>
      </c>
      <c r="E110" s="124">
        <f t="shared" si="56"/>
        <v>0</v>
      </c>
      <c r="F110" s="124">
        <f t="shared" si="56"/>
        <v>4</v>
      </c>
      <c r="G110" s="124">
        <f t="shared" si="56"/>
        <v>0</v>
      </c>
      <c r="H110" s="124">
        <f t="shared" si="56"/>
        <v>28</v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Adi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/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100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0.3773584906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0"/>
      <c r="J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Schedule'!I3</f>
        <v>Candice?</v>
      </c>
      <c r="D1" s="4" t="s">
        <v>176</v>
      </c>
      <c r="E1" s="4" t="str">
        <f>if(C19&gt;L19, "Win", "Loss")</f>
        <v>Loss</v>
      </c>
      <c r="G1" s="75" t="s">
        <v>177</v>
      </c>
      <c r="H1" s="128">
        <f>C19-L19</f>
        <v>-11</v>
      </c>
      <c r="I1" s="178" t="s">
        <v>214</v>
      </c>
      <c r="J1" s="165" t="str">
        <f>'Full Schedule'!J3</f>
        <v>Gargantuan</v>
      </c>
      <c r="M1" s="75" t="s">
        <v>176</v>
      </c>
      <c r="N1" s="128" t="str">
        <f>if(L19&gt;C19, "Win", "Loss")</f>
        <v>Win</v>
      </c>
      <c r="P1" s="75" t="s">
        <v>177</v>
      </c>
      <c r="Q1" s="128">
        <f>L19-C19</f>
        <v>11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75">
        <v>5.0</v>
      </c>
      <c r="C3" s="181">
        <f t="shared" ref="C3:C17" si="1">if(sum(D3:G3)&gt;0, sum(D3:G3), "")</f>
        <v>15</v>
      </c>
      <c r="D3" s="75">
        <v>8.0</v>
      </c>
      <c r="E3" s="75">
        <v>1.0</v>
      </c>
      <c r="F3" s="75">
        <v>5.0</v>
      </c>
      <c r="G3" s="75">
        <v>1.0</v>
      </c>
      <c r="H3" s="75">
        <v>28.0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Maas</v>
      </c>
      <c r="K3" s="75">
        <v>6.0</v>
      </c>
      <c r="L3" s="181">
        <f t="shared" ref="L3:L17" si="2">if(sum(M3:P3)&gt;0, sum(M3:P3), "")</f>
        <v>19</v>
      </c>
      <c r="M3" s="75">
        <v>6.0</v>
      </c>
      <c r="N3" s="75">
        <v>2.0</v>
      </c>
      <c r="O3" s="75">
        <v>5.0</v>
      </c>
      <c r="P3" s="75">
        <v>6.0</v>
      </c>
      <c r="Q3" s="75">
        <v>23.0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 Y</v>
      </c>
      <c r="B4" s="75">
        <v>6.0</v>
      </c>
      <c r="C4" s="146">
        <f t="shared" si="1"/>
        <v>14</v>
      </c>
      <c r="D4" s="75">
        <v>7.0</v>
      </c>
      <c r="E4" s="75">
        <v>4.0</v>
      </c>
      <c r="F4" s="75">
        <v>2.0</v>
      </c>
      <c r="G4" s="75">
        <v>1.0</v>
      </c>
      <c r="H4" s="75">
        <v>23.0</v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Hawkins</v>
      </c>
      <c r="K4" s="75">
        <v>1.0</v>
      </c>
      <c r="L4" s="146">
        <f t="shared" si="2"/>
        <v>11</v>
      </c>
      <c r="M4" s="75">
        <v>2.0</v>
      </c>
      <c r="N4" s="75">
        <v>0.0</v>
      </c>
      <c r="O4" s="75">
        <v>9.0</v>
      </c>
      <c r="P4" s="75">
        <v>0.0</v>
      </c>
      <c r="Q4" s="75">
        <v>27.0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Porco</v>
      </c>
      <c r="C5" s="4" t="str">
        <f t="shared" si="1"/>
        <v/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Grish</v>
      </c>
      <c r="K5" s="75">
        <v>5.0</v>
      </c>
      <c r="L5" s="4">
        <f t="shared" si="2"/>
        <v>20</v>
      </c>
      <c r="M5" s="75">
        <v>12.0</v>
      </c>
      <c r="N5" s="75">
        <v>1.0</v>
      </c>
      <c r="O5" s="75">
        <v>7.0</v>
      </c>
      <c r="P5" s="75">
        <v>0.0</v>
      </c>
      <c r="Q5" s="75">
        <v>26.0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Marmo</v>
      </c>
      <c r="B6" s="75">
        <v>1.0</v>
      </c>
      <c r="C6" s="4">
        <f t="shared" si="1"/>
        <v>22</v>
      </c>
      <c r="D6" s="75">
        <v>2.0</v>
      </c>
      <c r="E6" s="75">
        <v>0.0</v>
      </c>
      <c r="F6" s="75">
        <v>20.0</v>
      </c>
      <c r="G6" s="75">
        <v>0.0</v>
      </c>
      <c r="H6" s="75">
        <v>25.0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Rockett</v>
      </c>
      <c r="K6" s="75">
        <v>2.0</v>
      </c>
      <c r="L6" s="4">
        <f t="shared" si="2"/>
        <v>19</v>
      </c>
      <c r="M6" s="75">
        <v>6.0</v>
      </c>
      <c r="N6" s="75">
        <v>2.0</v>
      </c>
      <c r="O6" s="75">
        <v>10.0</v>
      </c>
      <c r="P6" s="75">
        <v>1.0</v>
      </c>
      <c r="Q6" s="75">
        <v>24.0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Swit</v>
      </c>
      <c r="B7" s="75">
        <v>3.0</v>
      </c>
      <c r="C7" s="146">
        <f t="shared" si="1"/>
        <v>10</v>
      </c>
      <c r="D7" s="75">
        <v>6.0</v>
      </c>
      <c r="E7" s="75">
        <v>0.0</v>
      </c>
      <c r="F7" s="75">
        <v>4.0</v>
      </c>
      <c r="G7" s="75">
        <v>0.0</v>
      </c>
      <c r="H7" s="75">
        <v>28.0</v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Du</v>
      </c>
      <c r="L7" s="146" t="str">
        <f t="shared" si="2"/>
        <v/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Emi</v>
      </c>
      <c r="B8" s="75">
        <v>4.0</v>
      </c>
      <c r="C8" s="146">
        <f t="shared" si="1"/>
        <v>14</v>
      </c>
      <c r="D8" s="75">
        <v>5.0</v>
      </c>
      <c r="E8" s="75">
        <v>0.0</v>
      </c>
      <c r="F8" s="75">
        <v>8.0</v>
      </c>
      <c r="G8" s="75">
        <v>1.0</v>
      </c>
      <c r="H8" s="75">
        <v>26.0</v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Raymond</v>
      </c>
      <c r="L8" s="146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SoHo</v>
      </c>
      <c r="B9" s="75">
        <v>2.0</v>
      </c>
      <c r="C9" s="146">
        <f t="shared" si="1"/>
        <v>14</v>
      </c>
      <c r="D9" s="75">
        <v>9.0</v>
      </c>
      <c r="E9" s="75">
        <v>0.0</v>
      </c>
      <c r="F9" s="75">
        <v>5.0</v>
      </c>
      <c r="G9" s="75">
        <v>0.0</v>
      </c>
      <c r="H9" s="75">
        <v>28.0</v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Derek</v>
      </c>
      <c r="K9" s="75">
        <v>3.0</v>
      </c>
      <c r="L9" s="146">
        <f t="shared" si="2"/>
        <v>18</v>
      </c>
      <c r="M9" s="75">
        <v>5.0</v>
      </c>
      <c r="N9" s="75">
        <v>0.0</v>
      </c>
      <c r="O9" s="75">
        <v>13.0</v>
      </c>
      <c r="P9" s="75">
        <v>0.0</v>
      </c>
      <c r="Q9" s="75">
        <v>25.0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/>
      </c>
      <c r="C10" s="146" t="str">
        <f t="shared" si="1"/>
        <v/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Neo</v>
      </c>
      <c r="L10" s="146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/>
      </c>
      <c r="C11" s="4" t="str">
        <f t="shared" si="1"/>
        <v/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Brendan</v>
      </c>
      <c r="K11" s="75">
        <v>4.0</v>
      </c>
      <c r="L11" s="4">
        <f t="shared" si="2"/>
        <v>13</v>
      </c>
      <c r="M11" s="75">
        <v>8.0</v>
      </c>
      <c r="N11" s="75">
        <v>1.0</v>
      </c>
      <c r="O11" s="75">
        <v>4.0</v>
      </c>
      <c r="P11" s="75">
        <v>0.0</v>
      </c>
      <c r="Q11" s="75">
        <v>26.0</v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Hanono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89</v>
      </c>
      <c r="D19" s="184"/>
      <c r="E19" s="184"/>
      <c r="F19" s="184"/>
      <c r="G19" s="184"/>
      <c r="H19" s="175">
        <f>sum(C3:C17)/(sum(C3:C17)+sum(H3:H17))</f>
        <v>0.3603238866</v>
      </c>
      <c r="I19" s="180"/>
      <c r="J19" s="182" t="s">
        <v>184</v>
      </c>
      <c r="K19" s="183"/>
      <c r="L19" s="183">
        <f>sum(L3:L18)</f>
        <v>100</v>
      </c>
      <c r="M19" s="184"/>
      <c r="N19" s="184"/>
      <c r="O19" s="184"/>
      <c r="P19" s="184"/>
      <c r="Q19" s="175">
        <f>sum(L3:L17)/(sum(L3:L17)+sum(Q3:Q17))</f>
        <v>0.3984063745</v>
      </c>
    </row>
    <row r="20">
      <c r="A20" s="4"/>
      <c r="I20" s="180"/>
      <c r="J20" s="4"/>
    </row>
    <row r="21">
      <c r="A21" s="161" t="str">
        <f>'Full Schedule'!I4</f>
        <v>Team E</v>
      </c>
      <c r="D21" s="4" t="s">
        <v>176</v>
      </c>
      <c r="E21" s="4" t="str">
        <f>if(C39&gt;L39, "Win", "Loss")</f>
        <v>Loss</v>
      </c>
      <c r="G21" s="75" t="s">
        <v>177</v>
      </c>
      <c r="H21" s="128">
        <f>C39-L39</f>
        <v>-23</v>
      </c>
      <c r="I21" s="178" t="s">
        <v>214</v>
      </c>
      <c r="J21" s="161" t="str">
        <f>'Full Schedule'!J4</f>
        <v>Team C</v>
      </c>
      <c r="M21" s="75" t="s">
        <v>176</v>
      </c>
      <c r="N21" s="128" t="str">
        <f>if(L39&gt;C39, "Win", "Loss")</f>
        <v>Win</v>
      </c>
      <c r="P21" s="75" t="s">
        <v>177</v>
      </c>
      <c r="Q21" s="128">
        <f>L39-C39</f>
        <v>23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Taran</v>
      </c>
      <c r="B23" s="75">
        <v>6.0</v>
      </c>
      <c r="C23" s="181">
        <f t="shared" ref="C23:C37" si="3">if(sum(D23:G23)&gt;0, sum(D23:G23), "")</f>
        <v>17</v>
      </c>
      <c r="D23" s="75">
        <v>9.0</v>
      </c>
      <c r="E23" s="75">
        <v>2.0</v>
      </c>
      <c r="F23" s="75">
        <v>5.0</v>
      </c>
      <c r="G23" s="75">
        <v>1.0</v>
      </c>
      <c r="H23" s="75">
        <v>20.0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75">
        <v>6.0</v>
      </c>
      <c r="L23" s="181">
        <f t="shared" ref="L23:L37" si="4">if(sum(M23:P23)&gt;0, sum(M23:P23), "")</f>
        <v>8</v>
      </c>
      <c r="M23" s="75">
        <v>6.0</v>
      </c>
      <c r="N23" s="75">
        <v>0.0</v>
      </c>
      <c r="O23" s="75">
        <v>2.0</v>
      </c>
      <c r="P23" s="75">
        <v>0.0</v>
      </c>
      <c r="Q23" s="75">
        <v>22.0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Miguel F</v>
      </c>
      <c r="C24" s="146" t="str">
        <f t="shared" si="3"/>
        <v/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</v>
      </c>
      <c r="K24" s="75">
        <v>5.0</v>
      </c>
      <c r="L24" s="146">
        <f t="shared" si="4"/>
        <v>27</v>
      </c>
      <c r="M24" s="75">
        <v>6.0</v>
      </c>
      <c r="N24" s="75">
        <v>2.0</v>
      </c>
      <c r="O24" s="75">
        <v>15.0</v>
      </c>
      <c r="P24" s="75">
        <v>4.0</v>
      </c>
      <c r="Q24" s="75">
        <v>17.0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Mike H</v>
      </c>
      <c r="B25" s="75">
        <v>1.0</v>
      </c>
      <c r="C25" s="4">
        <f t="shared" si="3"/>
        <v>13</v>
      </c>
      <c r="D25" s="75">
        <v>7.0</v>
      </c>
      <c r="E25" s="75">
        <v>0.0</v>
      </c>
      <c r="F25" s="75">
        <v>6.0</v>
      </c>
      <c r="G25" s="75">
        <v>0.0</v>
      </c>
      <c r="H25" s="75">
        <v>20.0</v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Nikita S</v>
      </c>
      <c r="L25" s="4" t="str">
        <f t="shared" si="4"/>
        <v/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Madams</v>
      </c>
      <c r="B26" s="75">
        <v>4.0</v>
      </c>
      <c r="C26" s="4">
        <f t="shared" si="3"/>
        <v>20</v>
      </c>
      <c r="D26" s="75">
        <v>11.0</v>
      </c>
      <c r="E26" s="75">
        <v>2.0</v>
      </c>
      <c r="F26" s="75">
        <v>5.0</v>
      </c>
      <c r="G26" s="75">
        <v>2.0</v>
      </c>
      <c r="H26" s="75">
        <v>21.0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Sonne</v>
      </c>
      <c r="K26" s="75">
        <v>4.0</v>
      </c>
      <c r="L26" s="4">
        <f t="shared" si="4"/>
        <v>7</v>
      </c>
      <c r="M26" s="75">
        <v>2.0</v>
      </c>
      <c r="N26" s="75">
        <v>0.0</v>
      </c>
      <c r="O26" s="75">
        <v>5.0</v>
      </c>
      <c r="P26" s="75">
        <v>0.0</v>
      </c>
      <c r="Q26" s="75">
        <v>24.0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Jay S</v>
      </c>
      <c r="B27" s="75">
        <v>2.0</v>
      </c>
      <c r="C27" s="146">
        <f t="shared" si="3"/>
        <v>9</v>
      </c>
      <c r="D27" s="75">
        <v>6.0</v>
      </c>
      <c r="E27" s="75">
        <v>2.0</v>
      </c>
      <c r="F27" s="75">
        <v>1.0</v>
      </c>
      <c r="G27" s="75">
        <v>0.0</v>
      </c>
      <c r="H27" s="75">
        <v>24.0</v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Crosby</v>
      </c>
      <c r="K27" s="75">
        <v>1.0</v>
      </c>
      <c r="L27" s="146">
        <f t="shared" si="4"/>
        <v>20</v>
      </c>
      <c r="M27" s="75">
        <v>7.0</v>
      </c>
      <c r="N27" s="75">
        <v>1.0</v>
      </c>
      <c r="O27" s="75">
        <v>11.0</v>
      </c>
      <c r="P27" s="75">
        <v>1.0</v>
      </c>
      <c r="Q27" s="75">
        <v>21.0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Tripp</v>
      </c>
      <c r="C28" s="146" t="str">
        <f t="shared" si="3"/>
        <v/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Kevin Zhou</v>
      </c>
      <c r="K28" s="75">
        <v>2.0</v>
      </c>
      <c r="L28" s="146">
        <f t="shared" si="4"/>
        <v>23</v>
      </c>
      <c r="M28" s="75">
        <v>14.0</v>
      </c>
      <c r="N28" s="75">
        <v>1.0</v>
      </c>
      <c r="O28" s="75">
        <v>8.0</v>
      </c>
      <c r="P28" s="75">
        <v>0.0</v>
      </c>
      <c r="Q28" s="75">
        <v>20.0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Lulu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Somil</v>
      </c>
      <c r="L29" s="146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Ilt</v>
      </c>
      <c r="B30" s="75">
        <v>3.0</v>
      </c>
      <c r="C30" s="146">
        <f t="shared" si="3"/>
        <v>9</v>
      </c>
      <c r="D30" s="75">
        <v>1.0</v>
      </c>
      <c r="E30" s="75">
        <v>0.0</v>
      </c>
      <c r="F30" s="75">
        <v>8.0</v>
      </c>
      <c r="G30" s="75">
        <v>0.0</v>
      </c>
      <c r="H30" s="75">
        <v>21.0</v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Suyoag</v>
      </c>
      <c r="L30" s="146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Pasha</v>
      </c>
      <c r="C31" s="4" t="str">
        <f t="shared" si="3"/>
        <v/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Will Ho</v>
      </c>
      <c r="K31" s="75">
        <v>3.0</v>
      </c>
      <c r="L31" s="4">
        <f t="shared" si="4"/>
        <v>15</v>
      </c>
      <c r="M31" s="75">
        <v>4.0</v>
      </c>
      <c r="N31" s="75">
        <v>2.0</v>
      </c>
      <c r="O31" s="75">
        <v>9.0</v>
      </c>
      <c r="P31" s="75">
        <v>0.0</v>
      </c>
      <c r="Q31" s="75">
        <v>21.0</v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Nagle</v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C38" s="75">
        <v>9.0</v>
      </c>
      <c r="I38" s="180"/>
      <c r="J38" s="163" t="s">
        <v>221</v>
      </c>
    </row>
    <row r="39">
      <c r="A39" s="182" t="s">
        <v>184</v>
      </c>
      <c r="B39" s="183"/>
      <c r="C39" s="183">
        <f>sum(C23:C38)</f>
        <v>77</v>
      </c>
      <c r="D39" s="184"/>
      <c r="E39" s="184"/>
      <c r="F39" s="184"/>
      <c r="G39" s="184"/>
      <c r="H39" s="175">
        <f>sum(C23:C37)/(sum(C23:C37)+sum(H23:H37))</f>
        <v>0.3908045977</v>
      </c>
      <c r="I39" s="180"/>
      <c r="J39" s="182" t="s">
        <v>184</v>
      </c>
      <c r="K39" s="183"/>
      <c r="L39" s="183">
        <f>sum(L23:L38)</f>
        <v>100</v>
      </c>
      <c r="M39" s="184"/>
      <c r="N39" s="184"/>
      <c r="O39" s="184"/>
      <c r="P39" s="184"/>
      <c r="Q39" s="175">
        <f>sum(L23:L37)/(sum(L23:L37)+sum(Q23:Q37))</f>
        <v>0.4444444444</v>
      </c>
    </row>
    <row r="40">
      <c r="A40" s="4"/>
      <c r="I40" s="180"/>
      <c r="J40" s="4"/>
    </row>
    <row r="41">
      <c r="A41" s="161" t="str">
        <f>'Full Schedule'!I5</f>
        <v>Team F</v>
      </c>
      <c r="D41" s="4" t="s">
        <v>176</v>
      </c>
      <c r="E41" s="4" t="str">
        <f>if(C59&gt;L59, "Win", "Loss")</f>
        <v>Loss</v>
      </c>
      <c r="G41" s="75" t="s">
        <v>177</v>
      </c>
      <c r="H41" s="128">
        <f>C59-L59</f>
        <v>-1</v>
      </c>
      <c r="I41" s="178" t="s">
        <v>214</v>
      </c>
      <c r="J41" s="161" t="str">
        <f>'Full Schedule'!J5</f>
        <v>Migos</v>
      </c>
      <c r="M41" s="75" t="s">
        <v>176</v>
      </c>
      <c r="N41" s="128" t="str">
        <f>if(L59&gt;C59, "Win", "Loss")</f>
        <v>Win</v>
      </c>
      <c r="P41" s="75" t="s">
        <v>177</v>
      </c>
      <c r="Q41" s="128">
        <f>L59-C59</f>
        <v>1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BXu</v>
      </c>
      <c r="B43" s="146">
        <v>5.0</v>
      </c>
      <c r="C43" s="181">
        <f t="shared" ref="C43:C57" si="5">if(sum(D43:G43)&gt;0, sum(D43:G43), "")</f>
        <v>14</v>
      </c>
      <c r="D43" s="146">
        <v>6.0</v>
      </c>
      <c r="E43" s="146">
        <v>0.0</v>
      </c>
      <c r="F43" s="146">
        <v>5.0</v>
      </c>
      <c r="G43" s="146">
        <v>3.0</v>
      </c>
      <c r="H43" s="146">
        <v>31.0</v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Leo</v>
      </c>
      <c r="K43" s="75">
        <v>2.0</v>
      </c>
      <c r="L43" s="181">
        <f t="shared" ref="L43:L57" si="6">if(sum(M43:P43)&gt;0, sum(M43:P43), "")</f>
        <v>16</v>
      </c>
      <c r="M43" s="75">
        <v>9.0</v>
      </c>
      <c r="N43" s="75">
        <v>0.0</v>
      </c>
      <c r="O43" s="75">
        <v>7.0</v>
      </c>
      <c r="P43" s="75">
        <v>0.0</v>
      </c>
      <c r="Q43" s="75">
        <v>33.0</v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JChan</v>
      </c>
      <c r="B44" s="146">
        <v>6.0</v>
      </c>
      <c r="C44" s="146">
        <f t="shared" si="5"/>
        <v>14</v>
      </c>
      <c r="D44" s="146">
        <v>7.0</v>
      </c>
      <c r="E44" s="146">
        <v>3.0</v>
      </c>
      <c r="F44" s="146">
        <v>3.0</v>
      </c>
      <c r="G44" s="146">
        <v>1.0</v>
      </c>
      <c r="H44" s="146">
        <v>33.0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Seb</v>
      </c>
      <c r="K44" s="75">
        <v>6.0</v>
      </c>
      <c r="L44" s="146">
        <f t="shared" si="6"/>
        <v>17</v>
      </c>
      <c r="M44" s="75">
        <v>3.0</v>
      </c>
      <c r="N44" s="75">
        <v>4.0</v>
      </c>
      <c r="O44" s="75">
        <v>8.0</v>
      </c>
      <c r="P44" s="75">
        <v>2.0</v>
      </c>
      <c r="Q44" s="75">
        <v>29.0</v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DC</v>
      </c>
      <c r="B45" s="146">
        <v>2.0</v>
      </c>
      <c r="C45" s="146">
        <f t="shared" si="5"/>
        <v>16</v>
      </c>
      <c r="D45" s="146">
        <v>14.0</v>
      </c>
      <c r="E45" s="146">
        <v>1.0</v>
      </c>
      <c r="F45" s="146">
        <v>1.0</v>
      </c>
      <c r="G45" s="146">
        <v>0.0</v>
      </c>
      <c r="H45" s="146">
        <v>31.0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Fritz</v>
      </c>
      <c r="K45" s="75">
        <v>1.0</v>
      </c>
      <c r="L45" s="4">
        <f t="shared" si="6"/>
        <v>15</v>
      </c>
      <c r="M45" s="75">
        <v>5.0</v>
      </c>
      <c r="N45" s="75">
        <v>1.0</v>
      </c>
      <c r="O45" s="75">
        <v>6.0</v>
      </c>
      <c r="P45" s="75">
        <v>3.0</v>
      </c>
      <c r="Q45" s="75">
        <v>32.0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Schmid</v>
      </c>
      <c r="B46" s="146">
        <v>1.0</v>
      </c>
      <c r="C46" s="146">
        <f t="shared" si="5"/>
        <v>24</v>
      </c>
      <c r="D46" s="146">
        <v>3.0</v>
      </c>
      <c r="E46" s="146">
        <v>0.0</v>
      </c>
      <c r="F46" s="146">
        <v>18.0</v>
      </c>
      <c r="G46" s="146">
        <v>3.0</v>
      </c>
      <c r="H46" s="146">
        <v>29.0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Arnav</v>
      </c>
      <c r="K46" s="75">
        <v>5.0</v>
      </c>
      <c r="L46" s="4">
        <f t="shared" si="6"/>
        <v>17</v>
      </c>
      <c r="M46" s="75">
        <v>13.0</v>
      </c>
      <c r="N46" s="75">
        <v>2.0</v>
      </c>
      <c r="O46" s="75">
        <v>2.0</v>
      </c>
      <c r="P46" s="75">
        <v>0.0</v>
      </c>
      <c r="Q46" s="75">
        <v>30.0</v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146">
        <v>4.0</v>
      </c>
      <c r="C47" s="146">
        <f t="shared" si="5"/>
        <v>14</v>
      </c>
      <c r="D47" s="146">
        <v>5.0</v>
      </c>
      <c r="E47" s="146">
        <v>3.0</v>
      </c>
      <c r="F47" s="146">
        <v>5.0</v>
      </c>
      <c r="G47" s="146">
        <v>1.0</v>
      </c>
      <c r="H47" s="146">
        <v>33.0</v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Lanuza</v>
      </c>
      <c r="L47" s="146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B48" s="4"/>
      <c r="C48" s="4" t="str">
        <f t="shared" si="5"/>
        <v/>
      </c>
      <c r="D48" s="4"/>
      <c r="E48" s="4"/>
      <c r="F48" s="4"/>
      <c r="G48" s="4"/>
      <c r="H48" s="4"/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Samos</v>
      </c>
      <c r="K48" s="75">
        <v>4.0</v>
      </c>
      <c r="L48" s="146">
        <f t="shared" si="6"/>
        <v>18</v>
      </c>
      <c r="M48" s="75">
        <v>4.0</v>
      </c>
      <c r="N48" s="75">
        <v>1.0</v>
      </c>
      <c r="O48" s="75">
        <v>11.0</v>
      </c>
      <c r="P48" s="75">
        <v>2.0</v>
      </c>
      <c r="Q48" s="75">
        <v>31.0</v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Petric</v>
      </c>
      <c r="B49" s="4"/>
      <c r="C49" s="4" t="str">
        <f t="shared" si="5"/>
        <v/>
      </c>
      <c r="D49" s="4"/>
      <c r="E49" s="4"/>
      <c r="F49" s="4"/>
      <c r="G49" s="4"/>
      <c r="H49" s="4"/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Kyi</v>
      </c>
      <c r="L49" s="146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Mike Zhou</v>
      </c>
      <c r="B50" s="4"/>
      <c r="C50" s="4" t="str">
        <f t="shared" si="5"/>
        <v/>
      </c>
      <c r="D50" s="4"/>
      <c r="E50" s="4"/>
      <c r="F50" s="4"/>
      <c r="G50" s="4"/>
      <c r="H50" s="4"/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TC</v>
      </c>
      <c r="K50" s="75">
        <v>3.0</v>
      </c>
      <c r="L50" s="146">
        <f t="shared" si="6"/>
        <v>17</v>
      </c>
      <c r="M50" s="75">
        <v>3.0</v>
      </c>
      <c r="N50" s="75">
        <v>0.0</v>
      </c>
      <c r="O50" s="75">
        <v>14.0</v>
      </c>
      <c r="P50" s="75">
        <v>0.0</v>
      </c>
      <c r="Q50" s="75">
        <v>28.0</v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Cole</v>
      </c>
      <c r="B51" s="146">
        <v>3.0</v>
      </c>
      <c r="C51" s="146">
        <f t="shared" si="5"/>
        <v>18</v>
      </c>
      <c r="D51" s="146">
        <v>3.0</v>
      </c>
      <c r="E51" s="146">
        <v>0.0</v>
      </c>
      <c r="F51" s="146">
        <v>15.0</v>
      </c>
      <c r="G51" s="146">
        <v>0.0</v>
      </c>
      <c r="H51" s="146">
        <v>31.0</v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Adi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/>
      </c>
      <c r="C52" s="4" t="str">
        <f t="shared" si="5"/>
        <v/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/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I58" s="180"/>
      <c r="J58" s="163" t="s">
        <v>221</v>
      </c>
      <c r="L58" s="75">
        <v>1.0</v>
      </c>
    </row>
    <row r="59">
      <c r="A59" s="182" t="s">
        <v>184</v>
      </c>
      <c r="B59" s="183"/>
      <c r="C59" s="183">
        <f>sum(C43:C58)</f>
        <v>100</v>
      </c>
      <c r="D59" s="184"/>
      <c r="E59" s="184"/>
      <c r="F59" s="184"/>
      <c r="G59" s="184"/>
      <c r="H59" s="175">
        <f>sum(C43:C57)/(sum(C43:C57)+sum(H43:H57))</f>
        <v>0.3472222222</v>
      </c>
      <c r="I59" s="180"/>
      <c r="J59" s="182" t="s">
        <v>184</v>
      </c>
      <c r="K59" s="183"/>
      <c r="L59" s="183">
        <f>sum(L43:L58)</f>
        <v>101</v>
      </c>
      <c r="M59" s="184"/>
      <c r="N59" s="184"/>
      <c r="O59" s="184"/>
      <c r="P59" s="184"/>
      <c r="Q59" s="175">
        <f>sum(L43:L57)/(sum(L43:L57)+sum(Q43:Q57))</f>
        <v>0.3533568905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Gargantuan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Win</v>
      </c>
      <c r="F61" s="4" t="str">
        <f t="shared" si="7"/>
        <v/>
      </c>
      <c r="G61" s="177" t="str">
        <f t="shared" si="7"/>
        <v>Margin</v>
      </c>
      <c r="H61" s="124">
        <f t="shared" si="7"/>
        <v>11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Maas</v>
      </c>
      <c r="B63" s="124">
        <f t="shared" si="9"/>
        <v>6</v>
      </c>
      <c r="C63" s="124">
        <f t="shared" si="9"/>
        <v>19</v>
      </c>
      <c r="D63" s="124">
        <f t="shared" si="9"/>
        <v>6</v>
      </c>
      <c r="E63" s="124">
        <f t="shared" si="9"/>
        <v>2</v>
      </c>
      <c r="F63" s="124">
        <f t="shared" si="9"/>
        <v>5</v>
      </c>
      <c r="G63" s="124">
        <f t="shared" si="9"/>
        <v>6</v>
      </c>
      <c r="H63" s="124">
        <f t="shared" si="9"/>
        <v>23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Hawkins</v>
      </c>
      <c r="B64" s="124">
        <f t="shared" si="10"/>
        <v>1</v>
      </c>
      <c r="C64" s="124">
        <f t="shared" si="10"/>
        <v>11</v>
      </c>
      <c r="D64" s="124">
        <f t="shared" si="10"/>
        <v>2</v>
      </c>
      <c r="E64" s="124">
        <f t="shared" si="10"/>
        <v>0</v>
      </c>
      <c r="F64" s="124">
        <f t="shared" si="10"/>
        <v>9</v>
      </c>
      <c r="G64" s="124">
        <f t="shared" si="10"/>
        <v>0</v>
      </c>
      <c r="H64" s="124">
        <f t="shared" si="10"/>
        <v>27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Grish</v>
      </c>
      <c r="B65" s="124">
        <f t="shared" si="11"/>
        <v>5</v>
      </c>
      <c r="C65" s="124">
        <f t="shared" si="11"/>
        <v>20</v>
      </c>
      <c r="D65" s="124">
        <f t="shared" si="11"/>
        <v>12</v>
      </c>
      <c r="E65" s="124">
        <f t="shared" si="11"/>
        <v>1</v>
      </c>
      <c r="F65" s="124">
        <f t="shared" si="11"/>
        <v>7</v>
      </c>
      <c r="G65" s="124">
        <f t="shared" si="11"/>
        <v>0</v>
      </c>
      <c r="H65" s="124">
        <f t="shared" si="11"/>
        <v>26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Rockett</v>
      </c>
      <c r="B66" s="4">
        <f t="shared" si="12"/>
        <v>2</v>
      </c>
      <c r="C66" s="4">
        <f t="shared" si="12"/>
        <v>19</v>
      </c>
      <c r="D66" s="4">
        <f t="shared" si="12"/>
        <v>6</v>
      </c>
      <c r="E66" s="4">
        <f t="shared" si="12"/>
        <v>2</v>
      </c>
      <c r="F66" s="4">
        <f t="shared" si="12"/>
        <v>10</v>
      </c>
      <c r="G66" s="4">
        <f t="shared" si="12"/>
        <v>1</v>
      </c>
      <c r="H66" s="4">
        <f t="shared" si="12"/>
        <v>24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Du</v>
      </c>
      <c r="B67" s="4" t="str">
        <f t="shared" si="13"/>
        <v/>
      </c>
      <c r="C67" s="4" t="str">
        <f t="shared" si="13"/>
        <v/>
      </c>
      <c r="D67" s="4" t="str">
        <f t="shared" si="13"/>
        <v/>
      </c>
      <c r="E67" s="4" t="str">
        <f t="shared" si="13"/>
        <v/>
      </c>
      <c r="F67" s="4" t="str">
        <f t="shared" si="13"/>
        <v/>
      </c>
      <c r="G67" s="4" t="str">
        <f t="shared" si="13"/>
        <v/>
      </c>
      <c r="H67" s="4" t="str">
        <f t="shared" si="13"/>
        <v/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Raymond</v>
      </c>
      <c r="B68" s="124" t="str">
        <f t="shared" si="14"/>
        <v/>
      </c>
      <c r="C68" s="124" t="str">
        <f t="shared" si="14"/>
        <v/>
      </c>
      <c r="D68" s="124" t="str">
        <f t="shared" si="14"/>
        <v/>
      </c>
      <c r="E68" s="124" t="str">
        <f t="shared" si="14"/>
        <v/>
      </c>
      <c r="F68" s="124" t="str">
        <f t="shared" si="14"/>
        <v/>
      </c>
      <c r="G68" s="124" t="str">
        <f t="shared" si="14"/>
        <v/>
      </c>
      <c r="H68" s="12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Derek</v>
      </c>
      <c r="B69" s="124">
        <f t="shared" si="15"/>
        <v>3</v>
      </c>
      <c r="C69" s="124">
        <f t="shared" si="15"/>
        <v>18</v>
      </c>
      <c r="D69" s="124">
        <f t="shared" si="15"/>
        <v>5</v>
      </c>
      <c r="E69" s="124">
        <f t="shared" si="15"/>
        <v>0</v>
      </c>
      <c r="F69" s="124">
        <f t="shared" si="15"/>
        <v>13</v>
      </c>
      <c r="G69" s="124">
        <f t="shared" si="15"/>
        <v>0</v>
      </c>
      <c r="H69" s="124">
        <f t="shared" si="15"/>
        <v>25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>Neo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>Brendan</v>
      </c>
      <c r="B71" s="124">
        <f t="shared" si="17"/>
        <v>4</v>
      </c>
      <c r="C71" s="124">
        <f t="shared" si="17"/>
        <v>13</v>
      </c>
      <c r="D71" s="124">
        <f t="shared" si="17"/>
        <v>8</v>
      </c>
      <c r="E71" s="124">
        <f t="shared" si="17"/>
        <v>1</v>
      </c>
      <c r="F71" s="124">
        <f t="shared" si="17"/>
        <v>4</v>
      </c>
      <c r="G71" s="124">
        <f t="shared" si="17"/>
        <v>0</v>
      </c>
      <c r="H71" s="124">
        <f t="shared" si="17"/>
        <v>26</v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>Hanono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100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0.3984063745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Team C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Win</v>
      </c>
      <c r="F81" s="4" t="str">
        <f t="shared" si="27"/>
        <v/>
      </c>
      <c r="G81" s="177" t="str">
        <f t="shared" si="27"/>
        <v>Margin</v>
      </c>
      <c r="H81" s="124">
        <f t="shared" si="27"/>
        <v>23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Matt</v>
      </c>
      <c r="B83" s="124">
        <f t="shared" si="29"/>
        <v>6</v>
      </c>
      <c r="C83" s="124">
        <f t="shared" si="29"/>
        <v>8</v>
      </c>
      <c r="D83" s="124">
        <f t="shared" si="29"/>
        <v>6</v>
      </c>
      <c r="E83" s="124">
        <f t="shared" si="29"/>
        <v>0</v>
      </c>
      <c r="F83" s="124">
        <f t="shared" si="29"/>
        <v>2</v>
      </c>
      <c r="G83" s="124">
        <f t="shared" si="29"/>
        <v>0</v>
      </c>
      <c r="H83" s="124">
        <f t="shared" si="29"/>
        <v>22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Gid</v>
      </c>
      <c r="B84" s="124">
        <f t="shared" si="30"/>
        <v>5</v>
      </c>
      <c r="C84" s="124">
        <f t="shared" si="30"/>
        <v>27</v>
      </c>
      <c r="D84" s="124">
        <f t="shared" si="30"/>
        <v>6</v>
      </c>
      <c r="E84" s="124">
        <f t="shared" si="30"/>
        <v>2</v>
      </c>
      <c r="F84" s="124">
        <f t="shared" si="30"/>
        <v>15</v>
      </c>
      <c r="G84" s="124">
        <f t="shared" si="30"/>
        <v>4</v>
      </c>
      <c r="H84" s="124">
        <f t="shared" si="30"/>
        <v>17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Nikita S</v>
      </c>
      <c r="B85" s="124" t="str">
        <f t="shared" si="31"/>
        <v/>
      </c>
      <c r="C85" s="124" t="str">
        <f t="shared" si="31"/>
        <v/>
      </c>
      <c r="D85" s="124" t="str">
        <f t="shared" si="31"/>
        <v/>
      </c>
      <c r="E85" s="124" t="str">
        <f t="shared" si="31"/>
        <v/>
      </c>
      <c r="F85" s="124" t="str">
        <f t="shared" si="31"/>
        <v/>
      </c>
      <c r="G85" s="124" t="str">
        <f t="shared" si="31"/>
        <v/>
      </c>
      <c r="H85" s="12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Sonne</v>
      </c>
      <c r="B86" s="124">
        <f t="shared" si="32"/>
        <v>4</v>
      </c>
      <c r="C86" s="124">
        <f t="shared" si="32"/>
        <v>7</v>
      </c>
      <c r="D86" s="124">
        <f t="shared" si="32"/>
        <v>2</v>
      </c>
      <c r="E86" s="124">
        <f t="shared" si="32"/>
        <v>0</v>
      </c>
      <c r="F86" s="124">
        <f t="shared" si="32"/>
        <v>5</v>
      </c>
      <c r="G86" s="124">
        <f t="shared" si="32"/>
        <v>0</v>
      </c>
      <c r="H86" s="124">
        <f t="shared" si="32"/>
        <v>24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Crosby</v>
      </c>
      <c r="B87" s="124">
        <f t="shared" si="33"/>
        <v>1</v>
      </c>
      <c r="C87" s="124">
        <f t="shared" si="33"/>
        <v>20</v>
      </c>
      <c r="D87" s="124">
        <f t="shared" si="33"/>
        <v>7</v>
      </c>
      <c r="E87" s="124">
        <f t="shared" si="33"/>
        <v>1</v>
      </c>
      <c r="F87" s="124">
        <f t="shared" si="33"/>
        <v>11</v>
      </c>
      <c r="G87" s="124">
        <f t="shared" si="33"/>
        <v>1</v>
      </c>
      <c r="H87" s="124">
        <f t="shared" si="33"/>
        <v>21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Kevin Zhou</v>
      </c>
      <c r="B88" s="4">
        <f t="shared" si="34"/>
        <v>2</v>
      </c>
      <c r="C88" s="4">
        <f t="shared" si="34"/>
        <v>23</v>
      </c>
      <c r="D88" s="4">
        <f t="shared" si="34"/>
        <v>14</v>
      </c>
      <c r="E88" s="4">
        <f t="shared" si="34"/>
        <v>1</v>
      </c>
      <c r="F88" s="4">
        <f t="shared" si="34"/>
        <v>8</v>
      </c>
      <c r="G88" s="4">
        <f t="shared" si="34"/>
        <v>0</v>
      </c>
      <c r="H88" s="4">
        <f t="shared" si="34"/>
        <v>20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Somil</v>
      </c>
      <c r="B89" s="124" t="str">
        <f t="shared" si="35"/>
        <v/>
      </c>
      <c r="C89" s="124" t="str">
        <f t="shared" si="35"/>
        <v/>
      </c>
      <c r="D89" s="124" t="str">
        <f t="shared" si="35"/>
        <v/>
      </c>
      <c r="E89" s="124" t="str">
        <f t="shared" si="35"/>
        <v/>
      </c>
      <c r="F89" s="124" t="str">
        <f t="shared" si="35"/>
        <v/>
      </c>
      <c r="G89" s="124" t="str">
        <f t="shared" si="35"/>
        <v/>
      </c>
      <c r="H89" s="12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Suyoag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Will Ho</v>
      </c>
      <c r="B91" s="4">
        <f t="shared" si="37"/>
        <v>3</v>
      </c>
      <c r="C91" s="4">
        <f t="shared" si="37"/>
        <v>15</v>
      </c>
      <c r="D91" s="4">
        <f t="shared" si="37"/>
        <v>4</v>
      </c>
      <c r="E91" s="4">
        <f t="shared" si="37"/>
        <v>2</v>
      </c>
      <c r="F91" s="4">
        <f t="shared" si="37"/>
        <v>9</v>
      </c>
      <c r="G91" s="4">
        <f t="shared" si="37"/>
        <v>0</v>
      </c>
      <c r="H91" s="4">
        <f t="shared" si="37"/>
        <v>21</v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>Nagle</v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0.4444444444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Migos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Win</v>
      </c>
      <c r="F101" s="4" t="str">
        <f t="shared" si="47"/>
        <v/>
      </c>
      <c r="G101" s="177" t="str">
        <f t="shared" si="47"/>
        <v>Margin</v>
      </c>
      <c r="H101" s="124">
        <f t="shared" si="47"/>
        <v>1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Leo</v>
      </c>
      <c r="B103" s="124">
        <f t="shared" si="49"/>
        <v>2</v>
      </c>
      <c r="C103" s="124">
        <f t="shared" si="49"/>
        <v>16</v>
      </c>
      <c r="D103" s="124">
        <f t="shared" si="49"/>
        <v>9</v>
      </c>
      <c r="E103" s="124">
        <f t="shared" si="49"/>
        <v>0</v>
      </c>
      <c r="F103" s="124">
        <f t="shared" si="49"/>
        <v>7</v>
      </c>
      <c r="G103" s="124">
        <f t="shared" si="49"/>
        <v>0</v>
      </c>
      <c r="H103" s="124">
        <f t="shared" si="49"/>
        <v>33</v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Seb</v>
      </c>
      <c r="B104" s="124">
        <f t="shared" si="50"/>
        <v>6</v>
      </c>
      <c r="C104" s="124">
        <f t="shared" si="50"/>
        <v>17</v>
      </c>
      <c r="D104" s="124">
        <f t="shared" si="50"/>
        <v>3</v>
      </c>
      <c r="E104" s="124">
        <f t="shared" si="50"/>
        <v>4</v>
      </c>
      <c r="F104" s="124">
        <f t="shared" si="50"/>
        <v>8</v>
      </c>
      <c r="G104" s="124">
        <f t="shared" si="50"/>
        <v>2</v>
      </c>
      <c r="H104" s="124">
        <f t="shared" si="50"/>
        <v>29</v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Fritz</v>
      </c>
      <c r="B105" s="4">
        <f t="shared" si="51"/>
        <v>1</v>
      </c>
      <c r="C105" s="4">
        <f t="shared" si="51"/>
        <v>15</v>
      </c>
      <c r="D105" s="4">
        <f t="shared" si="51"/>
        <v>5</v>
      </c>
      <c r="E105" s="4">
        <f t="shared" si="51"/>
        <v>1</v>
      </c>
      <c r="F105" s="4">
        <f t="shared" si="51"/>
        <v>6</v>
      </c>
      <c r="G105" s="4">
        <f t="shared" si="51"/>
        <v>3</v>
      </c>
      <c r="H105" s="4">
        <f t="shared" si="51"/>
        <v>32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Arnav</v>
      </c>
      <c r="B106" s="124">
        <f t="shared" si="52"/>
        <v>5</v>
      </c>
      <c r="C106" s="124">
        <f t="shared" si="52"/>
        <v>17</v>
      </c>
      <c r="D106" s="124">
        <f t="shared" si="52"/>
        <v>13</v>
      </c>
      <c r="E106" s="124">
        <f t="shared" si="52"/>
        <v>2</v>
      </c>
      <c r="F106" s="124">
        <f t="shared" si="52"/>
        <v>2</v>
      </c>
      <c r="G106" s="124">
        <f t="shared" si="52"/>
        <v>0</v>
      </c>
      <c r="H106" s="124">
        <f t="shared" si="52"/>
        <v>30</v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Lanuza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Samos</v>
      </c>
      <c r="B108" s="124">
        <f t="shared" si="54"/>
        <v>4</v>
      </c>
      <c r="C108" s="124">
        <f t="shared" si="54"/>
        <v>18</v>
      </c>
      <c r="D108" s="124">
        <f t="shared" si="54"/>
        <v>4</v>
      </c>
      <c r="E108" s="124">
        <f t="shared" si="54"/>
        <v>1</v>
      </c>
      <c r="F108" s="124">
        <f t="shared" si="54"/>
        <v>11</v>
      </c>
      <c r="G108" s="124">
        <f t="shared" si="54"/>
        <v>2</v>
      </c>
      <c r="H108" s="124">
        <f t="shared" si="54"/>
        <v>31</v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Kyi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TC</v>
      </c>
      <c r="B110" s="124">
        <f t="shared" si="56"/>
        <v>3</v>
      </c>
      <c r="C110" s="124">
        <f t="shared" si="56"/>
        <v>17</v>
      </c>
      <c r="D110" s="124">
        <f t="shared" si="56"/>
        <v>3</v>
      </c>
      <c r="E110" s="124">
        <f t="shared" si="56"/>
        <v>0</v>
      </c>
      <c r="F110" s="124">
        <f t="shared" si="56"/>
        <v>14</v>
      </c>
      <c r="G110" s="124">
        <f t="shared" si="56"/>
        <v>0</v>
      </c>
      <c r="H110" s="124">
        <f t="shared" si="56"/>
        <v>28</v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Adi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/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>
        <f t="shared" si="64"/>
        <v>1</v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101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0.3533568905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0"/>
      <c r="J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Schedule'!K3</f>
        <v>Migos</v>
      </c>
      <c r="D1" s="4" t="s">
        <v>176</v>
      </c>
      <c r="E1" s="4" t="str">
        <f>if(C19&gt;L19, "Win", "Loss")</f>
        <v>Win</v>
      </c>
      <c r="G1" s="75" t="s">
        <v>177</v>
      </c>
      <c r="H1" s="128">
        <f>C19-L19</f>
        <v>6</v>
      </c>
      <c r="I1" s="178" t="s">
        <v>214</v>
      </c>
      <c r="J1" s="165" t="str">
        <f>'Full Schedule'!L3</f>
        <v>Candice?</v>
      </c>
      <c r="M1" s="75" t="s">
        <v>176</v>
      </c>
      <c r="N1" s="128" t="str">
        <f>if(L19&gt;C19, "Win", "Loss")</f>
        <v>Loss</v>
      </c>
      <c r="P1" s="75" t="s">
        <v>177</v>
      </c>
      <c r="Q1" s="128">
        <f>L19-C19</f>
        <v>-6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Leo</v>
      </c>
      <c r="B3" s="75">
        <v>2.0</v>
      </c>
      <c r="C3" s="181">
        <f t="shared" ref="C3:C17" si="1">if(sum(D3:G3)&gt;0, sum(D3:G3), "")</f>
        <v>17</v>
      </c>
      <c r="D3" s="75">
        <v>13.0</v>
      </c>
      <c r="E3" s="75">
        <v>1.0</v>
      </c>
      <c r="F3" s="75">
        <v>2.0</v>
      </c>
      <c r="G3" s="75">
        <v>1.0</v>
      </c>
      <c r="H3" s="75">
        <v>25.0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75">
        <v>4.0</v>
      </c>
      <c r="L3" s="181">
        <f t="shared" ref="L3:L17" si="2">if(sum(M3:P3)&gt;0, sum(M3:P3), "")</f>
        <v>10</v>
      </c>
      <c r="M3" s="75">
        <v>6.0</v>
      </c>
      <c r="N3" s="75">
        <v>0.0</v>
      </c>
      <c r="O3" s="75">
        <v>4.0</v>
      </c>
      <c r="P3" s="75">
        <v>0.0</v>
      </c>
      <c r="Q3" s="75">
        <v>24.0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Seb</v>
      </c>
      <c r="B4" s="75">
        <v>6.0</v>
      </c>
      <c r="C4" s="146">
        <f t="shared" si="1"/>
        <v>20</v>
      </c>
      <c r="D4" s="75">
        <v>10.0</v>
      </c>
      <c r="E4" s="75">
        <v>1.0</v>
      </c>
      <c r="F4" s="75">
        <v>6.0</v>
      </c>
      <c r="G4" s="75">
        <v>3.0</v>
      </c>
      <c r="H4" s="75">
        <v>21.0</v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 Y</v>
      </c>
      <c r="K4" s="75">
        <v>5.0</v>
      </c>
      <c r="L4" s="146">
        <f t="shared" si="2"/>
        <v>13</v>
      </c>
      <c r="M4" s="75">
        <v>6.0</v>
      </c>
      <c r="N4" s="75">
        <v>2.0</v>
      </c>
      <c r="O4" s="75">
        <v>3.0</v>
      </c>
      <c r="P4" s="75">
        <v>2.0</v>
      </c>
      <c r="Q4" s="75">
        <v>24.0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Fritz</v>
      </c>
      <c r="B5" s="75">
        <v>1.0</v>
      </c>
      <c r="C5" s="4">
        <f t="shared" si="1"/>
        <v>14</v>
      </c>
      <c r="D5" s="75">
        <v>3.0</v>
      </c>
      <c r="E5" s="75">
        <v>1.0</v>
      </c>
      <c r="F5" s="75">
        <v>10.0</v>
      </c>
      <c r="G5" s="75">
        <v>0.0</v>
      </c>
      <c r="H5" s="75">
        <v>24.0</v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Porco</v>
      </c>
      <c r="K5" s="75">
        <v>6.0</v>
      </c>
      <c r="L5" s="4">
        <f t="shared" si="2"/>
        <v>21</v>
      </c>
      <c r="M5" s="75">
        <v>11.0</v>
      </c>
      <c r="N5" s="75">
        <v>2.0</v>
      </c>
      <c r="O5" s="75">
        <v>8.0</v>
      </c>
      <c r="P5" s="75">
        <v>0.0</v>
      </c>
      <c r="Q5" s="75">
        <v>21.0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Arnav</v>
      </c>
      <c r="B6" s="75">
        <v>5.0</v>
      </c>
      <c r="C6" s="4">
        <f t="shared" si="1"/>
        <v>17</v>
      </c>
      <c r="D6" s="75">
        <v>10.0</v>
      </c>
      <c r="E6" s="75">
        <v>0.0</v>
      </c>
      <c r="F6" s="75">
        <v>4.0</v>
      </c>
      <c r="G6" s="75">
        <v>3.0</v>
      </c>
      <c r="H6" s="75">
        <v>26.0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Marmo</v>
      </c>
      <c r="K6" s="75">
        <v>1.0</v>
      </c>
      <c r="L6" s="4">
        <f t="shared" si="2"/>
        <v>20</v>
      </c>
      <c r="M6" s="75">
        <v>3.0</v>
      </c>
      <c r="N6" s="75">
        <v>0.0</v>
      </c>
      <c r="O6" s="75">
        <v>16.0</v>
      </c>
      <c r="P6" s="75">
        <v>1.0</v>
      </c>
      <c r="Q6" s="75">
        <v>23.0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Lanuza</v>
      </c>
      <c r="C7" s="146" t="str">
        <f t="shared" si="1"/>
        <v/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Swit</v>
      </c>
      <c r="K7" s="75">
        <v>3.0</v>
      </c>
      <c r="L7" s="146">
        <f t="shared" si="2"/>
        <v>14</v>
      </c>
      <c r="M7" s="75">
        <v>10.0</v>
      </c>
      <c r="N7" s="75">
        <v>0.0</v>
      </c>
      <c r="O7" s="75">
        <v>4.0</v>
      </c>
      <c r="P7" s="75">
        <v>0.0</v>
      </c>
      <c r="Q7" s="75">
        <v>25.0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Samos</v>
      </c>
      <c r="B8" s="75">
        <v>4.0</v>
      </c>
      <c r="C8" s="146">
        <f t="shared" si="1"/>
        <v>18</v>
      </c>
      <c r="D8" s="75">
        <v>3.0</v>
      </c>
      <c r="E8" s="75">
        <v>2.0</v>
      </c>
      <c r="F8" s="75">
        <v>11.0</v>
      </c>
      <c r="G8" s="75">
        <v>2.0</v>
      </c>
      <c r="H8" s="75">
        <v>23.0</v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Emi</v>
      </c>
      <c r="K8" s="75">
        <v>2.0</v>
      </c>
      <c r="L8" s="146">
        <f t="shared" si="2"/>
        <v>16</v>
      </c>
      <c r="M8" s="75">
        <v>5.0</v>
      </c>
      <c r="N8" s="75">
        <v>0.0</v>
      </c>
      <c r="O8" s="75">
        <v>11.0</v>
      </c>
      <c r="P8" s="75">
        <v>0.0</v>
      </c>
      <c r="Q8" s="75">
        <v>24.0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Kyi</v>
      </c>
      <c r="C9" s="146" t="str">
        <f t="shared" si="1"/>
        <v/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SoHo</v>
      </c>
      <c r="L9" s="146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TC</v>
      </c>
      <c r="B10" s="75">
        <v>3.0</v>
      </c>
      <c r="C10" s="146">
        <f t="shared" si="1"/>
        <v>14</v>
      </c>
      <c r="D10" s="75">
        <v>0.0</v>
      </c>
      <c r="E10" s="75">
        <v>0.0</v>
      </c>
      <c r="F10" s="75">
        <v>14.0</v>
      </c>
      <c r="G10" s="75">
        <v>0.0</v>
      </c>
      <c r="H10" s="75">
        <v>26.0</v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/>
      </c>
      <c r="L10" s="146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Adi</v>
      </c>
      <c r="C11" s="4" t="str">
        <f t="shared" si="1"/>
        <v/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100</v>
      </c>
      <c r="D19" s="184"/>
      <c r="E19" s="184"/>
      <c r="F19" s="184"/>
      <c r="G19" s="184"/>
      <c r="H19" s="175">
        <f>sum(C3:C17)/(sum(C3:C17)+sum(H3:H17))</f>
        <v>0.4081632653</v>
      </c>
      <c r="I19" s="180"/>
      <c r="J19" s="182" t="s">
        <v>184</v>
      </c>
      <c r="K19" s="183"/>
      <c r="L19" s="183">
        <f>sum(L3:L18)</f>
        <v>94</v>
      </c>
      <c r="M19" s="184"/>
      <c r="N19" s="184"/>
      <c r="O19" s="184"/>
      <c r="P19" s="184"/>
      <c r="Q19" s="175">
        <f>sum(L3:L17)/(sum(L3:L17)+sum(Q3:Q17))</f>
        <v>0.4</v>
      </c>
    </row>
    <row r="20">
      <c r="A20" s="4"/>
      <c r="I20" s="180"/>
      <c r="J20" s="4"/>
    </row>
    <row r="21">
      <c r="A21" s="161" t="str">
        <f>'Full Schedule'!K4</f>
        <v>Gargantuan</v>
      </c>
      <c r="D21" s="4" t="s">
        <v>176</v>
      </c>
      <c r="E21" s="4" t="str">
        <f>if(C39&gt;L39, "Win", "Loss")</f>
        <v>Loss</v>
      </c>
      <c r="G21" s="75" t="s">
        <v>177</v>
      </c>
      <c r="H21" s="128">
        <f>C39-L39</f>
        <v>-4</v>
      </c>
      <c r="I21" s="178" t="s">
        <v>214</v>
      </c>
      <c r="J21" s="161" t="str">
        <f>'Full Schedule'!L4</f>
        <v>Team E</v>
      </c>
      <c r="M21" s="75" t="s">
        <v>176</v>
      </c>
      <c r="N21" s="128" t="str">
        <f>if(L39&gt;C39, "Win", "Loss")</f>
        <v>Win</v>
      </c>
      <c r="P21" s="75" t="s">
        <v>177</v>
      </c>
      <c r="Q21" s="128">
        <f>L39-C39</f>
        <v>4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Maas</v>
      </c>
      <c r="B23" s="75">
        <v>6.0</v>
      </c>
      <c r="C23" s="181">
        <f t="shared" ref="C23:C37" si="3">if(sum(D23:G23)&gt;0, sum(D23:G23), "")</f>
        <v>15</v>
      </c>
      <c r="D23" s="75">
        <v>5.0</v>
      </c>
      <c r="E23" s="75">
        <v>2.0</v>
      </c>
      <c r="F23" s="75">
        <v>7.0</v>
      </c>
      <c r="G23" s="75">
        <v>1.0</v>
      </c>
      <c r="H23" s="75">
        <v>34.0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Taran</v>
      </c>
      <c r="K23" s="75">
        <v>6.0</v>
      </c>
      <c r="L23" s="181">
        <f t="shared" ref="L23:L37" si="4">if(sum(M23:P23)&gt;0, sum(M23:P23), "")</f>
        <v>16</v>
      </c>
      <c r="M23" s="75">
        <v>4.0</v>
      </c>
      <c r="N23" s="75">
        <v>3.0</v>
      </c>
      <c r="O23" s="75">
        <v>5.0</v>
      </c>
      <c r="P23" s="75">
        <v>4.0</v>
      </c>
      <c r="Q23" s="75">
        <v>33.0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Hawkins</v>
      </c>
      <c r="B24" s="75">
        <v>1.0</v>
      </c>
      <c r="C24" s="146">
        <f t="shared" si="3"/>
        <v>27</v>
      </c>
      <c r="D24" s="75">
        <v>7.0</v>
      </c>
      <c r="E24" s="75">
        <v>1.0</v>
      </c>
      <c r="F24" s="75">
        <v>15.0</v>
      </c>
      <c r="G24" s="75">
        <v>4.0</v>
      </c>
      <c r="H24" s="75">
        <v>32.0</v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Miguel F</v>
      </c>
      <c r="K24" s="75">
        <v>5.0</v>
      </c>
      <c r="L24" s="146">
        <f t="shared" si="4"/>
        <v>12</v>
      </c>
      <c r="M24" s="75">
        <v>5.0</v>
      </c>
      <c r="N24" s="75">
        <v>3.0</v>
      </c>
      <c r="O24" s="75">
        <v>2.0</v>
      </c>
      <c r="P24" s="75">
        <v>2.0</v>
      </c>
      <c r="Q24" s="75">
        <v>34.0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Grish</v>
      </c>
      <c r="B25" s="75">
        <v>5.0</v>
      </c>
      <c r="C25" s="4">
        <f t="shared" si="3"/>
        <v>18</v>
      </c>
      <c r="D25" s="75">
        <v>12.0</v>
      </c>
      <c r="E25" s="75">
        <v>1.0</v>
      </c>
      <c r="F25" s="75">
        <v>4.0</v>
      </c>
      <c r="G25" s="75">
        <v>1.0</v>
      </c>
      <c r="H25" s="75">
        <v>33.0</v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Mike H</v>
      </c>
      <c r="L25" s="4" t="str">
        <f t="shared" si="4"/>
        <v/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Rockett</v>
      </c>
      <c r="B26" s="75">
        <v>2.0</v>
      </c>
      <c r="C26" s="4">
        <f t="shared" si="3"/>
        <v>8</v>
      </c>
      <c r="D26" s="75">
        <v>3.0</v>
      </c>
      <c r="E26" s="75">
        <v>0.0</v>
      </c>
      <c r="F26" s="75">
        <v>5.0</v>
      </c>
      <c r="G26" s="75">
        <v>0.0</v>
      </c>
      <c r="H26" s="75">
        <v>36.0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Madams</v>
      </c>
      <c r="K26" s="75">
        <v>1.0</v>
      </c>
      <c r="L26" s="4">
        <f t="shared" si="4"/>
        <v>23</v>
      </c>
      <c r="M26" s="75">
        <v>6.0</v>
      </c>
      <c r="N26" s="75">
        <v>2.0</v>
      </c>
      <c r="O26" s="75">
        <v>13.0</v>
      </c>
      <c r="P26" s="75">
        <v>2.0</v>
      </c>
      <c r="Q26" s="75">
        <v>30.0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Du</v>
      </c>
      <c r="B27" s="75">
        <v>3.0</v>
      </c>
      <c r="C27" s="146">
        <f t="shared" si="3"/>
        <v>20</v>
      </c>
      <c r="D27" s="75">
        <v>8.0</v>
      </c>
      <c r="E27" s="75">
        <v>1.0</v>
      </c>
      <c r="F27" s="75">
        <v>11.0</v>
      </c>
      <c r="G27" s="75">
        <v>0.0</v>
      </c>
      <c r="H27" s="75">
        <v>31.0</v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L27" s="146" t="str">
        <f t="shared" si="4"/>
        <v/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Raymond</v>
      </c>
      <c r="B28" s="75">
        <v>4.0</v>
      </c>
      <c r="C28" s="146">
        <f t="shared" si="3"/>
        <v>8</v>
      </c>
      <c r="D28" s="75">
        <v>2.0</v>
      </c>
      <c r="E28" s="75">
        <v>3.0</v>
      </c>
      <c r="F28" s="75">
        <v>3.0</v>
      </c>
      <c r="G28" s="75">
        <v>0.0</v>
      </c>
      <c r="H28" s="75">
        <v>35.0</v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Tripp</v>
      </c>
      <c r="L28" s="146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Derek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Lulu</v>
      </c>
      <c r="K29" s="75">
        <v>4.0</v>
      </c>
      <c r="L29" s="146">
        <f t="shared" si="4"/>
        <v>14</v>
      </c>
      <c r="M29" s="75">
        <v>8.0</v>
      </c>
      <c r="N29" s="75">
        <v>0.0</v>
      </c>
      <c r="O29" s="75">
        <v>6.0</v>
      </c>
      <c r="P29" s="75">
        <v>0.0</v>
      </c>
      <c r="Q29" s="75">
        <v>35.0</v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Neo</v>
      </c>
      <c r="C30" s="146" t="str">
        <f t="shared" si="3"/>
        <v/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Ilt</v>
      </c>
      <c r="L30" s="146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Brendan</v>
      </c>
      <c r="C31" s="4" t="str">
        <f t="shared" si="3"/>
        <v/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Pasha</v>
      </c>
      <c r="K31" s="75">
        <v>3.0</v>
      </c>
      <c r="L31" s="4">
        <f t="shared" si="4"/>
        <v>18</v>
      </c>
      <c r="M31" s="75">
        <v>1.0</v>
      </c>
      <c r="N31" s="75">
        <v>1.0</v>
      </c>
      <c r="O31" s="75">
        <v>13.0</v>
      </c>
      <c r="P31" s="75">
        <v>3.0</v>
      </c>
      <c r="Q31" s="75">
        <v>34.0</v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Hanono</v>
      </c>
      <c r="C32" s="4" t="str">
        <f t="shared" si="3"/>
        <v/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I38" s="180"/>
      <c r="J38" s="163" t="s">
        <v>221</v>
      </c>
      <c r="L38" s="75">
        <v>17.0</v>
      </c>
    </row>
    <row r="39">
      <c r="A39" s="182" t="s">
        <v>184</v>
      </c>
      <c r="B39" s="183"/>
      <c r="C39" s="183">
        <f>sum(C23:C38)</f>
        <v>96</v>
      </c>
      <c r="D39" s="184"/>
      <c r="E39" s="184"/>
      <c r="F39" s="184"/>
      <c r="G39" s="184"/>
      <c r="H39" s="175">
        <f>sum(C23:C37)/(sum(C23:C37)+sum(H23:H37))</f>
        <v>0.3232323232</v>
      </c>
      <c r="I39" s="180"/>
      <c r="J39" s="182" t="s">
        <v>184</v>
      </c>
      <c r="K39" s="183"/>
      <c r="L39" s="183">
        <f>sum(L23:L38)</f>
        <v>100</v>
      </c>
      <c r="M39" s="184"/>
      <c r="N39" s="184"/>
      <c r="O39" s="184"/>
      <c r="P39" s="184"/>
      <c r="Q39" s="175">
        <f>sum(L23:L37)/(sum(L23:L37)+sum(Q23:Q37))</f>
        <v>0.3333333333</v>
      </c>
    </row>
    <row r="40">
      <c r="A40" s="4"/>
      <c r="I40" s="180"/>
      <c r="J40" s="4"/>
    </row>
    <row r="41">
      <c r="A41" s="161" t="str">
        <f>'Full Schedule'!K5</f>
        <v>Team F</v>
      </c>
      <c r="D41" s="4" t="s">
        <v>176</v>
      </c>
      <c r="E41" s="4" t="str">
        <f>if(C59&gt;L59, "Win", "Loss")</f>
        <v>Win</v>
      </c>
      <c r="G41" s="75" t="s">
        <v>177</v>
      </c>
      <c r="H41" s="128">
        <f>C59-L59</f>
        <v>3</v>
      </c>
      <c r="I41" s="178" t="s">
        <v>214</v>
      </c>
      <c r="J41" s="161" t="str">
        <f>'Full Schedule'!L5</f>
        <v>Team C</v>
      </c>
      <c r="M41" s="75" t="s">
        <v>176</v>
      </c>
      <c r="N41" s="128" t="str">
        <f>if(L59&gt;C59, "Win", "Loss")</f>
        <v>Loss</v>
      </c>
      <c r="P41" s="75" t="s">
        <v>177</v>
      </c>
      <c r="Q41" s="128">
        <f>L59-C59</f>
        <v>-3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BXu</v>
      </c>
      <c r="B43" s="146">
        <v>5.0</v>
      </c>
      <c r="C43" s="181">
        <f t="shared" ref="C43:C57" si="5">if(sum(D43:G43)&gt;0, sum(D43:G43), "")</f>
        <v>10</v>
      </c>
      <c r="D43" s="146">
        <v>4.0</v>
      </c>
      <c r="E43" s="146">
        <v>2.0</v>
      </c>
      <c r="F43" s="146">
        <v>2.0</v>
      </c>
      <c r="G43" s="146">
        <v>2.0</v>
      </c>
      <c r="H43" s="146">
        <v>26.0</v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Matt</v>
      </c>
      <c r="K43" s="75">
        <v>6.0</v>
      </c>
      <c r="L43" s="181">
        <f t="shared" ref="L43:L57" si="6">if(sum(M43:P43)&gt;0, sum(M43:P43), "")</f>
        <v>16</v>
      </c>
      <c r="M43" s="75">
        <v>5.0</v>
      </c>
      <c r="N43" s="75">
        <v>2.0</v>
      </c>
      <c r="O43" s="75">
        <v>8.0</v>
      </c>
      <c r="P43" s="75">
        <v>1.0</v>
      </c>
      <c r="Q43" s="75">
        <v>24.0</v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JChan</v>
      </c>
      <c r="B44" s="146">
        <v>6.0</v>
      </c>
      <c r="C44" s="146">
        <f t="shared" si="5"/>
        <v>12</v>
      </c>
      <c r="D44" s="146">
        <v>7.0</v>
      </c>
      <c r="E44" s="146">
        <v>2.0</v>
      </c>
      <c r="F44" s="146">
        <v>2.0</v>
      </c>
      <c r="G44" s="146">
        <v>1.0</v>
      </c>
      <c r="H44" s="146">
        <v>24.0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Gid</v>
      </c>
      <c r="K44" s="75">
        <v>5.0</v>
      </c>
      <c r="L44" s="146">
        <f t="shared" si="6"/>
        <v>20</v>
      </c>
      <c r="M44" s="75">
        <v>5.0</v>
      </c>
      <c r="N44" s="75">
        <v>1.0</v>
      </c>
      <c r="O44" s="75">
        <v>11.0</v>
      </c>
      <c r="P44" s="75">
        <v>3.0</v>
      </c>
      <c r="Q44" s="75">
        <v>22.0</v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DC</v>
      </c>
      <c r="B45" s="146">
        <v>2.0</v>
      </c>
      <c r="C45" s="146">
        <f t="shared" si="5"/>
        <v>16</v>
      </c>
      <c r="D45" s="146">
        <v>9.0</v>
      </c>
      <c r="E45" s="146">
        <v>1.0</v>
      </c>
      <c r="F45" s="146">
        <v>6.0</v>
      </c>
      <c r="G45" s="146">
        <v>0.0</v>
      </c>
      <c r="H45" s="146">
        <v>25.0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Nikita S</v>
      </c>
      <c r="K45" s="75">
        <v>1.0</v>
      </c>
      <c r="L45" s="4">
        <f t="shared" si="6"/>
        <v>18</v>
      </c>
      <c r="M45" s="75">
        <v>12.0</v>
      </c>
      <c r="N45" s="75">
        <v>3.0</v>
      </c>
      <c r="O45" s="75">
        <v>3.0</v>
      </c>
      <c r="P45" s="75">
        <v>0.0</v>
      </c>
      <c r="Q45" s="75">
        <v>25.0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Schmid</v>
      </c>
      <c r="B46" s="146">
        <v>1.0</v>
      </c>
      <c r="C46" s="146">
        <f t="shared" si="5"/>
        <v>28</v>
      </c>
      <c r="D46" s="146">
        <v>1.0</v>
      </c>
      <c r="E46" s="146">
        <v>1.0</v>
      </c>
      <c r="F46" s="146">
        <v>22.0</v>
      </c>
      <c r="G46" s="146">
        <v>4.0</v>
      </c>
      <c r="H46" s="146">
        <v>18.0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Sonne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146">
        <v>3.0</v>
      </c>
      <c r="C47" s="146">
        <f t="shared" si="5"/>
        <v>13</v>
      </c>
      <c r="D47" s="146">
        <v>7.0</v>
      </c>
      <c r="E47" s="146">
        <v>1.0</v>
      </c>
      <c r="F47" s="146">
        <v>5.0</v>
      </c>
      <c r="G47" s="146">
        <v>0.0</v>
      </c>
      <c r="H47" s="146">
        <v>26.0</v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Crosby</v>
      </c>
      <c r="L47" s="146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B48" s="146">
        <v>4.0</v>
      </c>
      <c r="C48" s="146">
        <f t="shared" si="5"/>
        <v>18</v>
      </c>
      <c r="D48" s="146">
        <v>9.0</v>
      </c>
      <c r="E48" s="146">
        <v>0.0</v>
      </c>
      <c r="F48" s="146">
        <v>8.0</v>
      </c>
      <c r="G48" s="146">
        <v>1.0</v>
      </c>
      <c r="H48" s="146">
        <v>22.0</v>
      </c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Kevin Zhou</v>
      </c>
      <c r="K48" s="75">
        <v>2.0</v>
      </c>
      <c r="L48" s="146">
        <f t="shared" si="6"/>
        <v>20</v>
      </c>
      <c r="M48" s="75">
        <v>7.0</v>
      </c>
      <c r="N48" s="75">
        <v>0.0</v>
      </c>
      <c r="O48" s="75">
        <v>13.0</v>
      </c>
      <c r="P48" s="75">
        <v>0.0</v>
      </c>
      <c r="Q48" s="75">
        <v>24.0</v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Petric</v>
      </c>
      <c r="C49" s="146" t="str">
        <f t="shared" si="5"/>
        <v/>
      </c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Somil</v>
      </c>
      <c r="K49" s="75">
        <v>3.0</v>
      </c>
      <c r="L49" s="146">
        <f t="shared" si="6"/>
        <v>14</v>
      </c>
      <c r="M49" s="75">
        <v>9.0</v>
      </c>
      <c r="N49" s="75">
        <v>1.0</v>
      </c>
      <c r="O49" s="75">
        <v>4.0</v>
      </c>
      <c r="P49" s="75">
        <v>0.0</v>
      </c>
      <c r="Q49" s="75">
        <v>25.0</v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Mike Zhou</v>
      </c>
      <c r="C50" s="146" t="str">
        <f t="shared" si="5"/>
        <v/>
      </c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Suyoag</v>
      </c>
      <c r="L50" s="146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Cole</v>
      </c>
      <c r="C51" s="4" t="str">
        <f t="shared" si="5"/>
        <v/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Will Ho</v>
      </c>
      <c r="K51" s="75">
        <v>4.0</v>
      </c>
      <c r="L51" s="4">
        <f t="shared" si="6"/>
        <v>7</v>
      </c>
      <c r="M51" s="75">
        <v>0.0</v>
      </c>
      <c r="N51" s="75">
        <v>0.0</v>
      </c>
      <c r="O51" s="75">
        <v>5.0</v>
      </c>
      <c r="P51" s="75">
        <v>2.0</v>
      </c>
      <c r="Q51" s="75">
        <v>25.0</v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/>
      </c>
      <c r="C52" s="4" t="str">
        <f t="shared" si="5"/>
        <v/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Nagle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C58" s="75">
        <v>3.0</v>
      </c>
      <c r="I58" s="180"/>
      <c r="J58" s="163" t="s">
        <v>221</v>
      </c>
      <c r="L58" s="75">
        <v>2.0</v>
      </c>
    </row>
    <row r="59">
      <c r="A59" s="182" t="s">
        <v>184</v>
      </c>
      <c r="B59" s="183"/>
      <c r="C59" s="183">
        <f>sum(C43:C58)</f>
        <v>100</v>
      </c>
      <c r="D59" s="184"/>
      <c r="E59" s="184"/>
      <c r="F59" s="184"/>
      <c r="G59" s="184"/>
      <c r="H59" s="175">
        <f>sum(C43:C57)/(sum(C43:C57)+sum(H43:H57))</f>
        <v>0.4075630252</v>
      </c>
      <c r="I59" s="180"/>
      <c r="J59" s="182" t="s">
        <v>184</v>
      </c>
      <c r="K59" s="183"/>
      <c r="L59" s="183">
        <f>sum(L43:L58)</f>
        <v>97</v>
      </c>
      <c r="M59" s="184"/>
      <c r="N59" s="184"/>
      <c r="O59" s="184"/>
      <c r="P59" s="184"/>
      <c r="Q59" s="175">
        <f>sum(L43:L57)/(sum(L43:L57)+sum(Q43:Q57))</f>
        <v>0.3958333333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Candice?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Loss</v>
      </c>
      <c r="F61" s="4" t="str">
        <f t="shared" si="7"/>
        <v/>
      </c>
      <c r="G61" s="177" t="str">
        <f t="shared" si="7"/>
        <v>Margin</v>
      </c>
      <c r="H61" s="124">
        <f t="shared" si="7"/>
        <v>-6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Elmer</v>
      </c>
      <c r="B63" s="124">
        <f t="shared" si="9"/>
        <v>4</v>
      </c>
      <c r="C63" s="124">
        <f t="shared" si="9"/>
        <v>10</v>
      </c>
      <c r="D63" s="124">
        <f t="shared" si="9"/>
        <v>6</v>
      </c>
      <c r="E63" s="124">
        <f t="shared" si="9"/>
        <v>0</v>
      </c>
      <c r="F63" s="124">
        <f t="shared" si="9"/>
        <v>4</v>
      </c>
      <c r="G63" s="124">
        <f t="shared" si="9"/>
        <v>0</v>
      </c>
      <c r="H63" s="124">
        <f t="shared" si="9"/>
        <v>24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John Y</v>
      </c>
      <c r="B64" s="124">
        <f t="shared" si="10"/>
        <v>5</v>
      </c>
      <c r="C64" s="124">
        <f t="shared" si="10"/>
        <v>13</v>
      </c>
      <c r="D64" s="124">
        <f t="shared" si="10"/>
        <v>6</v>
      </c>
      <c r="E64" s="124">
        <f t="shared" si="10"/>
        <v>2</v>
      </c>
      <c r="F64" s="124">
        <f t="shared" si="10"/>
        <v>3</v>
      </c>
      <c r="G64" s="124">
        <f t="shared" si="10"/>
        <v>2</v>
      </c>
      <c r="H64" s="124">
        <f t="shared" si="10"/>
        <v>24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Porco</v>
      </c>
      <c r="B65" s="124">
        <f t="shared" si="11"/>
        <v>6</v>
      </c>
      <c r="C65" s="124">
        <f t="shared" si="11"/>
        <v>21</v>
      </c>
      <c r="D65" s="124">
        <f t="shared" si="11"/>
        <v>11</v>
      </c>
      <c r="E65" s="124">
        <f t="shared" si="11"/>
        <v>2</v>
      </c>
      <c r="F65" s="124">
        <f t="shared" si="11"/>
        <v>8</v>
      </c>
      <c r="G65" s="124">
        <f t="shared" si="11"/>
        <v>0</v>
      </c>
      <c r="H65" s="124">
        <f t="shared" si="11"/>
        <v>21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Marmo</v>
      </c>
      <c r="B66" s="4">
        <f t="shared" si="12"/>
        <v>1</v>
      </c>
      <c r="C66" s="4">
        <f t="shared" si="12"/>
        <v>20</v>
      </c>
      <c r="D66" s="4">
        <f t="shared" si="12"/>
        <v>3</v>
      </c>
      <c r="E66" s="4">
        <f t="shared" si="12"/>
        <v>0</v>
      </c>
      <c r="F66" s="4">
        <f t="shared" si="12"/>
        <v>16</v>
      </c>
      <c r="G66" s="4">
        <f t="shared" si="12"/>
        <v>1</v>
      </c>
      <c r="H66" s="4">
        <f t="shared" si="12"/>
        <v>23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Swit</v>
      </c>
      <c r="B67" s="4">
        <f t="shared" si="13"/>
        <v>3</v>
      </c>
      <c r="C67" s="4">
        <f t="shared" si="13"/>
        <v>14</v>
      </c>
      <c r="D67" s="4">
        <f t="shared" si="13"/>
        <v>10</v>
      </c>
      <c r="E67" s="4">
        <f t="shared" si="13"/>
        <v>0</v>
      </c>
      <c r="F67" s="4">
        <f t="shared" si="13"/>
        <v>4</v>
      </c>
      <c r="G67" s="4">
        <f t="shared" si="13"/>
        <v>0</v>
      </c>
      <c r="H67" s="4">
        <f t="shared" si="13"/>
        <v>25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Emi</v>
      </c>
      <c r="B68" s="124">
        <f t="shared" si="14"/>
        <v>2</v>
      </c>
      <c r="C68" s="124">
        <f t="shared" si="14"/>
        <v>16</v>
      </c>
      <c r="D68" s="124">
        <f t="shared" si="14"/>
        <v>5</v>
      </c>
      <c r="E68" s="124">
        <f t="shared" si="14"/>
        <v>0</v>
      </c>
      <c r="F68" s="124">
        <f t="shared" si="14"/>
        <v>11</v>
      </c>
      <c r="G68" s="124">
        <f t="shared" si="14"/>
        <v>0</v>
      </c>
      <c r="H68" s="124">
        <f t="shared" si="14"/>
        <v>24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SoHo</v>
      </c>
      <c r="B69" s="124" t="str">
        <f t="shared" si="15"/>
        <v/>
      </c>
      <c r="C69" s="124" t="str">
        <f t="shared" si="15"/>
        <v/>
      </c>
      <c r="D69" s="124" t="str">
        <f t="shared" si="15"/>
        <v/>
      </c>
      <c r="E69" s="124" t="str">
        <f t="shared" si="15"/>
        <v/>
      </c>
      <c r="F69" s="124" t="str">
        <f t="shared" si="15"/>
        <v/>
      </c>
      <c r="G69" s="124" t="str">
        <f t="shared" si="15"/>
        <v/>
      </c>
      <c r="H69" s="12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/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/>
      </c>
      <c r="B71" s="124" t="str">
        <f t="shared" si="17"/>
        <v/>
      </c>
      <c r="C71" s="124" t="str">
        <f t="shared" si="17"/>
        <v/>
      </c>
      <c r="D71" s="124" t="str">
        <f t="shared" si="17"/>
        <v/>
      </c>
      <c r="E71" s="124" t="str">
        <f t="shared" si="17"/>
        <v/>
      </c>
      <c r="F71" s="124" t="str">
        <f t="shared" si="17"/>
        <v/>
      </c>
      <c r="G71" s="124" t="str">
        <f t="shared" si="17"/>
        <v/>
      </c>
      <c r="H71" s="12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94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0.4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Team E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Win</v>
      </c>
      <c r="F81" s="4" t="str">
        <f t="shared" si="27"/>
        <v/>
      </c>
      <c r="G81" s="177" t="str">
        <f t="shared" si="27"/>
        <v>Margin</v>
      </c>
      <c r="H81" s="124">
        <f t="shared" si="27"/>
        <v>4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Taran</v>
      </c>
      <c r="B83" s="124">
        <f t="shared" si="29"/>
        <v>6</v>
      </c>
      <c r="C83" s="124">
        <f t="shared" si="29"/>
        <v>16</v>
      </c>
      <c r="D83" s="124">
        <f t="shared" si="29"/>
        <v>4</v>
      </c>
      <c r="E83" s="124">
        <f t="shared" si="29"/>
        <v>3</v>
      </c>
      <c r="F83" s="124">
        <f t="shared" si="29"/>
        <v>5</v>
      </c>
      <c r="G83" s="124">
        <f t="shared" si="29"/>
        <v>4</v>
      </c>
      <c r="H83" s="124">
        <f t="shared" si="29"/>
        <v>33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Miguel F</v>
      </c>
      <c r="B84" s="124">
        <f t="shared" si="30"/>
        <v>5</v>
      </c>
      <c r="C84" s="124">
        <f t="shared" si="30"/>
        <v>12</v>
      </c>
      <c r="D84" s="124">
        <f t="shared" si="30"/>
        <v>5</v>
      </c>
      <c r="E84" s="124">
        <f t="shared" si="30"/>
        <v>3</v>
      </c>
      <c r="F84" s="124">
        <f t="shared" si="30"/>
        <v>2</v>
      </c>
      <c r="G84" s="124">
        <f t="shared" si="30"/>
        <v>2</v>
      </c>
      <c r="H84" s="124">
        <f t="shared" si="30"/>
        <v>34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Mike H</v>
      </c>
      <c r="B85" s="124" t="str">
        <f t="shared" si="31"/>
        <v/>
      </c>
      <c r="C85" s="124" t="str">
        <f t="shared" si="31"/>
        <v/>
      </c>
      <c r="D85" s="124" t="str">
        <f t="shared" si="31"/>
        <v/>
      </c>
      <c r="E85" s="124" t="str">
        <f t="shared" si="31"/>
        <v/>
      </c>
      <c r="F85" s="124" t="str">
        <f t="shared" si="31"/>
        <v/>
      </c>
      <c r="G85" s="124" t="str">
        <f t="shared" si="31"/>
        <v/>
      </c>
      <c r="H85" s="12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Madams</v>
      </c>
      <c r="B86" s="124">
        <f t="shared" si="32"/>
        <v>1</v>
      </c>
      <c r="C86" s="124">
        <f t="shared" si="32"/>
        <v>23</v>
      </c>
      <c r="D86" s="124">
        <f t="shared" si="32"/>
        <v>6</v>
      </c>
      <c r="E86" s="124">
        <f t="shared" si="32"/>
        <v>2</v>
      </c>
      <c r="F86" s="124">
        <f t="shared" si="32"/>
        <v>13</v>
      </c>
      <c r="G86" s="124">
        <f t="shared" si="32"/>
        <v>2</v>
      </c>
      <c r="H86" s="124">
        <f t="shared" si="32"/>
        <v>30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Jay S</v>
      </c>
      <c r="B87" s="124" t="str">
        <f t="shared" si="33"/>
        <v/>
      </c>
      <c r="C87" s="124" t="str">
        <f t="shared" si="33"/>
        <v/>
      </c>
      <c r="D87" s="124" t="str">
        <f t="shared" si="33"/>
        <v/>
      </c>
      <c r="E87" s="124" t="str">
        <f t="shared" si="33"/>
        <v/>
      </c>
      <c r="F87" s="124" t="str">
        <f t="shared" si="33"/>
        <v/>
      </c>
      <c r="G87" s="124" t="str">
        <f t="shared" si="33"/>
        <v/>
      </c>
      <c r="H87" s="124" t="str">
        <f t="shared" si="33"/>
        <v/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Tripp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Lulu</v>
      </c>
      <c r="B89" s="124">
        <f t="shared" si="35"/>
        <v>4</v>
      </c>
      <c r="C89" s="124">
        <f t="shared" si="35"/>
        <v>14</v>
      </c>
      <c r="D89" s="124">
        <f t="shared" si="35"/>
        <v>8</v>
      </c>
      <c r="E89" s="124">
        <f t="shared" si="35"/>
        <v>0</v>
      </c>
      <c r="F89" s="124">
        <f t="shared" si="35"/>
        <v>6</v>
      </c>
      <c r="G89" s="124">
        <f t="shared" si="35"/>
        <v>0</v>
      </c>
      <c r="H89" s="124">
        <f t="shared" si="35"/>
        <v>35</v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Ilt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Pasha</v>
      </c>
      <c r="B91" s="4">
        <f t="shared" si="37"/>
        <v>3</v>
      </c>
      <c r="C91" s="4">
        <f t="shared" si="37"/>
        <v>18</v>
      </c>
      <c r="D91" s="4">
        <f t="shared" si="37"/>
        <v>1</v>
      </c>
      <c r="E91" s="4">
        <f t="shared" si="37"/>
        <v>1</v>
      </c>
      <c r="F91" s="4">
        <f t="shared" si="37"/>
        <v>13</v>
      </c>
      <c r="G91" s="4">
        <f t="shared" si="37"/>
        <v>3</v>
      </c>
      <c r="H91" s="4">
        <f t="shared" si="37"/>
        <v>34</v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>
        <f t="shared" si="44"/>
        <v>17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0.3333333333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Team C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Loss</v>
      </c>
      <c r="F101" s="4" t="str">
        <f t="shared" si="47"/>
        <v/>
      </c>
      <c r="G101" s="177" t="str">
        <f t="shared" si="47"/>
        <v>Margin</v>
      </c>
      <c r="H101" s="124">
        <f t="shared" si="47"/>
        <v>-3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Matt</v>
      </c>
      <c r="B103" s="124">
        <f t="shared" si="49"/>
        <v>6</v>
      </c>
      <c r="C103" s="124">
        <f t="shared" si="49"/>
        <v>16</v>
      </c>
      <c r="D103" s="124">
        <f t="shared" si="49"/>
        <v>5</v>
      </c>
      <c r="E103" s="124">
        <f t="shared" si="49"/>
        <v>2</v>
      </c>
      <c r="F103" s="124">
        <f t="shared" si="49"/>
        <v>8</v>
      </c>
      <c r="G103" s="124">
        <f t="shared" si="49"/>
        <v>1</v>
      </c>
      <c r="H103" s="124">
        <f t="shared" si="49"/>
        <v>24</v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Gid</v>
      </c>
      <c r="B104" s="124">
        <f t="shared" si="50"/>
        <v>5</v>
      </c>
      <c r="C104" s="124">
        <f t="shared" si="50"/>
        <v>20</v>
      </c>
      <c r="D104" s="124">
        <f t="shared" si="50"/>
        <v>5</v>
      </c>
      <c r="E104" s="124">
        <f t="shared" si="50"/>
        <v>1</v>
      </c>
      <c r="F104" s="124">
        <f t="shared" si="50"/>
        <v>11</v>
      </c>
      <c r="G104" s="124">
        <f t="shared" si="50"/>
        <v>3</v>
      </c>
      <c r="H104" s="124">
        <f t="shared" si="50"/>
        <v>22</v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Nikita S</v>
      </c>
      <c r="B105" s="4">
        <f t="shared" si="51"/>
        <v>1</v>
      </c>
      <c r="C105" s="4">
        <f t="shared" si="51"/>
        <v>18</v>
      </c>
      <c r="D105" s="4">
        <f t="shared" si="51"/>
        <v>12</v>
      </c>
      <c r="E105" s="4">
        <f t="shared" si="51"/>
        <v>3</v>
      </c>
      <c r="F105" s="4">
        <f t="shared" si="51"/>
        <v>3</v>
      </c>
      <c r="G105" s="4">
        <f t="shared" si="51"/>
        <v>0</v>
      </c>
      <c r="H105" s="4">
        <f t="shared" si="51"/>
        <v>25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Sonne</v>
      </c>
      <c r="B106" s="124" t="str">
        <f t="shared" si="52"/>
        <v/>
      </c>
      <c r="C106" s="124" t="str">
        <f t="shared" si="52"/>
        <v/>
      </c>
      <c r="D106" s="124" t="str">
        <f t="shared" si="52"/>
        <v/>
      </c>
      <c r="E106" s="124" t="str">
        <f t="shared" si="52"/>
        <v/>
      </c>
      <c r="F106" s="124" t="str">
        <f t="shared" si="52"/>
        <v/>
      </c>
      <c r="G106" s="124" t="str">
        <f t="shared" si="52"/>
        <v/>
      </c>
      <c r="H106" s="12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Crosby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Kevin Zhou</v>
      </c>
      <c r="B108" s="124">
        <f t="shared" si="54"/>
        <v>2</v>
      </c>
      <c r="C108" s="124">
        <f t="shared" si="54"/>
        <v>20</v>
      </c>
      <c r="D108" s="124">
        <f t="shared" si="54"/>
        <v>7</v>
      </c>
      <c r="E108" s="124">
        <f t="shared" si="54"/>
        <v>0</v>
      </c>
      <c r="F108" s="124">
        <f t="shared" si="54"/>
        <v>13</v>
      </c>
      <c r="G108" s="124">
        <f t="shared" si="54"/>
        <v>0</v>
      </c>
      <c r="H108" s="124">
        <f t="shared" si="54"/>
        <v>24</v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Somil</v>
      </c>
      <c r="B109" s="4">
        <f t="shared" si="55"/>
        <v>3</v>
      </c>
      <c r="C109" s="4">
        <f t="shared" si="55"/>
        <v>14</v>
      </c>
      <c r="D109" s="4">
        <f t="shared" si="55"/>
        <v>9</v>
      </c>
      <c r="E109" s="4">
        <f t="shared" si="55"/>
        <v>1</v>
      </c>
      <c r="F109" s="4">
        <f t="shared" si="55"/>
        <v>4</v>
      </c>
      <c r="G109" s="4">
        <f t="shared" si="55"/>
        <v>0</v>
      </c>
      <c r="H109" s="4">
        <f t="shared" si="55"/>
        <v>25</v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Suyoag</v>
      </c>
      <c r="B110" s="124" t="str">
        <f t="shared" si="56"/>
        <v/>
      </c>
      <c r="C110" s="124" t="str">
        <f t="shared" si="56"/>
        <v/>
      </c>
      <c r="D110" s="124" t="str">
        <f t="shared" si="56"/>
        <v/>
      </c>
      <c r="E110" s="124" t="str">
        <f t="shared" si="56"/>
        <v/>
      </c>
      <c r="F110" s="124" t="str">
        <f t="shared" si="56"/>
        <v/>
      </c>
      <c r="G110" s="124" t="str">
        <f t="shared" si="56"/>
        <v/>
      </c>
      <c r="H110" s="12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Will Ho</v>
      </c>
      <c r="B111" s="4">
        <f t="shared" si="57"/>
        <v>4</v>
      </c>
      <c r="C111" s="4">
        <f t="shared" si="57"/>
        <v>7</v>
      </c>
      <c r="D111" s="4">
        <f t="shared" si="57"/>
        <v>0</v>
      </c>
      <c r="E111" s="4">
        <f t="shared" si="57"/>
        <v>0</v>
      </c>
      <c r="F111" s="4">
        <f t="shared" si="57"/>
        <v>5</v>
      </c>
      <c r="G111" s="4">
        <f t="shared" si="57"/>
        <v>2</v>
      </c>
      <c r="H111" s="4">
        <f t="shared" si="57"/>
        <v>25</v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>Nagle</v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>
        <f t="shared" si="64"/>
        <v>2</v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97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0.3958333333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0"/>
      <c r="J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tr">
        <f>'Full Schedule'!M3</f>
        <v>Candice?</v>
      </c>
      <c r="D1" s="4" t="s">
        <v>176</v>
      </c>
      <c r="E1" s="4" t="str">
        <f>if(C19&gt;L19, "Win", "Loss")</f>
        <v>Win</v>
      </c>
      <c r="G1" s="75" t="s">
        <v>177</v>
      </c>
      <c r="H1" s="128">
        <f>C19-L19</f>
        <v>1</v>
      </c>
      <c r="I1" s="178" t="s">
        <v>214</v>
      </c>
      <c r="J1" s="165" t="str">
        <f>'Full Schedule'!N3</f>
        <v>Team C</v>
      </c>
      <c r="M1" s="75" t="s">
        <v>176</v>
      </c>
      <c r="N1" s="128" t="str">
        <f>if(L19&gt;C19, "Win", "Loss")</f>
        <v>Loss</v>
      </c>
      <c r="P1" s="75" t="s">
        <v>177</v>
      </c>
      <c r="Q1" s="128">
        <f>L19-C19</f>
        <v>-1</v>
      </c>
    </row>
    <row r="2">
      <c r="A2" s="167" t="s">
        <v>192</v>
      </c>
      <c r="B2" s="179" t="s">
        <v>215</v>
      </c>
      <c r="C2" s="179" t="s">
        <v>216</v>
      </c>
      <c r="D2" s="179" t="s">
        <v>217</v>
      </c>
      <c r="E2" s="179" t="s">
        <v>218</v>
      </c>
      <c r="F2" s="179" t="s">
        <v>219</v>
      </c>
      <c r="G2" s="179" t="s">
        <v>220</v>
      </c>
      <c r="H2" s="179" t="s">
        <v>200</v>
      </c>
      <c r="I2" s="180"/>
      <c r="J2" s="167" t="s">
        <v>192</v>
      </c>
      <c r="K2" s="179" t="s">
        <v>215</v>
      </c>
      <c r="L2" s="179" t="s">
        <v>216</v>
      </c>
      <c r="M2" s="179" t="s">
        <v>217</v>
      </c>
      <c r="N2" s="179" t="s">
        <v>218</v>
      </c>
      <c r="O2" s="179" t="s">
        <v>219</v>
      </c>
      <c r="P2" s="179" t="s">
        <v>220</v>
      </c>
      <c r="Q2" s="179" t="s">
        <v>200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75">
        <v>5.0</v>
      </c>
      <c r="C3" s="181">
        <f t="shared" ref="C3:C17" si="1">if(sum(D3:G3)&gt;0, sum(D3:G3), "")</f>
        <v>14</v>
      </c>
      <c r="D3" s="75">
        <v>4.0</v>
      </c>
      <c r="E3" s="75">
        <v>5.0</v>
      </c>
      <c r="F3" s="75">
        <v>3.0</v>
      </c>
      <c r="G3" s="75">
        <v>2.0</v>
      </c>
      <c r="H3" s="75">
        <v>27.0</v>
      </c>
      <c r="I3" s="180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Matt</v>
      </c>
      <c r="K3" s="75">
        <v>6.0</v>
      </c>
      <c r="L3" s="181">
        <f t="shared" ref="L3:L17" si="2">if(sum(M3:P3)&gt;0, sum(M3:P3), "")</f>
        <v>13</v>
      </c>
      <c r="M3" s="75">
        <v>5.0</v>
      </c>
      <c r="N3" s="75">
        <v>1.0</v>
      </c>
      <c r="O3" s="75">
        <v>4.0</v>
      </c>
      <c r="P3" s="75">
        <v>3.0</v>
      </c>
      <c r="Q3" s="75">
        <v>31.0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 Y</v>
      </c>
      <c r="C4" s="146" t="str">
        <f t="shared" si="1"/>
        <v/>
      </c>
      <c r="I4" s="180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Gid</v>
      </c>
      <c r="K4" s="75">
        <v>5.0</v>
      </c>
      <c r="L4" s="146">
        <f t="shared" si="2"/>
        <v>19</v>
      </c>
      <c r="M4" s="75">
        <v>10.0</v>
      </c>
      <c r="N4" s="75">
        <v>0.0</v>
      </c>
      <c r="O4" s="75">
        <v>7.0</v>
      </c>
      <c r="P4" s="75">
        <v>2.0</v>
      </c>
      <c r="Q4" s="75">
        <v>27.0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Porco</v>
      </c>
      <c r="B5" s="75">
        <v>6.0</v>
      </c>
      <c r="C5" s="4">
        <f t="shared" si="1"/>
        <v>17</v>
      </c>
      <c r="D5" s="75">
        <v>11.0</v>
      </c>
      <c r="E5" s="75">
        <v>1.0</v>
      </c>
      <c r="F5" s="75">
        <v>3.0</v>
      </c>
      <c r="G5" s="75">
        <v>2.0</v>
      </c>
      <c r="H5" s="75">
        <v>29.0</v>
      </c>
      <c r="I5" s="180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Nikita S</v>
      </c>
      <c r="L5" s="4" t="str">
        <f t="shared" si="2"/>
        <v/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Marmo</v>
      </c>
      <c r="B6" s="75">
        <v>1.0</v>
      </c>
      <c r="C6" s="4">
        <f t="shared" si="1"/>
        <v>18</v>
      </c>
      <c r="D6" s="75">
        <v>1.0</v>
      </c>
      <c r="E6" s="75">
        <v>1.0</v>
      </c>
      <c r="F6" s="75">
        <v>15.0</v>
      </c>
      <c r="G6" s="75">
        <v>1.0</v>
      </c>
      <c r="H6" s="75">
        <v>27.0</v>
      </c>
      <c r="I6" s="180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Sonne</v>
      </c>
      <c r="K6" s="75">
        <v>3.0</v>
      </c>
      <c r="L6" s="4">
        <f t="shared" si="2"/>
        <v>25</v>
      </c>
      <c r="M6" s="75">
        <v>10.0</v>
      </c>
      <c r="N6" s="75">
        <v>2.0</v>
      </c>
      <c r="O6" s="75">
        <v>13.0</v>
      </c>
      <c r="P6" s="75">
        <v>0.0</v>
      </c>
      <c r="Q6" s="75">
        <v>24.0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Swit</v>
      </c>
      <c r="B7" s="75">
        <v>2.0</v>
      </c>
      <c r="C7" s="146">
        <f t="shared" si="1"/>
        <v>16</v>
      </c>
      <c r="D7" s="75">
        <v>8.0</v>
      </c>
      <c r="E7" s="75">
        <v>0.0</v>
      </c>
      <c r="F7" s="75">
        <v>8.0</v>
      </c>
      <c r="G7" s="75">
        <v>0.0</v>
      </c>
      <c r="H7" s="75">
        <v>24.0</v>
      </c>
      <c r="I7" s="180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Crosby</v>
      </c>
      <c r="K7" s="75">
        <v>1.0</v>
      </c>
      <c r="L7" s="146">
        <f t="shared" si="2"/>
        <v>24</v>
      </c>
      <c r="M7" s="75">
        <v>7.0</v>
      </c>
      <c r="N7" s="75">
        <v>2.0</v>
      </c>
      <c r="O7" s="75">
        <v>13.0</v>
      </c>
      <c r="P7" s="75">
        <v>2.0</v>
      </c>
      <c r="Q7" s="75">
        <v>24.0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Emi</v>
      </c>
      <c r="B8" s="75">
        <v>4.0</v>
      </c>
      <c r="C8" s="146">
        <f t="shared" si="1"/>
        <v>16</v>
      </c>
      <c r="D8" s="75">
        <v>2.0</v>
      </c>
      <c r="E8" s="75">
        <v>2.0</v>
      </c>
      <c r="F8" s="75">
        <v>12.0</v>
      </c>
      <c r="G8" s="75">
        <v>0.0</v>
      </c>
      <c r="H8" s="75">
        <v>26.0</v>
      </c>
      <c r="I8" s="180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Kevin Zhou</v>
      </c>
      <c r="L8" s="146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SoHo</v>
      </c>
      <c r="B9" s="75">
        <v>3.0</v>
      </c>
      <c r="C9" s="146">
        <f t="shared" si="1"/>
        <v>16</v>
      </c>
      <c r="D9" s="75">
        <v>9.0</v>
      </c>
      <c r="E9" s="75">
        <v>0.0</v>
      </c>
      <c r="F9" s="75">
        <v>4.0</v>
      </c>
      <c r="G9" s="75">
        <v>3.0</v>
      </c>
      <c r="H9" s="75">
        <v>28.0</v>
      </c>
      <c r="I9" s="180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Somil</v>
      </c>
      <c r="L9" s="146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/>
      </c>
      <c r="C10" s="146" t="str">
        <f t="shared" si="1"/>
        <v/>
      </c>
      <c r="I10" s="180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Suyoag</v>
      </c>
      <c r="K10" s="75">
        <v>2.0</v>
      </c>
      <c r="L10" s="146">
        <f t="shared" si="2"/>
        <v>12</v>
      </c>
      <c r="M10" s="75">
        <v>5.0</v>
      </c>
      <c r="N10" s="75">
        <v>0.0</v>
      </c>
      <c r="O10" s="75">
        <v>7.0</v>
      </c>
      <c r="P10" s="75">
        <v>0.0</v>
      </c>
      <c r="Q10" s="75">
        <v>30.0</v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/>
      </c>
      <c r="C11" s="4" t="str">
        <f t="shared" si="1"/>
        <v/>
      </c>
      <c r="I11" s="180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Will Ho</v>
      </c>
      <c r="K11" s="75">
        <v>4.0</v>
      </c>
      <c r="L11" s="4">
        <f t="shared" si="2"/>
        <v>6</v>
      </c>
      <c r="M11" s="75">
        <v>3.0</v>
      </c>
      <c r="N11" s="75">
        <v>0.0</v>
      </c>
      <c r="O11" s="75">
        <v>2.0</v>
      </c>
      <c r="P11" s="75">
        <v>1.0</v>
      </c>
      <c r="Q11" s="75">
        <v>30.0</v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80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Nagle</v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4" t="str">
        <f t="shared" si="1"/>
        <v/>
      </c>
      <c r="I13" s="180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4" t="str">
        <f t="shared" si="1"/>
        <v/>
      </c>
      <c r="I14" s="180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4" t="str">
        <f t="shared" si="1"/>
        <v/>
      </c>
      <c r="I15" s="180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4" t="str">
        <f t="shared" si="1"/>
        <v/>
      </c>
      <c r="I16" s="180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4" t="str">
        <f t="shared" si="1"/>
        <v/>
      </c>
      <c r="I17" s="180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4" t="str">
        <f t="shared" si="2"/>
        <v/>
      </c>
    </row>
    <row r="18">
      <c r="A18" s="163" t="s">
        <v>221</v>
      </c>
      <c r="C18" s="75">
        <v>3.0</v>
      </c>
      <c r="I18" s="180"/>
      <c r="J18" s="163" t="s">
        <v>221</v>
      </c>
    </row>
    <row r="19">
      <c r="A19" s="182" t="s">
        <v>184</v>
      </c>
      <c r="B19" s="183"/>
      <c r="C19" s="183">
        <f>sum(C3:C18)</f>
        <v>100</v>
      </c>
      <c r="D19" s="184"/>
      <c r="E19" s="184"/>
      <c r="F19" s="184"/>
      <c r="G19" s="184"/>
      <c r="H19" s="175">
        <f>sum(C3:C17)/(sum(C3:C17)+sum(H3:H17))</f>
        <v>0.3759689922</v>
      </c>
      <c r="I19" s="180"/>
      <c r="J19" s="182" t="s">
        <v>184</v>
      </c>
      <c r="K19" s="183"/>
      <c r="L19" s="183">
        <f>sum(L3:L18)</f>
        <v>99</v>
      </c>
      <c r="M19" s="184"/>
      <c r="N19" s="184"/>
      <c r="O19" s="184"/>
      <c r="P19" s="184"/>
      <c r="Q19" s="175">
        <f>sum(L3:L17)/(sum(L3:L17)+sum(Q3:Q17))</f>
        <v>0.3735849057</v>
      </c>
    </row>
    <row r="20">
      <c r="A20" s="4"/>
      <c r="I20" s="180"/>
      <c r="J20" s="4"/>
    </row>
    <row r="21">
      <c r="A21" s="161" t="str">
        <f>'Full Schedule'!M4</f>
        <v>Team E</v>
      </c>
      <c r="D21" s="4" t="s">
        <v>176</v>
      </c>
      <c r="E21" s="4" t="str">
        <f>if(C39&gt;L39, "Win", "Loss")</f>
        <v>Win</v>
      </c>
      <c r="G21" s="75" t="s">
        <v>177</v>
      </c>
      <c r="H21" s="128">
        <f>C39-L39</f>
        <v>0.5</v>
      </c>
      <c r="I21" s="178" t="s">
        <v>214</v>
      </c>
      <c r="J21" s="161" t="str">
        <f>'Full Schedule'!N4</f>
        <v>Migos</v>
      </c>
      <c r="M21" s="75" t="s">
        <v>176</v>
      </c>
      <c r="N21" s="128" t="str">
        <f>if(L39&gt;C39, "Win", "Loss")</f>
        <v>Loss</v>
      </c>
      <c r="P21" s="75" t="s">
        <v>177</v>
      </c>
      <c r="Q21" s="128">
        <f>L39-C39</f>
        <v>-0.5</v>
      </c>
    </row>
    <row r="22">
      <c r="A22" s="167" t="s">
        <v>192</v>
      </c>
      <c r="B22" s="179" t="s">
        <v>215</v>
      </c>
      <c r="C22" s="179" t="s">
        <v>216</v>
      </c>
      <c r="D22" s="179" t="s">
        <v>217</v>
      </c>
      <c r="E22" s="179" t="s">
        <v>218</v>
      </c>
      <c r="F22" s="179" t="s">
        <v>219</v>
      </c>
      <c r="G22" s="179" t="s">
        <v>220</v>
      </c>
      <c r="H22" s="179" t="s">
        <v>200</v>
      </c>
      <c r="I22" s="180"/>
      <c r="J22" s="167" t="s">
        <v>192</v>
      </c>
      <c r="K22" s="179" t="s">
        <v>215</v>
      </c>
      <c r="L22" s="179" t="s">
        <v>216</v>
      </c>
      <c r="M22" s="179" t="s">
        <v>217</v>
      </c>
      <c r="N22" s="179" t="s">
        <v>218</v>
      </c>
      <c r="O22" s="179" t="s">
        <v>219</v>
      </c>
      <c r="P22" s="179" t="s">
        <v>220</v>
      </c>
      <c r="Q22" s="179" t="s">
        <v>200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Taran</v>
      </c>
      <c r="B23" s="75">
        <v>6.0</v>
      </c>
      <c r="C23" s="181">
        <f t="shared" ref="C23:C37" si="3">if(sum(D23:G23)&gt;0, sum(D23:G23), "")</f>
        <v>23</v>
      </c>
      <c r="D23" s="75">
        <v>8.0</v>
      </c>
      <c r="E23" s="75">
        <v>1.0</v>
      </c>
      <c r="F23" s="75">
        <v>6.0</v>
      </c>
      <c r="G23" s="75">
        <v>8.0</v>
      </c>
      <c r="H23" s="75">
        <v>30.0</v>
      </c>
      <c r="I23" s="180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Leo</v>
      </c>
      <c r="K23" s="75">
        <v>2.0</v>
      </c>
      <c r="L23" s="181">
        <f t="shared" ref="L23:L37" si="4">if(sum(M23:P23)&gt;0, sum(M23:P23), "")</f>
        <v>16</v>
      </c>
      <c r="M23" s="75">
        <v>7.0</v>
      </c>
      <c r="N23" s="75">
        <v>2.0</v>
      </c>
      <c r="O23" s="75">
        <v>5.0</v>
      </c>
      <c r="P23" s="75">
        <v>2.0</v>
      </c>
      <c r="Q23" s="75">
        <v>34.0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Miguel F</v>
      </c>
      <c r="C24" s="146" t="str">
        <f t="shared" si="3"/>
        <v/>
      </c>
      <c r="I24" s="180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Seb</v>
      </c>
      <c r="K24" s="75">
        <v>6.0</v>
      </c>
      <c r="L24" s="146">
        <f t="shared" si="4"/>
        <v>16</v>
      </c>
      <c r="M24" s="75">
        <v>5.0</v>
      </c>
      <c r="N24" s="75">
        <v>1.0</v>
      </c>
      <c r="O24" s="75">
        <v>6.0</v>
      </c>
      <c r="P24" s="75">
        <v>4.0</v>
      </c>
      <c r="Q24" s="75">
        <v>30.0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Mike H</v>
      </c>
      <c r="B25" s="75">
        <v>5.0</v>
      </c>
      <c r="C25" s="4">
        <f t="shared" si="3"/>
        <v>18</v>
      </c>
      <c r="D25" s="75">
        <v>12.0</v>
      </c>
      <c r="E25" s="75">
        <v>2.0</v>
      </c>
      <c r="F25" s="75">
        <v>4.0</v>
      </c>
      <c r="G25" s="75">
        <v>0.0</v>
      </c>
      <c r="H25" s="75">
        <v>31.0</v>
      </c>
      <c r="I25" s="180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Fritz</v>
      </c>
      <c r="L25" s="4" t="str">
        <f t="shared" si="4"/>
        <v/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Madams</v>
      </c>
      <c r="B26" s="75">
        <v>1.0</v>
      </c>
      <c r="C26" s="4">
        <f t="shared" si="3"/>
        <v>14</v>
      </c>
      <c r="D26" s="75">
        <v>3.0</v>
      </c>
      <c r="E26" s="75">
        <v>1.0</v>
      </c>
      <c r="F26" s="75">
        <v>9.0</v>
      </c>
      <c r="G26" s="75">
        <v>1.0</v>
      </c>
      <c r="H26" s="75">
        <v>33.0</v>
      </c>
      <c r="I26" s="180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Arnav</v>
      </c>
      <c r="K26" s="75">
        <v>5.0</v>
      </c>
      <c r="L26" s="4">
        <f t="shared" si="4"/>
        <v>23</v>
      </c>
      <c r="M26" s="75">
        <v>9.0</v>
      </c>
      <c r="N26" s="75">
        <v>3.0</v>
      </c>
      <c r="O26" s="75">
        <v>8.0</v>
      </c>
      <c r="P26" s="75">
        <v>3.0</v>
      </c>
      <c r="Q26" s="75">
        <v>29.0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Jay S</v>
      </c>
      <c r="B27" s="75">
        <v>2.0</v>
      </c>
      <c r="C27" s="146">
        <f t="shared" si="3"/>
        <v>18</v>
      </c>
      <c r="D27" s="75">
        <v>7.0</v>
      </c>
      <c r="E27" s="75">
        <v>0.0</v>
      </c>
      <c r="F27" s="75">
        <v>9.0</v>
      </c>
      <c r="G27" s="75">
        <v>2.0</v>
      </c>
      <c r="H27" s="75">
        <v>33.0</v>
      </c>
      <c r="I27" s="180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Lanuza</v>
      </c>
      <c r="K27" s="75">
        <v>1.0</v>
      </c>
      <c r="L27" s="146">
        <f t="shared" si="4"/>
        <v>15</v>
      </c>
      <c r="M27" s="75">
        <v>0.0</v>
      </c>
      <c r="N27" s="75">
        <v>0.0</v>
      </c>
      <c r="O27" s="75">
        <v>15.0</v>
      </c>
      <c r="P27" s="75">
        <v>0.0</v>
      </c>
      <c r="Q27" s="75">
        <v>32.0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Tripp</v>
      </c>
      <c r="C28" s="146" t="str">
        <f t="shared" si="3"/>
        <v/>
      </c>
      <c r="I28" s="180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Samos</v>
      </c>
      <c r="L28" s="146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Lulu</v>
      </c>
      <c r="C29" s="146" t="str">
        <f t="shared" si="3"/>
        <v/>
      </c>
      <c r="I29" s="180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Kyi</v>
      </c>
      <c r="L29" s="146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Ilt</v>
      </c>
      <c r="C30" s="146" t="str">
        <f t="shared" si="3"/>
        <v/>
      </c>
      <c r="I30" s="180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TC</v>
      </c>
      <c r="K30" s="75">
        <v>3.0</v>
      </c>
      <c r="L30" s="146">
        <f t="shared" si="4"/>
        <v>12</v>
      </c>
      <c r="M30" s="75">
        <v>7.0</v>
      </c>
      <c r="N30" s="75">
        <v>0.0</v>
      </c>
      <c r="O30" s="75">
        <v>5.0</v>
      </c>
      <c r="P30" s="75">
        <v>0.0</v>
      </c>
      <c r="Q30" s="75">
        <v>32.0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Pasha</v>
      </c>
      <c r="C31" s="4" t="str">
        <f t="shared" si="3"/>
        <v/>
      </c>
      <c r="I31" s="180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Adi</v>
      </c>
      <c r="K31" s="75">
        <v>4.0</v>
      </c>
      <c r="L31" s="4">
        <f t="shared" si="4"/>
        <v>19</v>
      </c>
      <c r="M31" s="75">
        <v>10.0</v>
      </c>
      <c r="N31" s="75">
        <v>1.0</v>
      </c>
      <c r="O31" s="75">
        <v>8.0</v>
      </c>
      <c r="P31" s="75">
        <v>0.0</v>
      </c>
      <c r="Q31" s="75">
        <v>30.0</v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80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4" t="str">
        <f t="shared" si="3"/>
        <v/>
      </c>
      <c r="I33" s="180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/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4" t="str">
        <f t="shared" si="3"/>
        <v/>
      </c>
      <c r="I34" s="180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4" t="str">
        <f t="shared" si="3"/>
        <v/>
      </c>
      <c r="I35" s="180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4" t="str">
        <f t="shared" si="3"/>
        <v/>
      </c>
      <c r="I36" s="180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4" t="str">
        <f t="shared" si="3"/>
        <v/>
      </c>
      <c r="I37" s="180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4" t="str">
        <f t="shared" si="4"/>
        <v/>
      </c>
    </row>
    <row r="38">
      <c r="A38" s="163" t="s">
        <v>221</v>
      </c>
      <c r="C38" s="75">
        <v>27.0</v>
      </c>
      <c r="I38" s="180"/>
      <c r="J38" s="163" t="s">
        <v>221</v>
      </c>
      <c r="L38" s="75">
        <v>-1.5</v>
      </c>
    </row>
    <row r="39">
      <c r="A39" s="182" t="s">
        <v>184</v>
      </c>
      <c r="B39" s="183"/>
      <c r="C39" s="183">
        <f>sum(C23:C38)</f>
        <v>100</v>
      </c>
      <c r="D39" s="184"/>
      <c r="E39" s="184"/>
      <c r="F39" s="184"/>
      <c r="G39" s="184"/>
      <c r="H39" s="175">
        <f>sum(C23:C37)/(sum(C23:C37)+sum(H23:H37))</f>
        <v>0.365</v>
      </c>
      <c r="I39" s="180"/>
      <c r="J39" s="182" t="s">
        <v>184</v>
      </c>
      <c r="K39" s="183"/>
      <c r="L39" s="183">
        <f>sum(L23:L38)</f>
        <v>99.5</v>
      </c>
      <c r="M39" s="184"/>
      <c r="N39" s="184"/>
      <c r="O39" s="184"/>
      <c r="P39" s="184"/>
      <c r="Q39" s="175">
        <f>sum(L23:L37)/(sum(L23:L37)+sum(Q23:Q37))</f>
        <v>0.3506944444</v>
      </c>
    </row>
    <row r="40">
      <c r="A40" s="4"/>
      <c r="I40" s="180"/>
      <c r="J40" s="4"/>
    </row>
    <row r="41">
      <c r="A41" s="161" t="str">
        <f>'Full Schedule'!M5</f>
        <v>Gargantuan</v>
      </c>
      <c r="D41" s="4" t="s">
        <v>176</v>
      </c>
      <c r="E41" s="4" t="str">
        <f>if(C59&gt;L59, "Win", "Loss")</f>
        <v>Loss</v>
      </c>
      <c r="G41" s="75" t="s">
        <v>177</v>
      </c>
      <c r="H41" s="128">
        <f>C59-L59</f>
        <v>-4</v>
      </c>
      <c r="I41" s="178" t="s">
        <v>214</v>
      </c>
      <c r="J41" s="161" t="str">
        <f>'Full Schedule'!N5</f>
        <v>Team F</v>
      </c>
      <c r="M41" s="75" t="s">
        <v>176</v>
      </c>
      <c r="N41" s="128" t="str">
        <f>if(L59&gt;C59, "Win", "Loss")</f>
        <v>Win</v>
      </c>
      <c r="P41" s="75" t="s">
        <v>177</v>
      </c>
      <c r="Q41" s="128">
        <f>L59-C59</f>
        <v>4</v>
      </c>
    </row>
    <row r="42">
      <c r="A42" s="167" t="s">
        <v>192</v>
      </c>
      <c r="B42" s="179" t="s">
        <v>215</v>
      </c>
      <c r="C42" s="179" t="s">
        <v>216</v>
      </c>
      <c r="D42" s="179" t="s">
        <v>217</v>
      </c>
      <c r="E42" s="179" t="s">
        <v>218</v>
      </c>
      <c r="F42" s="179" t="s">
        <v>219</v>
      </c>
      <c r="G42" s="179" t="s">
        <v>220</v>
      </c>
      <c r="H42" s="179" t="s">
        <v>200</v>
      </c>
      <c r="I42" s="180"/>
      <c r="J42" s="167" t="s">
        <v>192</v>
      </c>
      <c r="K42" s="179" t="s">
        <v>215</v>
      </c>
      <c r="L42" s="179" t="s">
        <v>216</v>
      </c>
      <c r="M42" s="179" t="s">
        <v>217</v>
      </c>
      <c r="N42" s="179" t="s">
        <v>218</v>
      </c>
      <c r="O42" s="179" t="s">
        <v>219</v>
      </c>
      <c r="P42" s="179" t="s">
        <v>220</v>
      </c>
      <c r="Q42" s="179" t="s">
        <v>200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Maas</v>
      </c>
      <c r="C43" s="181" t="str">
        <f t="shared" ref="C43:C57" si="5">if(sum(D43:G43)&gt;0, sum(D43:G43), "")</f>
        <v/>
      </c>
      <c r="I43" s="180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BXu</v>
      </c>
      <c r="L43" s="181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Hawkins</v>
      </c>
      <c r="B44" s="75">
        <v>1.0</v>
      </c>
      <c r="C44" s="146">
        <f t="shared" si="5"/>
        <v>22</v>
      </c>
      <c r="D44" s="75">
        <v>7.0</v>
      </c>
      <c r="E44" s="75">
        <v>2.0</v>
      </c>
      <c r="F44" s="75">
        <v>13.0</v>
      </c>
      <c r="G44" s="75">
        <v>0.0</v>
      </c>
      <c r="H44" s="75">
        <v>21.0</v>
      </c>
      <c r="I44" s="180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JChan</v>
      </c>
      <c r="K44" s="75">
        <v>6.0</v>
      </c>
      <c r="L44" s="146">
        <f t="shared" si="6"/>
        <v>13</v>
      </c>
      <c r="M44" s="75">
        <v>4.0</v>
      </c>
      <c r="N44" s="75">
        <v>1.0</v>
      </c>
      <c r="O44" s="75">
        <v>6.0</v>
      </c>
      <c r="P44" s="75">
        <v>2.0</v>
      </c>
      <c r="Q44" s="75">
        <v>25.0</v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Grish</v>
      </c>
      <c r="B45" s="75">
        <v>6.0</v>
      </c>
      <c r="C45" s="4">
        <f t="shared" si="5"/>
        <v>14</v>
      </c>
      <c r="D45" s="75">
        <v>4.0</v>
      </c>
      <c r="E45" s="75">
        <v>1.0</v>
      </c>
      <c r="F45" s="75">
        <v>9.0</v>
      </c>
      <c r="G45" s="75">
        <v>0.0</v>
      </c>
      <c r="H45" s="75">
        <v>25.0</v>
      </c>
      <c r="I45" s="180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DC</v>
      </c>
      <c r="K45" s="75">
        <v>3.0</v>
      </c>
      <c r="L45" s="4">
        <f t="shared" si="6"/>
        <v>18</v>
      </c>
      <c r="M45" s="75">
        <v>12.0</v>
      </c>
      <c r="N45" s="75">
        <v>2.0</v>
      </c>
      <c r="O45" s="75">
        <v>2.0</v>
      </c>
      <c r="P45" s="75">
        <v>2.0</v>
      </c>
      <c r="Q45" s="75">
        <v>22.0</v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Rockett</v>
      </c>
      <c r="B46" s="75">
        <v>2.0</v>
      </c>
      <c r="C46" s="4">
        <f t="shared" si="5"/>
        <v>17</v>
      </c>
      <c r="D46" s="75">
        <v>7.0</v>
      </c>
      <c r="E46" s="75">
        <v>1.0</v>
      </c>
      <c r="F46" s="75">
        <v>8.0</v>
      </c>
      <c r="G46" s="75">
        <v>1.0</v>
      </c>
      <c r="H46" s="75">
        <v>24.0</v>
      </c>
      <c r="I46" s="180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Schmid</v>
      </c>
      <c r="K46" s="75">
        <v>1.0</v>
      </c>
      <c r="L46" s="4">
        <f t="shared" si="6"/>
        <v>25</v>
      </c>
      <c r="M46" s="75">
        <v>12.0</v>
      </c>
      <c r="N46" s="75">
        <v>2.0</v>
      </c>
      <c r="O46" s="75">
        <v>8.0</v>
      </c>
      <c r="P46" s="75">
        <v>3.0</v>
      </c>
      <c r="Q46" s="75">
        <v>22.0</v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Du</v>
      </c>
      <c r="C47" s="146" t="str">
        <f t="shared" si="5"/>
        <v/>
      </c>
      <c r="I47" s="180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Kian</v>
      </c>
      <c r="K47" s="75">
        <v>4.0</v>
      </c>
      <c r="L47" s="146">
        <f t="shared" si="6"/>
        <v>14</v>
      </c>
      <c r="M47" s="75">
        <v>5.0</v>
      </c>
      <c r="N47" s="75">
        <v>2.0</v>
      </c>
      <c r="O47" s="75">
        <v>5.0</v>
      </c>
      <c r="P47" s="75">
        <v>2.0</v>
      </c>
      <c r="Q47" s="75">
        <v>26.0</v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Raymond</v>
      </c>
      <c r="C48" s="146" t="str">
        <f t="shared" si="5"/>
        <v/>
      </c>
      <c r="I48" s="180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Hando</v>
      </c>
      <c r="K48" s="75">
        <v>2.0</v>
      </c>
      <c r="L48" s="146">
        <f t="shared" si="6"/>
        <v>16</v>
      </c>
      <c r="M48" s="75">
        <v>5.0</v>
      </c>
      <c r="N48" s="75">
        <v>0.0</v>
      </c>
      <c r="O48" s="75">
        <v>9.0</v>
      </c>
      <c r="P48" s="75">
        <v>2.0</v>
      </c>
      <c r="Q48" s="75">
        <v>25.0</v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Derek</v>
      </c>
      <c r="C49" s="146" t="str">
        <f t="shared" si="5"/>
        <v/>
      </c>
      <c r="I49" s="180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Petric</v>
      </c>
      <c r="K49" s="75">
        <v>5.0</v>
      </c>
      <c r="L49" s="146">
        <f t="shared" si="6"/>
        <v>14</v>
      </c>
      <c r="M49" s="75">
        <v>1.0</v>
      </c>
      <c r="N49" s="75">
        <v>0.0</v>
      </c>
      <c r="O49" s="75">
        <v>13.0</v>
      </c>
      <c r="P49" s="75">
        <v>0.0</v>
      </c>
      <c r="Q49" s="75">
        <v>24.0</v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Neo</v>
      </c>
      <c r="B50" s="75">
        <v>3.0</v>
      </c>
      <c r="C50" s="146">
        <f t="shared" si="5"/>
        <v>10</v>
      </c>
      <c r="D50" s="75">
        <v>4.0</v>
      </c>
      <c r="E50" s="75">
        <v>0.0</v>
      </c>
      <c r="F50" s="75">
        <v>6.0</v>
      </c>
      <c r="G50" s="75">
        <v>0.0</v>
      </c>
      <c r="H50" s="75">
        <v>26.0</v>
      </c>
      <c r="I50" s="180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Mike Zhou</v>
      </c>
      <c r="L50" s="146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Brendan</v>
      </c>
      <c r="B51" s="75">
        <v>5.0</v>
      </c>
      <c r="C51" s="4">
        <f t="shared" si="5"/>
        <v>20</v>
      </c>
      <c r="D51" s="75">
        <v>9.0</v>
      </c>
      <c r="E51" s="75">
        <v>4.0</v>
      </c>
      <c r="F51" s="75">
        <v>7.0</v>
      </c>
      <c r="G51" s="75">
        <v>0.0</v>
      </c>
      <c r="H51" s="75">
        <v>24.0</v>
      </c>
      <c r="I51" s="180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Cole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Hanono</v>
      </c>
      <c r="B52" s="75">
        <v>4.0</v>
      </c>
      <c r="C52" s="4">
        <f t="shared" si="5"/>
        <v>12</v>
      </c>
      <c r="D52" s="75">
        <v>5.0</v>
      </c>
      <c r="E52" s="75">
        <v>1.0</v>
      </c>
      <c r="F52" s="75">
        <v>6.0</v>
      </c>
      <c r="G52" s="75">
        <v>0.0</v>
      </c>
      <c r="H52" s="75">
        <v>27.0</v>
      </c>
      <c r="I52" s="180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/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4" t="str">
        <f t="shared" si="5"/>
        <v/>
      </c>
      <c r="I53" s="180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4" t="str">
        <f t="shared" si="5"/>
        <v/>
      </c>
      <c r="I54" s="180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4" t="str">
        <f t="shared" si="5"/>
        <v/>
      </c>
      <c r="I55" s="180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4" t="str">
        <f t="shared" si="5"/>
        <v/>
      </c>
      <c r="I56" s="180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4" t="str">
        <f t="shared" si="5"/>
        <v/>
      </c>
      <c r="I57" s="180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4" t="str">
        <f t="shared" si="6"/>
        <v/>
      </c>
    </row>
    <row r="58">
      <c r="A58" s="163" t="s">
        <v>221</v>
      </c>
      <c r="C58" s="75">
        <v>1.0</v>
      </c>
      <c r="I58" s="180"/>
      <c r="J58" s="163" t="s">
        <v>221</v>
      </c>
    </row>
    <row r="59">
      <c r="A59" s="182" t="s">
        <v>184</v>
      </c>
      <c r="B59" s="183"/>
      <c r="C59" s="183">
        <f>sum(C43:C58)</f>
        <v>96</v>
      </c>
      <c r="D59" s="184"/>
      <c r="E59" s="184"/>
      <c r="F59" s="184"/>
      <c r="G59" s="184"/>
      <c r="H59" s="175">
        <f>sum(C43:C57)/(sum(C43:C57)+sum(H43:H57))</f>
        <v>0.3925619835</v>
      </c>
      <c r="I59" s="180"/>
      <c r="J59" s="182" t="s">
        <v>184</v>
      </c>
      <c r="K59" s="183"/>
      <c r="L59" s="183">
        <f>sum(L43:L58)</f>
        <v>100</v>
      </c>
      <c r="M59" s="184"/>
      <c r="N59" s="184"/>
      <c r="O59" s="184"/>
      <c r="P59" s="184"/>
      <c r="Q59" s="175">
        <f>sum(L43:L57)/(sum(L43:L57)+sum(Q43:Q57))</f>
        <v>0.4098360656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77" t="str">
        <f t="shared" ref="A61:R61" si="7">J1</f>
        <v>Team C</v>
      </c>
      <c r="B61" s="4" t="str">
        <f t="shared" si="7"/>
        <v/>
      </c>
      <c r="C61" s="4" t="str">
        <f t="shared" si="7"/>
        <v/>
      </c>
      <c r="D61" s="177" t="str">
        <f t="shared" si="7"/>
        <v>Result</v>
      </c>
      <c r="E61" s="166" t="str">
        <f t="shared" si="7"/>
        <v>Loss</v>
      </c>
      <c r="F61" s="4" t="str">
        <f t="shared" si="7"/>
        <v/>
      </c>
      <c r="G61" s="177" t="str">
        <f t="shared" si="7"/>
        <v>Margin</v>
      </c>
      <c r="H61" s="124">
        <f t="shared" si="7"/>
        <v>-1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77" t="str">
        <f t="shared" ref="A62:Q62" si="8">J2</f>
        <v>Name</v>
      </c>
      <c r="B62" s="177" t="str">
        <f t="shared" si="8"/>
        <v>Shot Order</v>
      </c>
      <c r="C62" s="177" t="str">
        <f t="shared" si="8"/>
        <v>Total Cups</v>
      </c>
      <c r="D62" s="177" t="str">
        <f t="shared" si="8"/>
        <v>Tops</v>
      </c>
      <c r="E62" s="177" t="str">
        <f t="shared" si="8"/>
        <v>Top Isos</v>
      </c>
      <c r="F62" s="177" t="str">
        <f t="shared" si="8"/>
        <v>Bottoms</v>
      </c>
      <c r="G62" s="177" t="str">
        <f t="shared" si="8"/>
        <v>Bottom Isos</v>
      </c>
      <c r="H62" s="177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77" t="str">
        <f t="shared" ref="A63:Q63" si="9">J3</f>
        <v>Matt</v>
      </c>
      <c r="B63" s="124">
        <f t="shared" si="9"/>
        <v>6</v>
      </c>
      <c r="C63" s="124">
        <f t="shared" si="9"/>
        <v>13</v>
      </c>
      <c r="D63" s="124">
        <f t="shared" si="9"/>
        <v>5</v>
      </c>
      <c r="E63" s="124">
        <f t="shared" si="9"/>
        <v>1</v>
      </c>
      <c r="F63" s="124">
        <f t="shared" si="9"/>
        <v>4</v>
      </c>
      <c r="G63" s="124">
        <f t="shared" si="9"/>
        <v>3</v>
      </c>
      <c r="H63" s="124">
        <f t="shared" si="9"/>
        <v>31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77" t="str">
        <f t="shared" ref="A64:Q64" si="10">J4</f>
        <v>Gid</v>
      </c>
      <c r="B64" s="124">
        <f t="shared" si="10"/>
        <v>5</v>
      </c>
      <c r="C64" s="124">
        <f t="shared" si="10"/>
        <v>19</v>
      </c>
      <c r="D64" s="124">
        <f t="shared" si="10"/>
        <v>10</v>
      </c>
      <c r="E64" s="124">
        <f t="shared" si="10"/>
        <v>0</v>
      </c>
      <c r="F64" s="124">
        <f t="shared" si="10"/>
        <v>7</v>
      </c>
      <c r="G64" s="124">
        <f t="shared" si="10"/>
        <v>2</v>
      </c>
      <c r="H64" s="124">
        <f t="shared" si="10"/>
        <v>27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77" t="str">
        <f t="shared" ref="A65:Q65" si="11">J5</f>
        <v>Nikita S</v>
      </c>
      <c r="B65" s="124" t="str">
        <f t="shared" si="11"/>
        <v/>
      </c>
      <c r="C65" s="124" t="str">
        <f t="shared" si="11"/>
        <v/>
      </c>
      <c r="D65" s="124" t="str">
        <f t="shared" si="11"/>
        <v/>
      </c>
      <c r="E65" s="124" t="str">
        <f t="shared" si="11"/>
        <v/>
      </c>
      <c r="F65" s="124" t="str">
        <f t="shared" si="11"/>
        <v/>
      </c>
      <c r="G65" s="124" t="str">
        <f t="shared" si="11"/>
        <v/>
      </c>
      <c r="H65" s="124" t="str">
        <f t="shared" si="11"/>
        <v/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77" t="str">
        <f t="shared" ref="A66:Q66" si="12">J6</f>
        <v>Sonne</v>
      </c>
      <c r="B66" s="4">
        <f t="shared" si="12"/>
        <v>3</v>
      </c>
      <c r="C66" s="4">
        <f t="shared" si="12"/>
        <v>25</v>
      </c>
      <c r="D66" s="4">
        <f t="shared" si="12"/>
        <v>10</v>
      </c>
      <c r="E66" s="4">
        <f t="shared" si="12"/>
        <v>2</v>
      </c>
      <c r="F66" s="4">
        <f t="shared" si="12"/>
        <v>13</v>
      </c>
      <c r="G66" s="4">
        <f t="shared" si="12"/>
        <v>0</v>
      </c>
      <c r="H66" s="4">
        <f t="shared" si="12"/>
        <v>24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77" t="str">
        <f t="shared" ref="A67:Q67" si="13">J7</f>
        <v>Crosby</v>
      </c>
      <c r="B67" s="4">
        <f t="shared" si="13"/>
        <v>1</v>
      </c>
      <c r="C67" s="4">
        <f t="shared" si="13"/>
        <v>24</v>
      </c>
      <c r="D67" s="4">
        <f t="shared" si="13"/>
        <v>7</v>
      </c>
      <c r="E67" s="4">
        <f t="shared" si="13"/>
        <v>2</v>
      </c>
      <c r="F67" s="4">
        <f t="shared" si="13"/>
        <v>13</v>
      </c>
      <c r="G67" s="4">
        <f t="shared" si="13"/>
        <v>2</v>
      </c>
      <c r="H67" s="4">
        <f t="shared" si="13"/>
        <v>24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77" t="str">
        <f t="shared" ref="A68:Q68" si="14">J8</f>
        <v>Kevin Zhou</v>
      </c>
      <c r="B68" s="124" t="str">
        <f t="shared" si="14"/>
        <v/>
      </c>
      <c r="C68" s="124" t="str">
        <f t="shared" si="14"/>
        <v/>
      </c>
      <c r="D68" s="124" t="str">
        <f t="shared" si="14"/>
        <v/>
      </c>
      <c r="E68" s="124" t="str">
        <f t="shared" si="14"/>
        <v/>
      </c>
      <c r="F68" s="124" t="str">
        <f t="shared" si="14"/>
        <v/>
      </c>
      <c r="G68" s="124" t="str">
        <f t="shared" si="14"/>
        <v/>
      </c>
      <c r="H68" s="12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77" t="str">
        <f t="shared" ref="A69:Q69" si="15">J9</f>
        <v>Somil</v>
      </c>
      <c r="B69" s="124" t="str">
        <f t="shared" si="15"/>
        <v/>
      </c>
      <c r="C69" s="124" t="str">
        <f t="shared" si="15"/>
        <v/>
      </c>
      <c r="D69" s="124" t="str">
        <f t="shared" si="15"/>
        <v/>
      </c>
      <c r="E69" s="124" t="str">
        <f t="shared" si="15"/>
        <v/>
      </c>
      <c r="F69" s="124" t="str">
        <f t="shared" si="15"/>
        <v/>
      </c>
      <c r="G69" s="124" t="str">
        <f t="shared" si="15"/>
        <v/>
      </c>
      <c r="H69" s="12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77" t="str">
        <f t="shared" ref="A70:Q70" si="16">J10</f>
        <v>Suyoag</v>
      </c>
      <c r="B70" s="4">
        <f t="shared" si="16"/>
        <v>2</v>
      </c>
      <c r="C70" s="4">
        <f t="shared" si="16"/>
        <v>12</v>
      </c>
      <c r="D70" s="4">
        <f t="shared" si="16"/>
        <v>5</v>
      </c>
      <c r="E70" s="4">
        <f t="shared" si="16"/>
        <v>0</v>
      </c>
      <c r="F70" s="4">
        <f t="shared" si="16"/>
        <v>7</v>
      </c>
      <c r="G70" s="4">
        <f t="shared" si="16"/>
        <v>0</v>
      </c>
      <c r="H70" s="4">
        <f t="shared" si="16"/>
        <v>30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77" t="str">
        <f t="shared" ref="A71:Q71" si="17">J11</f>
        <v>Will Ho</v>
      </c>
      <c r="B71" s="124">
        <f t="shared" si="17"/>
        <v>4</v>
      </c>
      <c r="C71" s="124">
        <f t="shared" si="17"/>
        <v>6</v>
      </c>
      <c r="D71" s="124">
        <f t="shared" si="17"/>
        <v>3</v>
      </c>
      <c r="E71" s="124">
        <f t="shared" si="17"/>
        <v>0</v>
      </c>
      <c r="F71" s="124">
        <f t="shared" si="17"/>
        <v>2</v>
      </c>
      <c r="G71" s="124">
        <f t="shared" si="17"/>
        <v>1</v>
      </c>
      <c r="H71" s="124">
        <f t="shared" si="17"/>
        <v>30</v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77" t="str">
        <f t="shared" ref="A72:Q72" si="18">J12</f>
        <v>Nagle</v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77" t="str">
        <f t="shared" ref="A73:Q73" si="19">J13</f>
        <v/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/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/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/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/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77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77" t="str">
        <f t="shared" ref="A79:Q79" si="25">J19</f>
        <v>Total</v>
      </c>
      <c r="B79" s="4" t="str">
        <f t="shared" si="25"/>
        <v/>
      </c>
      <c r="C79" s="124">
        <f t="shared" si="25"/>
        <v>99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123">
        <f t="shared" si="25"/>
        <v>0.3735849057</v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77" t="str">
        <f t="shared" ref="A81:Q81" si="27">J21</f>
        <v>Migos</v>
      </c>
      <c r="B81" s="4" t="str">
        <f t="shared" si="27"/>
        <v/>
      </c>
      <c r="C81" s="4" t="str">
        <f t="shared" si="27"/>
        <v/>
      </c>
      <c r="D81" s="177" t="str">
        <f t="shared" si="27"/>
        <v>Result</v>
      </c>
      <c r="E81" s="162" t="str">
        <f t="shared" si="27"/>
        <v>Loss</v>
      </c>
      <c r="F81" s="4" t="str">
        <f t="shared" si="27"/>
        <v/>
      </c>
      <c r="G81" s="177" t="str">
        <f t="shared" si="27"/>
        <v>Margin</v>
      </c>
      <c r="H81" s="124">
        <f t="shared" si="27"/>
        <v>-0.5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77" t="str">
        <f t="shared" ref="A82:Q82" si="28">J22</f>
        <v>Name</v>
      </c>
      <c r="B82" s="177" t="str">
        <f t="shared" si="28"/>
        <v>Shot Order</v>
      </c>
      <c r="C82" s="177" t="str">
        <f t="shared" si="28"/>
        <v>Total Cups</v>
      </c>
      <c r="D82" s="177" t="str">
        <f t="shared" si="28"/>
        <v>Tops</v>
      </c>
      <c r="E82" s="177" t="str">
        <f t="shared" si="28"/>
        <v>Top Isos</v>
      </c>
      <c r="F82" s="177" t="str">
        <f t="shared" si="28"/>
        <v>Bottoms</v>
      </c>
      <c r="G82" s="177" t="str">
        <f t="shared" si="28"/>
        <v>Bottom Isos</v>
      </c>
      <c r="H82" s="177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77" t="str">
        <f t="shared" ref="A83:Q83" si="29">J23</f>
        <v>Leo</v>
      </c>
      <c r="B83" s="124">
        <f t="shared" si="29"/>
        <v>2</v>
      </c>
      <c r="C83" s="124">
        <f t="shared" si="29"/>
        <v>16</v>
      </c>
      <c r="D83" s="124">
        <f t="shared" si="29"/>
        <v>7</v>
      </c>
      <c r="E83" s="124">
        <f t="shared" si="29"/>
        <v>2</v>
      </c>
      <c r="F83" s="124">
        <f t="shared" si="29"/>
        <v>5</v>
      </c>
      <c r="G83" s="124">
        <f t="shared" si="29"/>
        <v>2</v>
      </c>
      <c r="H83" s="124">
        <f t="shared" si="29"/>
        <v>34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77" t="str">
        <f t="shared" ref="A84:Q84" si="30">J24</f>
        <v>Seb</v>
      </c>
      <c r="B84" s="124">
        <f t="shared" si="30"/>
        <v>6</v>
      </c>
      <c r="C84" s="124">
        <f t="shared" si="30"/>
        <v>16</v>
      </c>
      <c r="D84" s="124">
        <f t="shared" si="30"/>
        <v>5</v>
      </c>
      <c r="E84" s="124">
        <f t="shared" si="30"/>
        <v>1</v>
      </c>
      <c r="F84" s="124">
        <f t="shared" si="30"/>
        <v>6</v>
      </c>
      <c r="G84" s="124">
        <f t="shared" si="30"/>
        <v>4</v>
      </c>
      <c r="H84" s="124">
        <f t="shared" si="30"/>
        <v>30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77" t="str">
        <f t="shared" ref="A85:Q85" si="31">J25</f>
        <v>Fritz</v>
      </c>
      <c r="B85" s="124" t="str">
        <f t="shared" si="31"/>
        <v/>
      </c>
      <c r="C85" s="124" t="str">
        <f t="shared" si="31"/>
        <v/>
      </c>
      <c r="D85" s="124" t="str">
        <f t="shared" si="31"/>
        <v/>
      </c>
      <c r="E85" s="124" t="str">
        <f t="shared" si="31"/>
        <v/>
      </c>
      <c r="F85" s="124" t="str">
        <f t="shared" si="31"/>
        <v/>
      </c>
      <c r="G85" s="124" t="str">
        <f t="shared" si="31"/>
        <v/>
      </c>
      <c r="H85" s="124" t="str">
        <f t="shared" si="31"/>
        <v/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77" t="str">
        <f t="shared" ref="A86:Q86" si="32">J26</f>
        <v>Arnav</v>
      </c>
      <c r="B86" s="124">
        <f t="shared" si="32"/>
        <v>5</v>
      </c>
      <c r="C86" s="124">
        <f t="shared" si="32"/>
        <v>23</v>
      </c>
      <c r="D86" s="124">
        <f t="shared" si="32"/>
        <v>9</v>
      </c>
      <c r="E86" s="124">
        <f t="shared" si="32"/>
        <v>3</v>
      </c>
      <c r="F86" s="124">
        <f t="shared" si="32"/>
        <v>8</v>
      </c>
      <c r="G86" s="124">
        <f t="shared" si="32"/>
        <v>3</v>
      </c>
      <c r="H86" s="124">
        <f t="shared" si="32"/>
        <v>29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77" t="str">
        <f t="shared" ref="A87:Q87" si="33">J27</f>
        <v>Lanuza</v>
      </c>
      <c r="B87" s="124">
        <f t="shared" si="33"/>
        <v>1</v>
      </c>
      <c r="C87" s="124">
        <f t="shared" si="33"/>
        <v>15</v>
      </c>
      <c r="D87" s="124">
        <f t="shared" si="33"/>
        <v>0</v>
      </c>
      <c r="E87" s="124">
        <f t="shared" si="33"/>
        <v>0</v>
      </c>
      <c r="F87" s="124">
        <f t="shared" si="33"/>
        <v>15</v>
      </c>
      <c r="G87" s="124">
        <f t="shared" si="33"/>
        <v>0</v>
      </c>
      <c r="H87" s="124">
        <f t="shared" si="33"/>
        <v>32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77" t="str">
        <f t="shared" ref="A88:Q88" si="34">J28</f>
        <v>Samos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77" t="str">
        <f t="shared" ref="A89:Q89" si="35">J29</f>
        <v>Kyi</v>
      </c>
      <c r="B89" s="124" t="str">
        <f t="shared" si="35"/>
        <v/>
      </c>
      <c r="C89" s="124" t="str">
        <f t="shared" si="35"/>
        <v/>
      </c>
      <c r="D89" s="124" t="str">
        <f t="shared" si="35"/>
        <v/>
      </c>
      <c r="E89" s="124" t="str">
        <f t="shared" si="35"/>
        <v/>
      </c>
      <c r="F89" s="124" t="str">
        <f t="shared" si="35"/>
        <v/>
      </c>
      <c r="G89" s="124" t="str">
        <f t="shared" si="35"/>
        <v/>
      </c>
      <c r="H89" s="12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77" t="str">
        <f t="shared" ref="A90:Q90" si="36">J30</f>
        <v>TC</v>
      </c>
      <c r="B90" s="4">
        <f t="shared" si="36"/>
        <v>3</v>
      </c>
      <c r="C90" s="4">
        <f t="shared" si="36"/>
        <v>12</v>
      </c>
      <c r="D90" s="4">
        <f t="shared" si="36"/>
        <v>7</v>
      </c>
      <c r="E90" s="4">
        <f t="shared" si="36"/>
        <v>0</v>
      </c>
      <c r="F90" s="4">
        <f t="shared" si="36"/>
        <v>5</v>
      </c>
      <c r="G90" s="4">
        <f t="shared" si="36"/>
        <v>0</v>
      </c>
      <c r="H90" s="4">
        <f t="shared" si="36"/>
        <v>32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77" t="str">
        <f t="shared" ref="A91:Q91" si="37">J31</f>
        <v>Adi</v>
      </c>
      <c r="B91" s="4">
        <f t="shared" si="37"/>
        <v>4</v>
      </c>
      <c r="C91" s="4">
        <f t="shared" si="37"/>
        <v>19</v>
      </c>
      <c r="D91" s="4">
        <f t="shared" si="37"/>
        <v>10</v>
      </c>
      <c r="E91" s="4">
        <f t="shared" si="37"/>
        <v>1</v>
      </c>
      <c r="F91" s="4">
        <f t="shared" si="37"/>
        <v>8</v>
      </c>
      <c r="G91" s="4">
        <f t="shared" si="37"/>
        <v>0</v>
      </c>
      <c r="H91" s="4">
        <f t="shared" si="37"/>
        <v>30</v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77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77" t="str">
        <f t="shared" ref="A93:Q93" si="39">J33</f>
        <v/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/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/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/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/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77" t="str">
        <f t="shared" ref="A98:Q98" si="44">J38</f>
        <v>Pulled Cups</v>
      </c>
      <c r="B98" s="4" t="str">
        <f t="shared" si="44"/>
        <v/>
      </c>
      <c r="C98" s="4">
        <f t="shared" si="44"/>
        <v>-1.5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77" t="str">
        <f t="shared" ref="A99:Q99" si="45">J39</f>
        <v>Total</v>
      </c>
      <c r="B99" s="4" t="str">
        <f t="shared" si="45"/>
        <v/>
      </c>
      <c r="C99" s="124">
        <f t="shared" si="45"/>
        <v>99.5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123">
        <f t="shared" si="45"/>
        <v>0.3506944444</v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77" t="str">
        <f t="shared" ref="A101:Q101" si="47">J41</f>
        <v>Team F</v>
      </c>
      <c r="B101" s="4" t="str">
        <f t="shared" si="47"/>
        <v/>
      </c>
      <c r="C101" s="4" t="str">
        <f t="shared" si="47"/>
        <v/>
      </c>
      <c r="D101" s="177" t="str">
        <f t="shared" si="47"/>
        <v>Result</v>
      </c>
      <c r="E101" s="162" t="str">
        <f t="shared" si="47"/>
        <v>Win</v>
      </c>
      <c r="F101" s="4" t="str">
        <f t="shared" si="47"/>
        <v/>
      </c>
      <c r="G101" s="177" t="str">
        <f t="shared" si="47"/>
        <v>Margin</v>
      </c>
      <c r="H101" s="124">
        <f t="shared" si="47"/>
        <v>4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77" t="str">
        <f t="shared" ref="A102:Q102" si="48">J42</f>
        <v>Name</v>
      </c>
      <c r="B102" s="177" t="str">
        <f t="shared" si="48"/>
        <v>Shot Order</v>
      </c>
      <c r="C102" s="177" t="str">
        <f t="shared" si="48"/>
        <v>Total Cups</v>
      </c>
      <c r="D102" s="177" t="str">
        <f t="shared" si="48"/>
        <v>Tops</v>
      </c>
      <c r="E102" s="177" t="str">
        <f t="shared" si="48"/>
        <v>Top Isos</v>
      </c>
      <c r="F102" s="177" t="str">
        <f t="shared" si="48"/>
        <v>Bottoms</v>
      </c>
      <c r="G102" s="177" t="str">
        <f t="shared" si="48"/>
        <v>Bottom Isos</v>
      </c>
      <c r="H102" s="177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77" t="str">
        <f t="shared" ref="A103:Q103" si="49">J43</f>
        <v>BXu</v>
      </c>
      <c r="B103" s="124" t="str">
        <f t="shared" si="49"/>
        <v/>
      </c>
      <c r="C103" s="124" t="str">
        <f t="shared" si="49"/>
        <v/>
      </c>
      <c r="D103" s="124" t="str">
        <f t="shared" si="49"/>
        <v/>
      </c>
      <c r="E103" s="124" t="str">
        <f t="shared" si="49"/>
        <v/>
      </c>
      <c r="F103" s="124" t="str">
        <f t="shared" si="49"/>
        <v/>
      </c>
      <c r="G103" s="124" t="str">
        <f t="shared" si="49"/>
        <v/>
      </c>
      <c r="H103" s="12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77" t="str">
        <f t="shared" ref="A104:Q104" si="50">J44</f>
        <v>JChan</v>
      </c>
      <c r="B104" s="124">
        <f t="shared" si="50"/>
        <v>6</v>
      </c>
      <c r="C104" s="124">
        <f t="shared" si="50"/>
        <v>13</v>
      </c>
      <c r="D104" s="124">
        <f t="shared" si="50"/>
        <v>4</v>
      </c>
      <c r="E104" s="124">
        <f t="shared" si="50"/>
        <v>1</v>
      </c>
      <c r="F104" s="124">
        <f t="shared" si="50"/>
        <v>6</v>
      </c>
      <c r="G104" s="124">
        <f t="shared" si="50"/>
        <v>2</v>
      </c>
      <c r="H104" s="124">
        <f t="shared" si="50"/>
        <v>25</v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77" t="str">
        <f t="shared" ref="A105:Q105" si="51">J45</f>
        <v>DC</v>
      </c>
      <c r="B105" s="4">
        <f t="shared" si="51"/>
        <v>3</v>
      </c>
      <c r="C105" s="4">
        <f t="shared" si="51"/>
        <v>18</v>
      </c>
      <c r="D105" s="4">
        <f t="shared" si="51"/>
        <v>12</v>
      </c>
      <c r="E105" s="4">
        <f t="shared" si="51"/>
        <v>2</v>
      </c>
      <c r="F105" s="4">
        <f t="shared" si="51"/>
        <v>2</v>
      </c>
      <c r="G105" s="4">
        <f t="shared" si="51"/>
        <v>2</v>
      </c>
      <c r="H105" s="4">
        <f t="shared" si="51"/>
        <v>22</v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77" t="str">
        <f t="shared" ref="A106:Q106" si="52">J46</f>
        <v>Schmid</v>
      </c>
      <c r="B106" s="124">
        <f t="shared" si="52"/>
        <v>1</v>
      </c>
      <c r="C106" s="124">
        <f t="shared" si="52"/>
        <v>25</v>
      </c>
      <c r="D106" s="124">
        <f t="shared" si="52"/>
        <v>12</v>
      </c>
      <c r="E106" s="124">
        <f t="shared" si="52"/>
        <v>2</v>
      </c>
      <c r="F106" s="124">
        <f t="shared" si="52"/>
        <v>8</v>
      </c>
      <c r="G106" s="124">
        <f t="shared" si="52"/>
        <v>3</v>
      </c>
      <c r="H106" s="124">
        <f t="shared" si="52"/>
        <v>22</v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77" t="str">
        <f t="shared" ref="A107:Q107" si="53">J47</f>
        <v>Kian</v>
      </c>
      <c r="B107" s="4">
        <f t="shared" si="53"/>
        <v>4</v>
      </c>
      <c r="C107" s="4">
        <f t="shared" si="53"/>
        <v>14</v>
      </c>
      <c r="D107" s="4">
        <f t="shared" si="53"/>
        <v>5</v>
      </c>
      <c r="E107" s="4">
        <f t="shared" si="53"/>
        <v>2</v>
      </c>
      <c r="F107" s="4">
        <f t="shared" si="53"/>
        <v>5</v>
      </c>
      <c r="G107" s="4">
        <f t="shared" si="53"/>
        <v>2</v>
      </c>
      <c r="H107" s="4">
        <f t="shared" si="53"/>
        <v>26</v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77" t="str">
        <f t="shared" ref="A108:Q108" si="54">J48</f>
        <v>Hando</v>
      </c>
      <c r="B108" s="124">
        <f t="shared" si="54"/>
        <v>2</v>
      </c>
      <c r="C108" s="124">
        <f t="shared" si="54"/>
        <v>16</v>
      </c>
      <c r="D108" s="124">
        <f t="shared" si="54"/>
        <v>5</v>
      </c>
      <c r="E108" s="124">
        <f t="shared" si="54"/>
        <v>0</v>
      </c>
      <c r="F108" s="124">
        <f t="shared" si="54"/>
        <v>9</v>
      </c>
      <c r="G108" s="124">
        <f t="shared" si="54"/>
        <v>2</v>
      </c>
      <c r="H108" s="124">
        <f t="shared" si="54"/>
        <v>25</v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77" t="str">
        <f t="shared" ref="A109:Q109" si="55">J49</f>
        <v>Petric</v>
      </c>
      <c r="B109" s="4">
        <f t="shared" si="55"/>
        <v>5</v>
      </c>
      <c r="C109" s="4">
        <f t="shared" si="55"/>
        <v>14</v>
      </c>
      <c r="D109" s="4">
        <f t="shared" si="55"/>
        <v>1</v>
      </c>
      <c r="E109" s="4">
        <f t="shared" si="55"/>
        <v>0</v>
      </c>
      <c r="F109" s="4">
        <f t="shared" si="55"/>
        <v>13</v>
      </c>
      <c r="G109" s="4">
        <f t="shared" si="55"/>
        <v>0</v>
      </c>
      <c r="H109" s="4">
        <f t="shared" si="55"/>
        <v>24</v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77" t="str">
        <f t="shared" ref="A110:Q110" si="56">J50</f>
        <v>Mike Zhou</v>
      </c>
      <c r="B110" s="124" t="str">
        <f t="shared" si="56"/>
        <v/>
      </c>
      <c r="C110" s="124" t="str">
        <f t="shared" si="56"/>
        <v/>
      </c>
      <c r="D110" s="124" t="str">
        <f t="shared" si="56"/>
        <v/>
      </c>
      <c r="E110" s="124" t="str">
        <f t="shared" si="56"/>
        <v/>
      </c>
      <c r="F110" s="124" t="str">
        <f t="shared" si="56"/>
        <v/>
      </c>
      <c r="G110" s="124" t="str">
        <f t="shared" si="56"/>
        <v/>
      </c>
      <c r="H110" s="12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77" t="str">
        <f t="shared" ref="A111:Q111" si="57">J51</f>
        <v>Cole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77" t="str">
        <f t="shared" ref="A112:Q112" si="58">J52</f>
        <v/>
      </c>
      <c r="B112" s="124" t="str">
        <f t="shared" si="58"/>
        <v/>
      </c>
      <c r="C112" s="124" t="str">
        <f t="shared" si="58"/>
        <v/>
      </c>
      <c r="D112" s="124" t="str">
        <f t="shared" si="58"/>
        <v/>
      </c>
      <c r="E112" s="124" t="str">
        <f t="shared" si="58"/>
        <v/>
      </c>
      <c r="F112" s="124" t="str">
        <f t="shared" si="58"/>
        <v/>
      </c>
      <c r="G112" s="124" t="str">
        <f t="shared" si="58"/>
        <v/>
      </c>
      <c r="H112" s="12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77" t="str">
        <f t="shared" ref="A113:Q113" si="59">J53</f>
        <v/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/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/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/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/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77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77" t="str">
        <f t="shared" ref="A119:Q119" si="65">J59</f>
        <v>Total</v>
      </c>
      <c r="B119" s="4" t="str">
        <f t="shared" si="65"/>
        <v/>
      </c>
      <c r="C119" s="124">
        <f t="shared" si="65"/>
        <v>100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123">
        <f t="shared" si="65"/>
        <v>0.4098360656</v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80"/>
      <c r="J122" s="4"/>
    </row>
    <row r="123">
      <c r="A123" s="4"/>
      <c r="I123" s="180"/>
      <c r="J123" s="4"/>
    </row>
    <row r="124">
      <c r="A124" s="4"/>
      <c r="I124" s="180"/>
      <c r="J124" s="4"/>
    </row>
    <row r="125">
      <c r="A125" s="4"/>
      <c r="I125" s="180"/>
      <c r="J125" s="4"/>
    </row>
    <row r="126">
      <c r="A126" s="4"/>
      <c r="I126" s="180"/>
      <c r="J126" s="4"/>
    </row>
    <row r="127">
      <c r="A127" s="4"/>
      <c r="I127" s="180"/>
      <c r="J127" s="4"/>
    </row>
    <row r="128">
      <c r="A128" s="4"/>
      <c r="I128" s="180"/>
      <c r="J128" s="4"/>
    </row>
    <row r="129">
      <c r="A129" s="4"/>
      <c r="I129" s="180"/>
      <c r="J129" s="4"/>
    </row>
    <row r="130">
      <c r="A130" s="4"/>
      <c r="I130" s="180"/>
      <c r="J130" s="4"/>
    </row>
    <row r="131">
      <c r="A131" s="4"/>
      <c r="I131" s="180"/>
      <c r="J131" s="4"/>
    </row>
    <row r="132">
      <c r="A132" s="4"/>
      <c r="I132" s="180"/>
      <c r="J132" s="4"/>
    </row>
    <row r="133">
      <c r="A133" s="4"/>
      <c r="I133" s="180"/>
      <c r="J133" s="4"/>
    </row>
    <row r="134">
      <c r="A134" s="4"/>
      <c r="I134" s="180"/>
      <c r="J134" s="4"/>
    </row>
    <row r="135">
      <c r="A135" s="4"/>
      <c r="I135" s="180"/>
      <c r="J135" s="4"/>
    </row>
    <row r="136">
      <c r="A136" s="4"/>
      <c r="I136" s="180"/>
      <c r="J136" s="4"/>
    </row>
    <row r="137">
      <c r="A137" s="4"/>
      <c r="I137" s="180"/>
      <c r="J137" s="4"/>
    </row>
    <row r="138">
      <c r="A138" s="4"/>
      <c r="I138" s="180"/>
      <c r="J138" s="4"/>
    </row>
    <row r="139">
      <c r="A139" s="4"/>
      <c r="I139" s="180"/>
      <c r="J139" s="4"/>
    </row>
    <row r="140">
      <c r="A140" s="4"/>
      <c r="I140" s="180"/>
      <c r="J140" s="4"/>
    </row>
    <row r="141">
      <c r="A141" s="4"/>
      <c r="I141" s="180"/>
      <c r="J141" s="4"/>
    </row>
    <row r="142">
      <c r="A142" s="4"/>
      <c r="I142" s="180"/>
      <c r="J142" s="4"/>
    </row>
    <row r="143">
      <c r="A143" s="4"/>
      <c r="I143" s="180"/>
      <c r="J143" s="4"/>
    </row>
    <row r="144">
      <c r="A144" s="4"/>
      <c r="I144" s="180"/>
      <c r="J144" s="4"/>
    </row>
    <row r="145">
      <c r="A145" s="4"/>
      <c r="I145" s="180"/>
      <c r="J145" s="4"/>
    </row>
    <row r="146">
      <c r="A146" s="4"/>
      <c r="I146" s="180"/>
      <c r="J146" s="4"/>
    </row>
    <row r="147">
      <c r="A147" s="4"/>
      <c r="I147" s="180"/>
      <c r="J147" s="4"/>
    </row>
    <row r="148">
      <c r="A148" s="4"/>
      <c r="I148" s="180"/>
      <c r="J148" s="4"/>
    </row>
    <row r="149">
      <c r="A149" s="4"/>
      <c r="I149" s="180"/>
      <c r="J149" s="4"/>
    </row>
    <row r="150">
      <c r="A150" s="4"/>
      <c r="I150" s="180"/>
      <c r="J150" s="4"/>
    </row>
    <row r="151">
      <c r="A151" s="4"/>
      <c r="I151" s="180"/>
      <c r="J151" s="4"/>
    </row>
    <row r="152">
      <c r="A152" s="4"/>
      <c r="I152" s="180"/>
      <c r="J152" s="4"/>
    </row>
    <row r="153">
      <c r="A153" s="4"/>
      <c r="I153" s="180"/>
      <c r="J153" s="4"/>
    </row>
    <row r="154">
      <c r="A154" s="4"/>
      <c r="I154" s="180"/>
      <c r="J154" s="4"/>
    </row>
    <row r="155">
      <c r="A155" s="4"/>
      <c r="I155" s="180"/>
      <c r="J155" s="4"/>
    </row>
    <row r="156">
      <c r="A156" s="4"/>
      <c r="I156" s="180"/>
      <c r="J156" s="4"/>
    </row>
    <row r="157">
      <c r="A157" s="4"/>
      <c r="I157" s="180"/>
      <c r="J157" s="4"/>
    </row>
    <row r="158">
      <c r="A158" s="4"/>
      <c r="I158" s="180"/>
      <c r="J158" s="4"/>
    </row>
    <row r="159">
      <c r="A159" s="4"/>
      <c r="I159" s="180"/>
      <c r="J159" s="4"/>
    </row>
    <row r="160">
      <c r="A160" s="4"/>
      <c r="I160" s="180"/>
      <c r="J160" s="4"/>
    </row>
    <row r="161">
      <c r="A161" s="4"/>
      <c r="I161" s="180"/>
      <c r="J161" s="4"/>
    </row>
    <row r="162">
      <c r="A162" s="4"/>
      <c r="I162" s="180"/>
      <c r="J162" s="4"/>
    </row>
    <row r="163">
      <c r="A163" s="4"/>
      <c r="I163" s="180"/>
      <c r="J163" s="4"/>
    </row>
    <row r="164">
      <c r="A164" s="4"/>
      <c r="I164" s="180"/>
      <c r="J164" s="4"/>
    </row>
    <row r="165">
      <c r="A165" s="4"/>
      <c r="I165" s="180"/>
      <c r="J165" s="4"/>
    </row>
    <row r="166">
      <c r="A166" s="4"/>
      <c r="I166" s="180"/>
      <c r="J166" s="4"/>
    </row>
    <row r="167">
      <c r="A167" s="4"/>
      <c r="I167" s="180"/>
      <c r="J167" s="4"/>
    </row>
    <row r="168">
      <c r="A168" s="4"/>
      <c r="I168" s="180"/>
      <c r="J168" s="4"/>
    </row>
    <row r="169">
      <c r="A169" s="4"/>
      <c r="I169" s="180"/>
      <c r="J169" s="4"/>
    </row>
    <row r="170">
      <c r="A170" s="4"/>
      <c r="I170" s="180"/>
      <c r="J170" s="4"/>
    </row>
    <row r="171">
      <c r="A171" s="4"/>
      <c r="I171" s="180"/>
      <c r="J171" s="4"/>
    </row>
    <row r="172">
      <c r="A172" s="4"/>
      <c r="I172" s="180"/>
      <c r="J172" s="4"/>
    </row>
    <row r="173">
      <c r="A173" s="4"/>
      <c r="I173" s="180"/>
      <c r="J173" s="4"/>
    </row>
    <row r="174">
      <c r="A174" s="4"/>
      <c r="I174" s="180"/>
      <c r="J174" s="4"/>
    </row>
    <row r="175">
      <c r="A175" s="4"/>
      <c r="I175" s="180"/>
      <c r="J175" s="4"/>
    </row>
    <row r="176">
      <c r="A176" s="4"/>
      <c r="I176" s="180"/>
      <c r="J176" s="4"/>
    </row>
    <row r="177">
      <c r="A177" s="4"/>
      <c r="I177" s="180"/>
      <c r="J177" s="4"/>
    </row>
    <row r="178">
      <c r="A178" s="4"/>
      <c r="I178" s="180"/>
      <c r="J178" s="4"/>
    </row>
    <row r="179">
      <c r="A179" s="4"/>
      <c r="I179" s="180"/>
      <c r="J179" s="4"/>
    </row>
    <row r="180">
      <c r="A180" s="4"/>
      <c r="I180" s="180"/>
      <c r="J180" s="4"/>
    </row>
    <row r="181">
      <c r="A181" s="4"/>
      <c r="I181" s="180"/>
      <c r="J181" s="4"/>
    </row>
    <row r="182">
      <c r="A182" s="4"/>
      <c r="I182" s="180"/>
      <c r="J182" s="4"/>
    </row>
    <row r="183">
      <c r="A183" s="4"/>
      <c r="I183" s="180"/>
      <c r="J183" s="4"/>
    </row>
    <row r="184">
      <c r="A184" s="4"/>
      <c r="I184" s="180"/>
      <c r="J184" s="4"/>
    </row>
    <row r="185">
      <c r="A185" s="4"/>
      <c r="I185" s="180"/>
      <c r="J185" s="4"/>
    </row>
    <row r="186">
      <c r="A186" s="4"/>
      <c r="I186" s="180"/>
      <c r="J186" s="4"/>
    </row>
    <row r="187">
      <c r="A187" s="4"/>
      <c r="I187" s="180"/>
      <c r="J187" s="4"/>
    </row>
    <row r="188">
      <c r="A188" s="4"/>
      <c r="I188" s="180"/>
      <c r="J188" s="4"/>
    </row>
    <row r="189">
      <c r="A189" s="4"/>
      <c r="I189" s="180"/>
      <c r="J189" s="4"/>
    </row>
    <row r="190">
      <c r="A190" s="4"/>
      <c r="I190" s="180"/>
      <c r="J190" s="4"/>
    </row>
    <row r="191">
      <c r="A191" s="4"/>
      <c r="I191" s="180"/>
      <c r="J191" s="4"/>
    </row>
    <row r="192">
      <c r="A192" s="4"/>
      <c r="I192" s="180"/>
      <c r="J192" s="4"/>
    </row>
    <row r="193">
      <c r="A193" s="4"/>
      <c r="I193" s="180"/>
      <c r="J193" s="4"/>
    </row>
    <row r="194">
      <c r="A194" s="4"/>
      <c r="I194" s="180"/>
      <c r="J194" s="4"/>
    </row>
    <row r="195">
      <c r="A195" s="4"/>
      <c r="I195" s="180"/>
      <c r="J195" s="4"/>
    </row>
    <row r="196">
      <c r="A196" s="4"/>
      <c r="I196" s="180"/>
      <c r="J196" s="4"/>
    </row>
    <row r="197">
      <c r="A197" s="4"/>
      <c r="I197" s="180"/>
      <c r="J197" s="4"/>
    </row>
    <row r="198">
      <c r="A198" s="4"/>
      <c r="I198" s="180"/>
      <c r="J198" s="4"/>
    </row>
    <row r="199">
      <c r="A199" s="4"/>
      <c r="I199" s="180"/>
      <c r="J199" s="4"/>
    </row>
    <row r="200">
      <c r="A200" s="4"/>
      <c r="I200" s="180"/>
      <c r="J200" s="4"/>
    </row>
    <row r="201">
      <c r="A201" s="4"/>
      <c r="I201" s="180"/>
      <c r="J201" s="4"/>
    </row>
    <row r="202">
      <c r="A202" s="4"/>
      <c r="I202" s="180"/>
      <c r="J202" s="4"/>
    </row>
    <row r="203">
      <c r="A203" s="4"/>
      <c r="I203" s="180"/>
      <c r="J203" s="4"/>
    </row>
    <row r="204">
      <c r="A204" s="4"/>
      <c r="I204" s="180"/>
      <c r="J204" s="4"/>
    </row>
    <row r="205">
      <c r="A205" s="4"/>
      <c r="I205" s="180"/>
      <c r="J205" s="4"/>
    </row>
    <row r="206">
      <c r="A206" s="4"/>
      <c r="I206" s="180"/>
      <c r="J206" s="4"/>
    </row>
    <row r="207">
      <c r="A207" s="4"/>
      <c r="I207" s="180"/>
      <c r="J207" s="4"/>
    </row>
    <row r="208">
      <c r="A208" s="4"/>
      <c r="I208" s="180"/>
      <c r="J208" s="4"/>
    </row>
    <row r="209">
      <c r="A209" s="4"/>
      <c r="I209" s="180"/>
      <c r="J209" s="4"/>
    </row>
    <row r="210">
      <c r="A210" s="4"/>
      <c r="I210" s="180"/>
      <c r="J210" s="4"/>
    </row>
    <row r="211">
      <c r="A211" s="4"/>
      <c r="I211" s="180"/>
      <c r="J211" s="4"/>
    </row>
    <row r="212">
      <c r="A212" s="4"/>
      <c r="I212" s="180"/>
      <c r="J212" s="4"/>
    </row>
    <row r="213">
      <c r="A213" s="4"/>
      <c r="I213" s="180"/>
      <c r="J213" s="4"/>
    </row>
    <row r="214">
      <c r="A214" s="4"/>
      <c r="I214" s="180"/>
      <c r="J214" s="4"/>
    </row>
    <row r="215">
      <c r="A215" s="4"/>
      <c r="I215" s="180"/>
      <c r="J215" s="4"/>
    </row>
    <row r="216">
      <c r="A216" s="4"/>
      <c r="I216" s="180"/>
      <c r="J216" s="4"/>
    </row>
    <row r="217">
      <c r="A217" s="4"/>
      <c r="I217" s="180"/>
      <c r="J217" s="4"/>
    </row>
    <row r="218">
      <c r="A218" s="4"/>
      <c r="I218" s="180"/>
      <c r="J218" s="4"/>
    </row>
    <row r="219">
      <c r="A219" s="4"/>
      <c r="I219" s="180"/>
      <c r="J219" s="4"/>
    </row>
    <row r="220">
      <c r="A220" s="4"/>
      <c r="I220" s="180"/>
      <c r="J220" s="4"/>
    </row>
    <row r="221">
      <c r="A221" s="4"/>
      <c r="I221" s="180"/>
      <c r="J221" s="4"/>
    </row>
    <row r="222">
      <c r="A222" s="4"/>
      <c r="I222" s="180"/>
      <c r="J222" s="4"/>
    </row>
    <row r="223">
      <c r="A223" s="4"/>
      <c r="I223" s="180"/>
      <c r="J223" s="4"/>
    </row>
    <row r="224">
      <c r="A224" s="4"/>
      <c r="I224" s="180"/>
      <c r="J224" s="4"/>
    </row>
    <row r="225">
      <c r="A225" s="4"/>
      <c r="I225" s="180"/>
      <c r="J225" s="4"/>
    </row>
    <row r="226">
      <c r="A226" s="4"/>
      <c r="I226" s="180"/>
      <c r="J226" s="4"/>
    </row>
    <row r="227">
      <c r="A227" s="4"/>
      <c r="I227" s="180"/>
      <c r="J227" s="4"/>
    </row>
    <row r="228">
      <c r="A228" s="4"/>
      <c r="I228" s="180"/>
      <c r="J228" s="4"/>
    </row>
    <row r="229">
      <c r="A229" s="4"/>
      <c r="I229" s="180"/>
      <c r="J229" s="4"/>
    </row>
    <row r="230">
      <c r="A230" s="4"/>
      <c r="I230" s="180"/>
      <c r="J230" s="4"/>
    </row>
    <row r="231">
      <c r="A231" s="4"/>
      <c r="I231" s="180"/>
      <c r="J231" s="4"/>
    </row>
    <row r="232">
      <c r="A232" s="4"/>
      <c r="I232" s="180"/>
      <c r="J232" s="4"/>
    </row>
    <row r="233">
      <c r="A233" s="4"/>
      <c r="I233" s="180"/>
      <c r="J233" s="4"/>
    </row>
    <row r="234">
      <c r="A234" s="4"/>
      <c r="I234" s="180"/>
      <c r="J234" s="4"/>
    </row>
    <row r="235">
      <c r="A235" s="4"/>
      <c r="I235" s="180"/>
      <c r="J235" s="4"/>
    </row>
    <row r="236">
      <c r="A236" s="4"/>
      <c r="I236" s="180"/>
      <c r="J236" s="4"/>
    </row>
    <row r="237">
      <c r="A237" s="4"/>
      <c r="I237" s="180"/>
      <c r="J237" s="4"/>
    </row>
    <row r="238">
      <c r="A238" s="4"/>
      <c r="I238" s="180"/>
      <c r="J238" s="4"/>
    </row>
    <row r="239">
      <c r="A239" s="4"/>
      <c r="I239" s="180"/>
      <c r="J239" s="4"/>
    </row>
    <row r="240">
      <c r="A240" s="4"/>
      <c r="I240" s="180"/>
      <c r="J240" s="4"/>
    </row>
    <row r="241">
      <c r="A241" s="4"/>
      <c r="I241" s="180"/>
      <c r="J241" s="4"/>
    </row>
    <row r="242">
      <c r="A242" s="4"/>
      <c r="I242" s="180"/>
      <c r="J242" s="4"/>
    </row>
    <row r="243">
      <c r="A243" s="4"/>
      <c r="I243" s="180"/>
      <c r="J243" s="4"/>
    </row>
    <row r="244">
      <c r="A244" s="4"/>
      <c r="I244" s="180"/>
      <c r="J244" s="4"/>
    </row>
    <row r="245">
      <c r="A245" s="4"/>
      <c r="I245" s="180"/>
      <c r="J245" s="4"/>
    </row>
    <row r="246">
      <c r="A246" s="4"/>
      <c r="I246" s="180"/>
      <c r="J246" s="4"/>
    </row>
    <row r="247">
      <c r="A247" s="4"/>
      <c r="I247" s="180"/>
      <c r="J247" s="4"/>
    </row>
    <row r="248">
      <c r="A248" s="4"/>
      <c r="I248" s="180"/>
      <c r="J248" s="4"/>
    </row>
    <row r="249">
      <c r="A249" s="4"/>
      <c r="I249" s="180"/>
      <c r="J249" s="4"/>
    </row>
    <row r="250">
      <c r="A250" s="4"/>
      <c r="I250" s="180"/>
      <c r="J250" s="4"/>
    </row>
    <row r="251">
      <c r="A251" s="4"/>
      <c r="I251" s="180"/>
      <c r="J251" s="4"/>
    </row>
    <row r="252">
      <c r="A252" s="4"/>
      <c r="I252" s="180"/>
      <c r="J252" s="4"/>
    </row>
    <row r="253">
      <c r="A253" s="4"/>
      <c r="I253" s="180"/>
      <c r="J253" s="4"/>
    </row>
    <row r="254">
      <c r="A254" s="4"/>
      <c r="I254" s="180"/>
      <c r="J254" s="4"/>
    </row>
    <row r="255">
      <c r="A255" s="4"/>
      <c r="I255" s="180"/>
      <c r="J255" s="4"/>
    </row>
    <row r="256">
      <c r="A256" s="4"/>
      <c r="I256" s="180"/>
      <c r="J256" s="4"/>
    </row>
    <row r="257">
      <c r="A257" s="4"/>
      <c r="I257" s="180"/>
      <c r="J257" s="4"/>
    </row>
    <row r="258">
      <c r="A258" s="4"/>
      <c r="I258" s="180"/>
      <c r="J258" s="4"/>
    </row>
    <row r="259">
      <c r="A259" s="4"/>
      <c r="I259" s="180"/>
      <c r="J259" s="4"/>
    </row>
    <row r="260">
      <c r="A260" s="4"/>
      <c r="I260" s="180"/>
      <c r="J260" s="4"/>
    </row>
    <row r="261">
      <c r="A261" s="4"/>
      <c r="I261" s="180"/>
      <c r="J261" s="4"/>
    </row>
    <row r="262">
      <c r="A262" s="4"/>
      <c r="I262" s="180"/>
      <c r="J262" s="4"/>
    </row>
    <row r="263">
      <c r="A263" s="4"/>
      <c r="I263" s="180"/>
      <c r="J263" s="4"/>
    </row>
    <row r="264">
      <c r="A264" s="4"/>
      <c r="I264" s="180"/>
      <c r="J264" s="4"/>
    </row>
    <row r="265">
      <c r="A265" s="4"/>
      <c r="I265" s="180"/>
      <c r="J265" s="4"/>
    </row>
    <row r="266">
      <c r="A266" s="4"/>
      <c r="I266" s="180"/>
      <c r="J266" s="4"/>
    </row>
    <row r="267">
      <c r="A267" s="4"/>
      <c r="I267" s="180"/>
      <c r="J267" s="4"/>
    </row>
    <row r="268">
      <c r="A268" s="4"/>
      <c r="I268" s="180"/>
      <c r="J268" s="4"/>
    </row>
    <row r="269">
      <c r="A269" s="4"/>
      <c r="I269" s="180"/>
      <c r="J269" s="4"/>
    </row>
    <row r="270">
      <c r="A270" s="4"/>
      <c r="I270" s="180"/>
      <c r="J270" s="4"/>
    </row>
    <row r="271">
      <c r="A271" s="4"/>
      <c r="I271" s="180"/>
      <c r="J271" s="4"/>
    </row>
    <row r="272">
      <c r="A272" s="4"/>
      <c r="I272" s="180"/>
      <c r="J272" s="4"/>
    </row>
    <row r="273">
      <c r="A273" s="4"/>
      <c r="I273" s="180"/>
      <c r="J273" s="4"/>
    </row>
    <row r="274">
      <c r="A274" s="4"/>
      <c r="I274" s="180"/>
      <c r="J274" s="4"/>
    </row>
    <row r="275">
      <c r="A275" s="4"/>
      <c r="I275" s="180"/>
      <c r="J275" s="4"/>
    </row>
    <row r="276">
      <c r="A276" s="4"/>
      <c r="I276" s="180"/>
      <c r="J276" s="4"/>
    </row>
    <row r="277">
      <c r="A277" s="4"/>
      <c r="I277" s="180"/>
      <c r="J277" s="4"/>
    </row>
    <row r="278">
      <c r="A278" s="4"/>
      <c r="I278" s="180"/>
      <c r="J278" s="4"/>
    </row>
    <row r="279">
      <c r="A279" s="4"/>
      <c r="I279" s="180"/>
      <c r="J279" s="4"/>
    </row>
    <row r="280">
      <c r="A280" s="4"/>
      <c r="I280" s="180"/>
      <c r="J280" s="4"/>
    </row>
    <row r="281">
      <c r="A281" s="4"/>
      <c r="I281" s="180"/>
      <c r="J281" s="4"/>
    </row>
    <row r="282">
      <c r="A282" s="4"/>
      <c r="I282" s="180"/>
      <c r="J282" s="4"/>
    </row>
    <row r="283">
      <c r="A283" s="4"/>
      <c r="I283" s="180"/>
      <c r="J283" s="4"/>
    </row>
    <row r="284">
      <c r="A284" s="4"/>
      <c r="I284" s="180"/>
      <c r="J284" s="4"/>
    </row>
    <row r="285">
      <c r="A285" s="4"/>
      <c r="I285" s="180"/>
      <c r="J285" s="4"/>
    </row>
    <row r="286">
      <c r="A286" s="4"/>
      <c r="I286" s="180"/>
      <c r="J286" s="4"/>
    </row>
    <row r="287">
      <c r="A287" s="4"/>
      <c r="I287" s="180"/>
      <c r="J287" s="4"/>
    </row>
    <row r="288">
      <c r="A288" s="4"/>
      <c r="I288" s="180"/>
      <c r="J288" s="4"/>
    </row>
    <row r="289">
      <c r="A289" s="4"/>
      <c r="I289" s="180"/>
      <c r="J289" s="4"/>
    </row>
    <row r="290">
      <c r="A290" s="4"/>
      <c r="I290" s="180"/>
      <c r="J290" s="4"/>
    </row>
    <row r="291">
      <c r="A291" s="4"/>
      <c r="I291" s="180"/>
      <c r="J291" s="4"/>
    </row>
    <row r="292">
      <c r="A292" s="4"/>
      <c r="I292" s="180"/>
      <c r="J292" s="4"/>
    </row>
    <row r="293">
      <c r="A293" s="4"/>
      <c r="I293" s="180"/>
      <c r="J293" s="4"/>
    </row>
    <row r="294">
      <c r="A294" s="4"/>
      <c r="I294" s="180"/>
      <c r="J294" s="4"/>
    </row>
    <row r="295">
      <c r="A295" s="4"/>
      <c r="I295" s="180"/>
      <c r="J295" s="4"/>
    </row>
    <row r="296">
      <c r="A296" s="4"/>
      <c r="I296" s="180"/>
      <c r="J296" s="4"/>
    </row>
    <row r="297">
      <c r="A297" s="4"/>
      <c r="I297" s="180"/>
      <c r="J297" s="4"/>
    </row>
    <row r="298">
      <c r="A298" s="4"/>
      <c r="I298" s="180"/>
      <c r="J298" s="4"/>
    </row>
    <row r="299">
      <c r="A299" s="4"/>
      <c r="I299" s="180"/>
      <c r="J299" s="4"/>
    </row>
    <row r="300">
      <c r="A300" s="4"/>
      <c r="I300" s="180"/>
      <c r="J300" s="4"/>
    </row>
    <row r="301">
      <c r="A301" s="4"/>
      <c r="I301" s="180"/>
      <c r="J301" s="4"/>
    </row>
    <row r="302">
      <c r="A302" s="4"/>
      <c r="I302" s="180"/>
      <c r="J302" s="4"/>
    </row>
    <row r="303">
      <c r="A303" s="4"/>
      <c r="I303" s="180"/>
      <c r="J303" s="4"/>
    </row>
    <row r="304">
      <c r="A304" s="4"/>
      <c r="I304" s="180"/>
      <c r="J304" s="4"/>
    </row>
    <row r="305">
      <c r="A305" s="4"/>
      <c r="I305" s="180"/>
      <c r="J305" s="4"/>
    </row>
    <row r="306">
      <c r="A306" s="4"/>
      <c r="I306" s="180"/>
      <c r="J306" s="4"/>
    </row>
    <row r="307">
      <c r="A307" s="4"/>
      <c r="I307" s="180"/>
      <c r="J307" s="4"/>
    </row>
    <row r="308">
      <c r="A308" s="4"/>
      <c r="I308" s="180"/>
      <c r="J308" s="4"/>
    </row>
    <row r="309">
      <c r="A309" s="4"/>
      <c r="I309" s="180"/>
      <c r="J309" s="4"/>
    </row>
    <row r="310">
      <c r="A310" s="4"/>
      <c r="I310" s="180"/>
      <c r="J310" s="4"/>
    </row>
    <row r="311">
      <c r="A311" s="4"/>
      <c r="I311" s="180"/>
      <c r="J311" s="4"/>
    </row>
    <row r="312">
      <c r="A312" s="4"/>
      <c r="I312" s="180"/>
      <c r="J312" s="4"/>
    </row>
    <row r="313">
      <c r="A313" s="4"/>
      <c r="I313" s="180"/>
      <c r="J313" s="4"/>
    </row>
    <row r="314">
      <c r="A314" s="4"/>
      <c r="I314" s="180"/>
      <c r="J314" s="4"/>
    </row>
    <row r="315">
      <c r="A315" s="4"/>
      <c r="I315" s="180"/>
      <c r="J315" s="4"/>
    </row>
    <row r="316">
      <c r="A316" s="4"/>
      <c r="I316" s="180"/>
      <c r="J316" s="4"/>
    </row>
    <row r="317">
      <c r="A317" s="4"/>
      <c r="I317" s="180"/>
      <c r="J317" s="4"/>
    </row>
    <row r="318">
      <c r="A318" s="4"/>
      <c r="I318" s="180"/>
      <c r="J318" s="4"/>
    </row>
    <row r="319">
      <c r="A319" s="4"/>
      <c r="I319" s="180"/>
      <c r="J319" s="4"/>
    </row>
    <row r="320">
      <c r="A320" s="4"/>
      <c r="I320" s="180"/>
      <c r="J320" s="4"/>
    </row>
    <row r="321">
      <c r="A321" s="4"/>
      <c r="I321" s="180"/>
      <c r="J321" s="4"/>
    </row>
    <row r="322">
      <c r="A322" s="4"/>
      <c r="I322" s="180"/>
      <c r="J322" s="4"/>
    </row>
    <row r="323">
      <c r="A323" s="4"/>
      <c r="I323" s="180"/>
      <c r="J323" s="4"/>
    </row>
    <row r="324">
      <c r="A324" s="4"/>
      <c r="I324" s="180"/>
      <c r="J324" s="4"/>
    </row>
    <row r="325">
      <c r="A325" s="4"/>
      <c r="I325" s="180"/>
      <c r="J325" s="4"/>
    </row>
    <row r="326">
      <c r="A326" s="4"/>
      <c r="I326" s="180"/>
      <c r="J326" s="4"/>
    </row>
    <row r="327">
      <c r="A327" s="4"/>
      <c r="I327" s="180"/>
      <c r="J327" s="4"/>
    </row>
    <row r="328">
      <c r="A328" s="4"/>
      <c r="I328" s="180"/>
      <c r="J328" s="4"/>
    </row>
    <row r="329">
      <c r="A329" s="4"/>
      <c r="I329" s="180"/>
      <c r="J329" s="4"/>
    </row>
    <row r="330">
      <c r="A330" s="4"/>
      <c r="I330" s="180"/>
      <c r="J330" s="4"/>
    </row>
    <row r="331">
      <c r="A331" s="4"/>
      <c r="I331" s="180"/>
      <c r="J331" s="4"/>
    </row>
    <row r="332">
      <c r="A332" s="4"/>
      <c r="I332" s="180"/>
      <c r="J332" s="4"/>
    </row>
    <row r="333">
      <c r="A333" s="4"/>
      <c r="I333" s="180"/>
      <c r="J333" s="4"/>
    </row>
    <row r="334">
      <c r="A334" s="4"/>
      <c r="I334" s="180"/>
      <c r="J334" s="4"/>
    </row>
    <row r="335">
      <c r="A335" s="4"/>
      <c r="I335" s="180"/>
      <c r="J335" s="4"/>
    </row>
    <row r="336">
      <c r="A336" s="4"/>
      <c r="I336" s="180"/>
      <c r="J336" s="4"/>
    </row>
    <row r="337">
      <c r="A337" s="4"/>
      <c r="I337" s="180"/>
      <c r="J337" s="4"/>
    </row>
    <row r="338">
      <c r="A338" s="4"/>
      <c r="I338" s="180"/>
      <c r="J338" s="4"/>
    </row>
    <row r="339">
      <c r="A339" s="4"/>
      <c r="I339" s="180"/>
      <c r="J339" s="4"/>
    </row>
    <row r="340">
      <c r="A340" s="4"/>
      <c r="I340" s="180"/>
      <c r="J340" s="4"/>
    </row>
    <row r="341">
      <c r="A341" s="4"/>
      <c r="I341" s="180"/>
      <c r="J341" s="4"/>
    </row>
    <row r="342">
      <c r="A342" s="4"/>
      <c r="I342" s="180"/>
      <c r="J342" s="4"/>
    </row>
    <row r="343">
      <c r="A343" s="4"/>
      <c r="I343" s="180"/>
      <c r="J343" s="4"/>
    </row>
    <row r="344">
      <c r="A344" s="4"/>
      <c r="I344" s="180"/>
      <c r="J344" s="4"/>
    </row>
    <row r="345">
      <c r="A345" s="4"/>
      <c r="I345" s="180"/>
      <c r="J345" s="4"/>
    </row>
    <row r="346">
      <c r="A346" s="4"/>
      <c r="I346" s="180"/>
      <c r="J346" s="4"/>
    </row>
    <row r="347">
      <c r="A347" s="4"/>
      <c r="I347" s="180"/>
      <c r="J347" s="4"/>
    </row>
    <row r="348">
      <c r="A348" s="4"/>
      <c r="I348" s="180"/>
      <c r="J348" s="4"/>
    </row>
    <row r="349">
      <c r="A349" s="4"/>
      <c r="I349" s="180"/>
      <c r="J349" s="4"/>
    </row>
    <row r="350">
      <c r="A350" s="4"/>
      <c r="I350" s="180"/>
      <c r="J350" s="4"/>
    </row>
    <row r="351">
      <c r="A351" s="4"/>
      <c r="I351" s="180"/>
      <c r="J351" s="4"/>
    </row>
    <row r="352">
      <c r="A352" s="4"/>
      <c r="I352" s="180"/>
      <c r="J352" s="4"/>
    </row>
    <row r="353">
      <c r="A353" s="4"/>
      <c r="I353" s="180"/>
      <c r="J353" s="4"/>
    </row>
    <row r="354">
      <c r="A354" s="4"/>
      <c r="I354" s="180"/>
      <c r="J354" s="4"/>
    </row>
    <row r="355">
      <c r="A355" s="4"/>
      <c r="I355" s="180"/>
      <c r="J355" s="4"/>
    </row>
    <row r="356">
      <c r="A356" s="4"/>
      <c r="I356" s="180"/>
      <c r="J356" s="4"/>
    </row>
    <row r="357">
      <c r="A357" s="4"/>
      <c r="I357" s="180"/>
      <c r="J357" s="4"/>
    </row>
    <row r="358">
      <c r="A358" s="4"/>
      <c r="I358" s="180"/>
      <c r="J358" s="4"/>
    </row>
    <row r="359">
      <c r="A359" s="4"/>
      <c r="I359" s="180"/>
      <c r="J359" s="4"/>
    </row>
    <row r="360">
      <c r="A360" s="4"/>
      <c r="I360" s="180"/>
      <c r="J360" s="4"/>
    </row>
    <row r="361">
      <c r="A361" s="4"/>
      <c r="I361" s="180"/>
      <c r="J361" s="4"/>
    </row>
    <row r="362">
      <c r="A362" s="4"/>
      <c r="I362" s="180"/>
      <c r="J362" s="4"/>
    </row>
    <row r="363">
      <c r="A363" s="4"/>
      <c r="I363" s="180"/>
      <c r="J363" s="4"/>
    </row>
    <row r="364">
      <c r="A364" s="4"/>
      <c r="I364" s="180"/>
      <c r="J364" s="4"/>
    </row>
    <row r="365">
      <c r="A365" s="4"/>
      <c r="I365" s="180"/>
      <c r="J365" s="4"/>
    </row>
    <row r="366">
      <c r="A366" s="4"/>
      <c r="I366" s="180"/>
      <c r="J366" s="4"/>
    </row>
    <row r="367">
      <c r="A367" s="4"/>
      <c r="I367" s="180"/>
      <c r="J367" s="4"/>
    </row>
    <row r="368">
      <c r="A368" s="4"/>
      <c r="I368" s="180"/>
      <c r="J368" s="4"/>
    </row>
    <row r="369">
      <c r="A369" s="4"/>
      <c r="I369" s="180"/>
      <c r="J369" s="4"/>
    </row>
    <row r="370">
      <c r="A370" s="4"/>
      <c r="I370" s="180"/>
      <c r="J370" s="4"/>
    </row>
    <row r="371">
      <c r="A371" s="4"/>
      <c r="I371" s="180"/>
      <c r="J371" s="4"/>
    </row>
    <row r="372">
      <c r="A372" s="4"/>
      <c r="I372" s="180"/>
      <c r="J372" s="4"/>
    </row>
    <row r="373">
      <c r="A373" s="4"/>
      <c r="I373" s="180"/>
      <c r="J373" s="4"/>
    </row>
    <row r="374">
      <c r="A374" s="4"/>
      <c r="I374" s="180"/>
      <c r="J374" s="4"/>
    </row>
    <row r="375">
      <c r="A375" s="4"/>
      <c r="I375" s="180"/>
      <c r="J375" s="4"/>
    </row>
    <row r="376">
      <c r="A376" s="4"/>
      <c r="I376" s="180"/>
      <c r="J376" s="4"/>
    </row>
    <row r="377">
      <c r="A377" s="4"/>
      <c r="I377" s="180"/>
      <c r="J377" s="4"/>
    </row>
    <row r="378">
      <c r="A378" s="4"/>
      <c r="I378" s="180"/>
      <c r="J378" s="4"/>
    </row>
    <row r="379">
      <c r="A379" s="4"/>
      <c r="I379" s="180"/>
      <c r="J379" s="4"/>
    </row>
    <row r="380">
      <c r="A380" s="4"/>
      <c r="I380" s="180"/>
      <c r="J380" s="4"/>
    </row>
    <row r="381">
      <c r="A381" s="4"/>
      <c r="I381" s="180"/>
      <c r="J381" s="4"/>
    </row>
    <row r="382">
      <c r="A382" s="4"/>
      <c r="I382" s="180"/>
      <c r="J382" s="4"/>
    </row>
    <row r="383">
      <c r="A383" s="4"/>
      <c r="I383" s="180"/>
      <c r="J383" s="4"/>
    </row>
    <row r="384">
      <c r="A384" s="4"/>
      <c r="I384" s="180"/>
      <c r="J384" s="4"/>
    </row>
    <row r="385">
      <c r="A385" s="4"/>
      <c r="I385" s="180"/>
      <c r="J385" s="4"/>
    </row>
    <row r="386">
      <c r="A386" s="4"/>
      <c r="I386" s="180"/>
      <c r="J386" s="4"/>
    </row>
    <row r="387">
      <c r="A387" s="4"/>
      <c r="I387" s="180"/>
      <c r="J387" s="4"/>
    </row>
    <row r="388">
      <c r="A388" s="4"/>
      <c r="I388" s="180"/>
      <c r="J388" s="4"/>
    </row>
    <row r="389">
      <c r="A389" s="4"/>
      <c r="I389" s="180"/>
      <c r="J389" s="4"/>
    </row>
    <row r="390">
      <c r="A390" s="4"/>
      <c r="I390" s="180"/>
      <c r="J390" s="4"/>
    </row>
    <row r="391">
      <c r="A391" s="4"/>
      <c r="I391" s="180"/>
      <c r="J391" s="4"/>
    </row>
    <row r="392">
      <c r="A392" s="4"/>
      <c r="I392" s="180"/>
      <c r="J392" s="4"/>
    </row>
    <row r="393">
      <c r="A393" s="4"/>
      <c r="I393" s="180"/>
      <c r="J393" s="4"/>
    </row>
    <row r="394">
      <c r="A394" s="4"/>
      <c r="I394" s="180"/>
      <c r="J394" s="4"/>
    </row>
    <row r="395">
      <c r="A395" s="4"/>
      <c r="I395" s="180"/>
      <c r="J395" s="4"/>
    </row>
    <row r="396">
      <c r="A396" s="4"/>
      <c r="I396" s="180"/>
      <c r="J396" s="4"/>
    </row>
    <row r="397">
      <c r="A397" s="4"/>
      <c r="I397" s="180"/>
      <c r="J397" s="4"/>
    </row>
    <row r="398">
      <c r="A398" s="4"/>
      <c r="I398" s="180"/>
      <c r="J398" s="4"/>
    </row>
    <row r="399">
      <c r="A399" s="4"/>
      <c r="I399" s="180"/>
      <c r="J399" s="4"/>
    </row>
    <row r="400">
      <c r="A400" s="4"/>
      <c r="I400" s="180"/>
      <c r="J400" s="4"/>
    </row>
    <row r="401">
      <c r="A401" s="4"/>
      <c r="I401" s="180"/>
      <c r="J401" s="4"/>
    </row>
    <row r="402">
      <c r="A402" s="4"/>
      <c r="I402" s="180"/>
      <c r="J402" s="4"/>
    </row>
    <row r="403">
      <c r="A403" s="4"/>
      <c r="I403" s="180"/>
      <c r="J403" s="4"/>
    </row>
    <row r="404">
      <c r="A404" s="4"/>
      <c r="I404" s="180"/>
      <c r="J404" s="4"/>
    </row>
    <row r="405">
      <c r="A405" s="4"/>
      <c r="I405" s="180"/>
      <c r="J405" s="4"/>
    </row>
    <row r="406">
      <c r="A406" s="4"/>
      <c r="I406" s="180"/>
      <c r="J406" s="4"/>
    </row>
    <row r="407">
      <c r="A407" s="4"/>
      <c r="I407" s="180"/>
      <c r="J407" s="4"/>
    </row>
    <row r="408">
      <c r="A408" s="4"/>
      <c r="I408" s="180"/>
      <c r="J408" s="4"/>
    </row>
    <row r="409">
      <c r="A409" s="4"/>
      <c r="I409" s="180"/>
      <c r="J409" s="4"/>
    </row>
    <row r="410">
      <c r="A410" s="4"/>
      <c r="I410" s="180"/>
      <c r="J410" s="4"/>
    </row>
    <row r="411">
      <c r="A411" s="4"/>
      <c r="I411" s="180"/>
      <c r="J411" s="4"/>
    </row>
    <row r="412">
      <c r="A412" s="4"/>
      <c r="I412" s="180"/>
      <c r="J412" s="4"/>
    </row>
    <row r="413">
      <c r="A413" s="4"/>
      <c r="I413" s="180"/>
      <c r="J413" s="4"/>
    </row>
    <row r="414">
      <c r="A414" s="4"/>
      <c r="I414" s="180"/>
      <c r="J414" s="4"/>
    </row>
    <row r="415">
      <c r="A415" s="4"/>
      <c r="I415" s="180"/>
      <c r="J415" s="4"/>
    </row>
    <row r="416">
      <c r="A416" s="4"/>
      <c r="I416" s="180"/>
      <c r="J416" s="4"/>
    </row>
    <row r="417">
      <c r="A417" s="4"/>
      <c r="I417" s="180"/>
      <c r="J417" s="4"/>
    </row>
    <row r="418">
      <c r="A418" s="4"/>
      <c r="I418" s="180"/>
      <c r="J418" s="4"/>
    </row>
    <row r="419">
      <c r="A419" s="4"/>
      <c r="I419" s="180"/>
      <c r="J419" s="4"/>
    </row>
    <row r="420">
      <c r="A420" s="4"/>
      <c r="I420" s="180"/>
      <c r="J420" s="4"/>
    </row>
    <row r="421">
      <c r="A421" s="4"/>
      <c r="I421" s="180"/>
      <c r="J421" s="4"/>
    </row>
    <row r="422">
      <c r="A422" s="4"/>
      <c r="I422" s="180"/>
      <c r="J422" s="4"/>
    </row>
    <row r="423">
      <c r="A423" s="4"/>
      <c r="I423" s="180"/>
      <c r="J423" s="4"/>
    </row>
    <row r="424">
      <c r="A424" s="4"/>
      <c r="I424" s="180"/>
      <c r="J424" s="4"/>
    </row>
    <row r="425">
      <c r="A425" s="4"/>
      <c r="I425" s="180"/>
      <c r="J425" s="4"/>
    </row>
    <row r="426">
      <c r="A426" s="4"/>
      <c r="I426" s="180"/>
      <c r="J426" s="4"/>
    </row>
    <row r="427">
      <c r="A427" s="4"/>
      <c r="I427" s="180"/>
      <c r="J427" s="4"/>
    </row>
    <row r="428">
      <c r="A428" s="4"/>
      <c r="I428" s="180"/>
      <c r="J428" s="4"/>
    </row>
    <row r="429">
      <c r="A429" s="4"/>
      <c r="I429" s="180"/>
      <c r="J429" s="4"/>
    </row>
    <row r="430">
      <c r="A430" s="4"/>
      <c r="I430" s="180"/>
      <c r="J430" s="4"/>
    </row>
    <row r="431">
      <c r="A431" s="4"/>
      <c r="I431" s="180"/>
      <c r="J431" s="4"/>
    </row>
    <row r="432">
      <c r="A432" s="4"/>
      <c r="I432" s="180"/>
      <c r="J432" s="4"/>
    </row>
    <row r="433">
      <c r="A433" s="4"/>
      <c r="I433" s="180"/>
      <c r="J433" s="4"/>
    </row>
    <row r="434">
      <c r="A434" s="4"/>
      <c r="I434" s="180"/>
      <c r="J434" s="4"/>
    </row>
    <row r="435">
      <c r="A435" s="4"/>
      <c r="I435" s="180"/>
      <c r="J435" s="4"/>
    </row>
    <row r="436">
      <c r="A436" s="4"/>
      <c r="I436" s="180"/>
      <c r="J436" s="4"/>
    </row>
    <row r="437">
      <c r="A437" s="4"/>
      <c r="I437" s="180"/>
      <c r="J437" s="4"/>
    </row>
    <row r="438">
      <c r="A438" s="4"/>
      <c r="I438" s="180"/>
      <c r="J438" s="4"/>
    </row>
    <row r="439">
      <c r="A439" s="4"/>
      <c r="I439" s="180"/>
      <c r="J439" s="4"/>
    </row>
    <row r="440">
      <c r="A440" s="4"/>
      <c r="I440" s="180"/>
      <c r="J440" s="4"/>
    </row>
    <row r="441">
      <c r="A441" s="4"/>
      <c r="I441" s="180"/>
      <c r="J441" s="4"/>
    </row>
    <row r="442">
      <c r="A442" s="4"/>
      <c r="I442" s="180"/>
      <c r="J442" s="4"/>
    </row>
    <row r="443">
      <c r="A443" s="4"/>
      <c r="I443" s="180"/>
      <c r="J443" s="4"/>
    </row>
    <row r="444">
      <c r="A444" s="4"/>
      <c r="I444" s="180"/>
      <c r="J444" s="4"/>
    </row>
    <row r="445">
      <c r="A445" s="4"/>
      <c r="I445" s="180"/>
      <c r="J445" s="4"/>
    </row>
    <row r="446">
      <c r="A446" s="4"/>
      <c r="I446" s="180"/>
      <c r="J446" s="4"/>
    </row>
    <row r="447">
      <c r="A447" s="4"/>
      <c r="I447" s="180"/>
      <c r="J447" s="4"/>
    </row>
    <row r="448">
      <c r="A448" s="4"/>
      <c r="I448" s="180"/>
      <c r="J448" s="4"/>
    </row>
    <row r="449">
      <c r="A449" s="4"/>
      <c r="I449" s="180"/>
      <c r="J449" s="4"/>
    </row>
    <row r="450">
      <c r="A450" s="4"/>
      <c r="I450" s="180"/>
      <c r="J450" s="4"/>
    </row>
    <row r="451">
      <c r="A451" s="4"/>
      <c r="I451" s="180"/>
      <c r="J451" s="4"/>
    </row>
    <row r="452">
      <c r="A452" s="4"/>
      <c r="I452" s="180"/>
      <c r="J452" s="4"/>
    </row>
    <row r="453">
      <c r="A453" s="4"/>
      <c r="I453" s="180"/>
      <c r="J453" s="4"/>
    </row>
    <row r="454">
      <c r="A454" s="4"/>
      <c r="I454" s="180"/>
      <c r="J454" s="4"/>
    </row>
    <row r="455">
      <c r="A455" s="4"/>
      <c r="I455" s="180"/>
      <c r="J455" s="4"/>
    </row>
    <row r="456">
      <c r="A456" s="4"/>
      <c r="I456" s="180"/>
      <c r="J456" s="4"/>
    </row>
    <row r="457">
      <c r="A457" s="4"/>
      <c r="I457" s="180"/>
      <c r="J457" s="4"/>
    </row>
    <row r="458">
      <c r="A458" s="4"/>
      <c r="I458" s="180"/>
      <c r="J458" s="4"/>
    </row>
    <row r="459">
      <c r="A459" s="4"/>
      <c r="I459" s="180"/>
      <c r="J459" s="4"/>
    </row>
    <row r="460">
      <c r="A460" s="4"/>
      <c r="I460" s="180"/>
      <c r="J460" s="4"/>
    </row>
    <row r="461">
      <c r="A461" s="4"/>
      <c r="I461" s="180"/>
      <c r="J461" s="4"/>
    </row>
    <row r="462">
      <c r="A462" s="4"/>
      <c r="I462" s="180"/>
      <c r="J462" s="4"/>
    </row>
    <row r="463">
      <c r="A463" s="4"/>
      <c r="I463" s="180"/>
      <c r="J463" s="4"/>
    </row>
    <row r="464">
      <c r="A464" s="4"/>
      <c r="I464" s="180"/>
      <c r="J464" s="4"/>
    </row>
    <row r="465">
      <c r="A465" s="4"/>
      <c r="I465" s="180"/>
      <c r="J465" s="4"/>
    </row>
    <row r="466">
      <c r="A466" s="4"/>
      <c r="I466" s="180"/>
      <c r="J466" s="4"/>
    </row>
    <row r="467">
      <c r="A467" s="4"/>
      <c r="I467" s="180"/>
      <c r="J467" s="4"/>
    </row>
    <row r="468">
      <c r="A468" s="4"/>
      <c r="I468" s="180"/>
      <c r="J468" s="4"/>
    </row>
    <row r="469">
      <c r="A469" s="4"/>
      <c r="I469" s="180"/>
      <c r="J469" s="4"/>
    </row>
    <row r="470">
      <c r="A470" s="4"/>
      <c r="I470" s="180"/>
      <c r="J470" s="4"/>
    </row>
    <row r="471">
      <c r="A471" s="4"/>
      <c r="I471" s="180"/>
      <c r="J471" s="4"/>
    </row>
    <row r="472">
      <c r="A472" s="4"/>
      <c r="I472" s="180"/>
      <c r="J472" s="4"/>
    </row>
    <row r="473">
      <c r="A473" s="4"/>
      <c r="I473" s="180"/>
      <c r="J473" s="4"/>
    </row>
    <row r="474">
      <c r="A474" s="4"/>
      <c r="I474" s="180"/>
      <c r="J474" s="4"/>
    </row>
    <row r="475">
      <c r="A475" s="4"/>
      <c r="I475" s="180"/>
      <c r="J475" s="4"/>
    </row>
    <row r="476">
      <c r="A476" s="4"/>
      <c r="I476" s="180"/>
      <c r="J476" s="4"/>
    </row>
    <row r="477">
      <c r="A477" s="4"/>
      <c r="I477" s="180"/>
      <c r="J477" s="4"/>
    </row>
    <row r="478">
      <c r="A478" s="4"/>
      <c r="I478" s="180"/>
      <c r="J478" s="4"/>
    </row>
    <row r="479">
      <c r="A479" s="4"/>
      <c r="I479" s="180"/>
      <c r="J479" s="4"/>
    </row>
    <row r="480">
      <c r="A480" s="4"/>
      <c r="I480" s="180"/>
      <c r="J480" s="4"/>
    </row>
    <row r="481">
      <c r="A481" s="4"/>
      <c r="I481" s="180"/>
      <c r="J481" s="4"/>
    </row>
    <row r="482">
      <c r="A482" s="4"/>
      <c r="I482" s="180"/>
      <c r="J482" s="4"/>
    </row>
    <row r="483">
      <c r="A483" s="4"/>
      <c r="I483" s="180"/>
      <c r="J483" s="4"/>
    </row>
    <row r="484">
      <c r="A484" s="4"/>
      <c r="I484" s="180"/>
      <c r="J484" s="4"/>
    </row>
    <row r="485">
      <c r="A485" s="4"/>
      <c r="I485" s="180"/>
      <c r="J485" s="4"/>
    </row>
    <row r="486">
      <c r="A486" s="4"/>
      <c r="I486" s="180"/>
      <c r="J486" s="4"/>
    </row>
    <row r="487">
      <c r="A487" s="4"/>
      <c r="I487" s="180"/>
      <c r="J487" s="4"/>
    </row>
    <row r="488">
      <c r="A488" s="4"/>
      <c r="I488" s="180"/>
      <c r="J488" s="4"/>
    </row>
    <row r="489">
      <c r="A489" s="4"/>
      <c r="I489" s="180"/>
      <c r="J489" s="4"/>
    </row>
    <row r="490">
      <c r="A490" s="4"/>
      <c r="I490" s="180"/>
      <c r="J490" s="4"/>
    </row>
    <row r="491">
      <c r="A491" s="4"/>
      <c r="I491" s="180"/>
      <c r="J491" s="4"/>
    </row>
    <row r="492">
      <c r="A492" s="4"/>
      <c r="I492" s="180"/>
      <c r="J492" s="4"/>
    </row>
    <row r="493">
      <c r="A493" s="4"/>
      <c r="I493" s="180"/>
      <c r="J493" s="4"/>
    </row>
    <row r="494">
      <c r="A494" s="4"/>
      <c r="I494" s="180"/>
      <c r="J494" s="4"/>
    </row>
    <row r="495">
      <c r="A495" s="4"/>
      <c r="I495" s="180"/>
      <c r="J495" s="4"/>
    </row>
    <row r="496">
      <c r="A496" s="4"/>
      <c r="I496" s="180"/>
      <c r="J496" s="4"/>
    </row>
    <row r="497">
      <c r="A497" s="4"/>
      <c r="I497" s="180"/>
      <c r="J497" s="4"/>
    </row>
    <row r="498">
      <c r="A498" s="4"/>
      <c r="I498" s="180"/>
      <c r="J498" s="4"/>
    </row>
    <row r="499">
      <c r="A499" s="4"/>
      <c r="I499" s="180"/>
      <c r="J499" s="4"/>
    </row>
    <row r="500">
      <c r="A500" s="4"/>
      <c r="I500" s="180"/>
      <c r="J500" s="4"/>
    </row>
    <row r="501">
      <c r="A501" s="4"/>
      <c r="I501" s="180"/>
      <c r="J501" s="4"/>
    </row>
    <row r="502">
      <c r="A502" s="4"/>
      <c r="I502" s="180"/>
      <c r="J502" s="4"/>
    </row>
    <row r="503">
      <c r="A503" s="4"/>
      <c r="I503" s="180"/>
      <c r="J503" s="4"/>
    </row>
    <row r="504">
      <c r="A504" s="4"/>
      <c r="I504" s="180"/>
      <c r="J504" s="4"/>
    </row>
    <row r="505">
      <c r="A505" s="4"/>
      <c r="I505" s="180"/>
      <c r="J505" s="4"/>
    </row>
    <row r="506">
      <c r="A506" s="4"/>
      <c r="I506" s="180"/>
      <c r="J506" s="4"/>
    </row>
    <row r="507">
      <c r="A507" s="4"/>
      <c r="I507" s="180"/>
      <c r="J507" s="4"/>
    </row>
    <row r="508">
      <c r="A508" s="4"/>
      <c r="I508" s="180"/>
      <c r="J508" s="4"/>
    </row>
    <row r="509">
      <c r="A509" s="4"/>
      <c r="I509" s="180"/>
      <c r="J509" s="4"/>
    </row>
    <row r="510">
      <c r="A510" s="4"/>
      <c r="I510" s="180"/>
      <c r="J510" s="4"/>
    </row>
    <row r="511">
      <c r="A511" s="4"/>
      <c r="I511" s="180"/>
      <c r="J511" s="4"/>
    </row>
    <row r="512">
      <c r="A512" s="4"/>
      <c r="I512" s="180"/>
      <c r="J512" s="4"/>
    </row>
    <row r="513">
      <c r="A513" s="4"/>
      <c r="I513" s="180"/>
      <c r="J513" s="4"/>
    </row>
    <row r="514">
      <c r="A514" s="4"/>
      <c r="I514" s="180"/>
      <c r="J514" s="4"/>
    </row>
    <row r="515">
      <c r="A515" s="4"/>
      <c r="I515" s="180"/>
      <c r="J515" s="4"/>
    </row>
    <row r="516">
      <c r="A516" s="4"/>
      <c r="I516" s="180"/>
      <c r="J516" s="4"/>
    </row>
    <row r="517">
      <c r="A517" s="4"/>
      <c r="I517" s="180"/>
      <c r="J517" s="4"/>
    </row>
    <row r="518">
      <c r="A518" s="4"/>
      <c r="I518" s="180"/>
      <c r="J518" s="4"/>
    </row>
    <row r="519">
      <c r="A519" s="4"/>
      <c r="I519" s="180"/>
      <c r="J519" s="4"/>
    </row>
    <row r="520">
      <c r="A520" s="4"/>
      <c r="I520" s="180"/>
      <c r="J520" s="4"/>
    </row>
    <row r="521">
      <c r="A521" s="4"/>
      <c r="I521" s="180"/>
      <c r="J521" s="4"/>
    </row>
    <row r="522">
      <c r="A522" s="4"/>
      <c r="I522" s="180"/>
      <c r="J522" s="4"/>
    </row>
    <row r="523">
      <c r="A523" s="4"/>
      <c r="I523" s="180"/>
      <c r="J523" s="4"/>
    </row>
    <row r="524">
      <c r="A524" s="4"/>
      <c r="I524" s="180"/>
      <c r="J524" s="4"/>
    </row>
    <row r="525">
      <c r="A525" s="4"/>
      <c r="I525" s="180"/>
      <c r="J525" s="4"/>
    </row>
    <row r="526">
      <c r="A526" s="4"/>
      <c r="I526" s="180"/>
      <c r="J526" s="4"/>
    </row>
    <row r="527">
      <c r="A527" s="4"/>
      <c r="I527" s="180"/>
      <c r="J527" s="4"/>
    </row>
    <row r="528">
      <c r="A528" s="4"/>
      <c r="I528" s="180"/>
      <c r="J528" s="4"/>
    </row>
    <row r="529">
      <c r="A529" s="4"/>
      <c r="I529" s="180"/>
      <c r="J529" s="4"/>
    </row>
    <row r="530">
      <c r="A530" s="4"/>
      <c r="I530" s="180"/>
      <c r="J530" s="4"/>
    </row>
    <row r="531">
      <c r="A531" s="4"/>
      <c r="I531" s="180"/>
      <c r="J531" s="4"/>
    </row>
    <row r="532">
      <c r="A532" s="4"/>
      <c r="I532" s="180"/>
      <c r="J532" s="4"/>
    </row>
    <row r="533">
      <c r="A533" s="4"/>
      <c r="I533" s="180"/>
      <c r="J533" s="4"/>
    </row>
    <row r="534">
      <c r="A534" s="4"/>
      <c r="I534" s="180"/>
      <c r="J534" s="4"/>
    </row>
    <row r="535">
      <c r="A535" s="4"/>
      <c r="I535" s="180"/>
      <c r="J535" s="4"/>
    </row>
    <row r="536">
      <c r="A536" s="4"/>
      <c r="I536" s="180"/>
      <c r="J536" s="4"/>
    </row>
    <row r="537">
      <c r="A537" s="4"/>
      <c r="I537" s="180"/>
      <c r="J537" s="4"/>
    </row>
    <row r="538">
      <c r="A538" s="4"/>
      <c r="I538" s="180"/>
      <c r="J538" s="4"/>
    </row>
    <row r="539">
      <c r="A539" s="4"/>
      <c r="I539" s="180"/>
      <c r="J539" s="4"/>
    </row>
    <row r="540">
      <c r="A540" s="4"/>
      <c r="I540" s="180"/>
      <c r="J540" s="4"/>
    </row>
    <row r="541">
      <c r="A541" s="4"/>
      <c r="I541" s="180"/>
      <c r="J541" s="4"/>
    </row>
    <row r="542">
      <c r="A542" s="4"/>
      <c r="I542" s="180"/>
      <c r="J542" s="4"/>
    </row>
    <row r="543">
      <c r="A543" s="4"/>
      <c r="I543" s="180"/>
      <c r="J543" s="4"/>
    </row>
    <row r="544">
      <c r="A544" s="4"/>
      <c r="I544" s="180"/>
      <c r="J544" s="4"/>
    </row>
    <row r="545">
      <c r="A545" s="4"/>
      <c r="I545" s="180"/>
      <c r="J545" s="4"/>
    </row>
    <row r="546">
      <c r="A546" s="4"/>
      <c r="I546" s="180"/>
      <c r="J546" s="4"/>
    </row>
    <row r="547">
      <c r="A547" s="4"/>
      <c r="I547" s="180"/>
      <c r="J547" s="4"/>
    </row>
    <row r="548">
      <c r="A548" s="4"/>
      <c r="I548" s="180"/>
      <c r="J548" s="4"/>
    </row>
    <row r="549">
      <c r="A549" s="4"/>
      <c r="I549" s="180"/>
      <c r="J549" s="4"/>
    </row>
    <row r="550">
      <c r="A550" s="4"/>
      <c r="I550" s="180"/>
      <c r="J550" s="4"/>
    </row>
    <row r="551">
      <c r="A551" s="4"/>
      <c r="I551" s="180"/>
      <c r="J551" s="4"/>
    </row>
    <row r="552">
      <c r="A552" s="4"/>
      <c r="I552" s="180"/>
      <c r="J552" s="4"/>
    </row>
    <row r="553">
      <c r="A553" s="4"/>
      <c r="I553" s="180"/>
      <c r="J553" s="4"/>
    </row>
    <row r="554">
      <c r="A554" s="4"/>
      <c r="I554" s="180"/>
      <c r="J554" s="4"/>
    </row>
    <row r="555">
      <c r="A555" s="4"/>
      <c r="I555" s="180"/>
      <c r="J555" s="4"/>
    </row>
    <row r="556">
      <c r="A556" s="4"/>
      <c r="I556" s="180"/>
      <c r="J556" s="4"/>
    </row>
    <row r="557">
      <c r="A557" s="4"/>
      <c r="I557" s="180"/>
      <c r="J557" s="4"/>
    </row>
    <row r="558">
      <c r="A558" s="4"/>
      <c r="I558" s="180"/>
      <c r="J558" s="4"/>
    </row>
    <row r="559">
      <c r="A559" s="4"/>
      <c r="I559" s="180"/>
      <c r="J559" s="4"/>
    </row>
    <row r="560">
      <c r="A560" s="4"/>
      <c r="I560" s="180"/>
      <c r="J560" s="4"/>
    </row>
    <row r="561">
      <c r="A561" s="4"/>
      <c r="I561" s="180"/>
      <c r="J561" s="4"/>
    </row>
    <row r="562">
      <c r="A562" s="4"/>
      <c r="I562" s="180"/>
      <c r="J562" s="4"/>
    </row>
    <row r="563">
      <c r="A563" s="4"/>
      <c r="I563" s="180"/>
      <c r="J563" s="4"/>
    </row>
    <row r="564">
      <c r="A564" s="4"/>
      <c r="I564" s="180"/>
      <c r="J564" s="4"/>
    </row>
    <row r="565">
      <c r="A565" s="4"/>
      <c r="I565" s="180"/>
      <c r="J565" s="4"/>
    </row>
    <row r="566">
      <c r="A566" s="4"/>
      <c r="I566" s="180"/>
      <c r="J566" s="4"/>
    </row>
    <row r="567">
      <c r="A567" s="4"/>
      <c r="I567" s="180"/>
      <c r="J567" s="4"/>
    </row>
    <row r="568">
      <c r="A568" s="4"/>
      <c r="I568" s="180"/>
      <c r="J568" s="4"/>
    </row>
    <row r="569">
      <c r="A569" s="4"/>
      <c r="I569" s="180"/>
      <c r="J569" s="4"/>
    </row>
    <row r="570">
      <c r="A570" s="4"/>
      <c r="I570" s="180"/>
      <c r="J570" s="4"/>
    </row>
    <row r="571">
      <c r="A571" s="4"/>
      <c r="I571" s="180"/>
      <c r="J571" s="4"/>
    </row>
    <row r="572">
      <c r="A572" s="4"/>
      <c r="I572" s="180"/>
      <c r="J572" s="4"/>
    </row>
    <row r="573">
      <c r="A573" s="4"/>
      <c r="I573" s="180"/>
      <c r="J573" s="4"/>
    </row>
    <row r="574">
      <c r="A574" s="4"/>
      <c r="I574" s="180"/>
      <c r="J574" s="4"/>
    </row>
    <row r="575">
      <c r="A575" s="4"/>
      <c r="I575" s="180"/>
      <c r="J575" s="4"/>
    </row>
    <row r="576">
      <c r="A576" s="4"/>
      <c r="I576" s="180"/>
      <c r="J576" s="4"/>
    </row>
    <row r="577">
      <c r="A577" s="4"/>
      <c r="I577" s="180"/>
      <c r="J577" s="4"/>
    </row>
    <row r="578">
      <c r="A578" s="4"/>
      <c r="I578" s="180"/>
      <c r="J578" s="4"/>
    </row>
    <row r="579">
      <c r="A579" s="4"/>
      <c r="I579" s="180"/>
      <c r="J579" s="4"/>
    </row>
    <row r="580">
      <c r="A580" s="4"/>
      <c r="I580" s="180"/>
      <c r="J580" s="4"/>
    </row>
    <row r="581">
      <c r="A581" s="4"/>
      <c r="I581" s="180"/>
      <c r="J581" s="4"/>
    </row>
    <row r="582">
      <c r="A582" s="4"/>
      <c r="I582" s="180"/>
      <c r="J582" s="4"/>
    </row>
    <row r="583">
      <c r="A583" s="4"/>
      <c r="I583" s="180"/>
      <c r="J583" s="4"/>
    </row>
    <row r="584">
      <c r="A584" s="4"/>
      <c r="I584" s="180"/>
      <c r="J584" s="4"/>
    </row>
    <row r="585">
      <c r="A585" s="4"/>
      <c r="I585" s="180"/>
      <c r="J585" s="4"/>
    </row>
    <row r="586">
      <c r="A586" s="4"/>
      <c r="I586" s="180"/>
      <c r="J586" s="4"/>
    </row>
    <row r="587">
      <c r="A587" s="4"/>
      <c r="I587" s="180"/>
      <c r="J587" s="4"/>
    </row>
    <row r="588">
      <c r="A588" s="4"/>
      <c r="I588" s="180"/>
      <c r="J588" s="4"/>
    </row>
    <row r="589">
      <c r="A589" s="4"/>
      <c r="I589" s="180"/>
      <c r="J589" s="4"/>
    </row>
    <row r="590">
      <c r="A590" s="4"/>
      <c r="I590" s="180"/>
      <c r="J590" s="4"/>
    </row>
    <row r="591">
      <c r="A591" s="4"/>
      <c r="I591" s="180"/>
      <c r="J591" s="4"/>
    </row>
    <row r="592">
      <c r="A592" s="4"/>
      <c r="I592" s="180"/>
      <c r="J592" s="4"/>
    </row>
    <row r="593">
      <c r="A593" s="4"/>
      <c r="I593" s="180"/>
      <c r="J593" s="4"/>
    </row>
    <row r="594">
      <c r="A594" s="4"/>
      <c r="I594" s="180"/>
      <c r="J594" s="4"/>
    </row>
    <row r="595">
      <c r="A595" s="4"/>
      <c r="I595" s="180"/>
      <c r="J595" s="4"/>
    </row>
    <row r="596">
      <c r="A596" s="4"/>
      <c r="I596" s="180"/>
      <c r="J596" s="4"/>
    </row>
    <row r="597">
      <c r="A597" s="4"/>
      <c r="I597" s="180"/>
      <c r="J597" s="4"/>
    </row>
    <row r="598">
      <c r="A598" s="4"/>
      <c r="I598" s="180"/>
      <c r="J598" s="4"/>
    </row>
    <row r="599">
      <c r="A599" s="4"/>
      <c r="I599" s="180"/>
      <c r="J599" s="4"/>
    </row>
    <row r="600">
      <c r="A600" s="4"/>
      <c r="I600" s="180"/>
      <c r="J600" s="4"/>
    </row>
    <row r="601">
      <c r="A601" s="4"/>
      <c r="I601" s="180"/>
      <c r="J601" s="4"/>
    </row>
    <row r="602">
      <c r="A602" s="4"/>
      <c r="I602" s="180"/>
      <c r="J602" s="4"/>
    </row>
    <row r="603">
      <c r="A603" s="4"/>
      <c r="I603" s="180"/>
      <c r="J603" s="4"/>
    </row>
    <row r="604">
      <c r="A604" s="4"/>
      <c r="I604" s="180"/>
      <c r="J604" s="4"/>
    </row>
    <row r="605">
      <c r="A605" s="4"/>
      <c r="I605" s="180"/>
      <c r="J605" s="4"/>
    </row>
    <row r="606">
      <c r="A606" s="4"/>
      <c r="I606" s="180"/>
      <c r="J606" s="4"/>
    </row>
    <row r="607">
      <c r="A607" s="4"/>
      <c r="I607" s="180"/>
      <c r="J607" s="4"/>
    </row>
    <row r="608">
      <c r="A608" s="4"/>
      <c r="I608" s="180"/>
      <c r="J608" s="4"/>
    </row>
    <row r="609">
      <c r="A609" s="4"/>
      <c r="I609" s="180"/>
      <c r="J609" s="4"/>
    </row>
    <row r="610">
      <c r="A610" s="4"/>
      <c r="I610" s="180"/>
      <c r="J610" s="4"/>
    </row>
    <row r="611">
      <c r="A611" s="4"/>
      <c r="I611" s="180"/>
      <c r="J611" s="4"/>
    </row>
    <row r="612">
      <c r="A612" s="4"/>
      <c r="I612" s="180"/>
      <c r="J612" s="4"/>
    </row>
    <row r="613">
      <c r="A613" s="4"/>
      <c r="I613" s="180"/>
      <c r="J613" s="4"/>
    </row>
    <row r="614">
      <c r="A614" s="4"/>
      <c r="I614" s="180"/>
      <c r="J614" s="4"/>
    </row>
    <row r="615">
      <c r="A615" s="4"/>
      <c r="I615" s="180"/>
      <c r="J615" s="4"/>
    </row>
    <row r="616">
      <c r="A616" s="4"/>
      <c r="I616" s="180"/>
      <c r="J616" s="4"/>
    </row>
    <row r="617">
      <c r="A617" s="4"/>
      <c r="I617" s="180"/>
      <c r="J617" s="4"/>
    </row>
    <row r="618">
      <c r="A618" s="4"/>
      <c r="I618" s="180"/>
      <c r="J618" s="4"/>
    </row>
    <row r="619">
      <c r="A619" s="4"/>
      <c r="I619" s="180"/>
      <c r="J619" s="4"/>
    </row>
    <row r="620">
      <c r="A620" s="4"/>
      <c r="I620" s="180"/>
      <c r="J620" s="4"/>
    </row>
    <row r="621">
      <c r="A621" s="4"/>
      <c r="I621" s="180"/>
      <c r="J621" s="4"/>
    </row>
    <row r="622">
      <c r="A622" s="4"/>
      <c r="I622" s="180"/>
      <c r="J622" s="4"/>
    </row>
    <row r="623">
      <c r="A623" s="4"/>
      <c r="I623" s="180"/>
      <c r="J623" s="4"/>
    </row>
    <row r="624">
      <c r="A624" s="4"/>
      <c r="I624" s="180"/>
      <c r="J624" s="4"/>
    </row>
    <row r="625">
      <c r="A625" s="4"/>
      <c r="I625" s="180"/>
      <c r="J625" s="4"/>
    </row>
    <row r="626">
      <c r="A626" s="4"/>
      <c r="I626" s="180"/>
      <c r="J626" s="4"/>
    </row>
    <row r="627">
      <c r="A627" s="4"/>
      <c r="I627" s="180"/>
      <c r="J627" s="4"/>
    </row>
    <row r="628">
      <c r="A628" s="4"/>
      <c r="I628" s="180"/>
      <c r="J628" s="4"/>
    </row>
    <row r="629">
      <c r="A629" s="4"/>
      <c r="I629" s="180"/>
      <c r="J629" s="4"/>
    </row>
    <row r="630">
      <c r="A630" s="4"/>
      <c r="I630" s="180"/>
      <c r="J630" s="4"/>
    </row>
    <row r="631">
      <c r="A631" s="4"/>
      <c r="I631" s="180"/>
      <c r="J631" s="4"/>
    </row>
    <row r="632">
      <c r="A632" s="4"/>
      <c r="I632" s="180"/>
      <c r="J632" s="4"/>
    </row>
    <row r="633">
      <c r="A633" s="4"/>
      <c r="I633" s="180"/>
      <c r="J633" s="4"/>
    </row>
    <row r="634">
      <c r="A634" s="4"/>
      <c r="I634" s="180"/>
      <c r="J634" s="4"/>
    </row>
    <row r="635">
      <c r="A635" s="4"/>
      <c r="I635" s="180"/>
      <c r="J635" s="4"/>
    </row>
    <row r="636">
      <c r="A636" s="4"/>
      <c r="I636" s="180"/>
      <c r="J636" s="4"/>
    </row>
    <row r="637">
      <c r="A637" s="4"/>
      <c r="I637" s="180"/>
      <c r="J637" s="4"/>
    </row>
    <row r="638">
      <c r="A638" s="4"/>
      <c r="I638" s="180"/>
      <c r="J638" s="4"/>
    </row>
    <row r="639">
      <c r="A639" s="4"/>
      <c r="I639" s="180"/>
      <c r="J639" s="4"/>
    </row>
    <row r="640">
      <c r="A640" s="4"/>
      <c r="I640" s="180"/>
      <c r="J640" s="4"/>
    </row>
    <row r="641">
      <c r="A641" s="4"/>
      <c r="I641" s="180"/>
      <c r="J641" s="4"/>
    </row>
    <row r="642">
      <c r="A642" s="4"/>
      <c r="I642" s="180"/>
      <c r="J642" s="4"/>
    </row>
    <row r="643">
      <c r="A643" s="4"/>
      <c r="I643" s="180"/>
      <c r="J643" s="4"/>
    </row>
    <row r="644">
      <c r="A644" s="4"/>
      <c r="I644" s="180"/>
      <c r="J644" s="4"/>
    </row>
    <row r="645">
      <c r="A645" s="4"/>
      <c r="I645" s="180"/>
      <c r="J645" s="4"/>
    </row>
    <row r="646">
      <c r="A646" s="4"/>
      <c r="I646" s="180"/>
      <c r="J646" s="4"/>
    </row>
    <row r="647">
      <c r="A647" s="4"/>
      <c r="I647" s="180"/>
      <c r="J647" s="4"/>
    </row>
    <row r="648">
      <c r="A648" s="4"/>
      <c r="I648" s="180"/>
      <c r="J648" s="4"/>
    </row>
    <row r="649">
      <c r="A649" s="4"/>
      <c r="I649" s="180"/>
      <c r="J649" s="4"/>
    </row>
    <row r="650">
      <c r="A650" s="4"/>
      <c r="I650" s="180"/>
      <c r="J650" s="4"/>
    </row>
    <row r="651">
      <c r="A651" s="4"/>
      <c r="I651" s="180"/>
      <c r="J651" s="4"/>
    </row>
    <row r="652">
      <c r="A652" s="4"/>
      <c r="I652" s="180"/>
      <c r="J652" s="4"/>
    </row>
    <row r="653">
      <c r="A653" s="4"/>
      <c r="I653" s="180"/>
      <c r="J653" s="4"/>
    </row>
    <row r="654">
      <c r="A654" s="4"/>
      <c r="I654" s="180"/>
      <c r="J654" s="4"/>
    </row>
    <row r="655">
      <c r="A655" s="4"/>
      <c r="I655" s="180"/>
      <c r="J655" s="4"/>
    </row>
    <row r="656">
      <c r="A656" s="4"/>
      <c r="I656" s="180"/>
      <c r="J656" s="4"/>
    </row>
    <row r="657">
      <c r="A657" s="4"/>
      <c r="I657" s="180"/>
      <c r="J657" s="4"/>
    </row>
    <row r="658">
      <c r="A658" s="4"/>
      <c r="I658" s="180"/>
      <c r="J658" s="4"/>
    </row>
    <row r="659">
      <c r="A659" s="4"/>
      <c r="I659" s="180"/>
      <c r="J659" s="4"/>
    </row>
    <row r="660">
      <c r="A660" s="4"/>
      <c r="I660" s="180"/>
      <c r="J660" s="4"/>
    </row>
    <row r="661">
      <c r="A661" s="4"/>
      <c r="I661" s="180"/>
      <c r="J661" s="4"/>
    </row>
    <row r="662">
      <c r="A662" s="4"/>
      <c r="I662" s="180"/>
      <c r="J662" s="4"/>
    </row>
    <row r="663">
      <c r="A663" s="4"/>
      <c r="I663" s="180"/>
      <c r="J663" s="4"/>
    </row>
    <row r="664">
      <c r="A664" s="4"/>
      <c r="I664" s="180"/>
      <c r="J664" s="4"/>
    </row>
    <row r="665">
      <c r="A665" s="4"/>
      <c r="I665" s="180"/>
      <c r="J665" s="4"/>
    </row>
    <row r="666">
      <c r="A666" s="4"/>
      <c r="I666" s="180"/>
      <c r="J666" s="4"/>
    </row>
    <row r="667">
      <c r="A667" s="4"/>
      <c r="I667" s="180"/>
      <c r="J667" s="4"/>
    </row>
    <row r="668">
      <c r="A668" s="4"/>
      <c r="I668" s="180"/>
      <c r="J668" s="4"/>
    </row>
    <row r="669">
      <c r="A669" s="4"/>
      <c r="I669" s="180"/>
      <c r="J669" s="4"/>
    </row>
    <row r="670">
      <c r="A670" s="4"/>
      <c r="I670" s="180"/>
      <c r="J670" s="4"/>
    </row>
    <row r="671">
      <c r="A671" s="4"/>
      <c r="I671" s="180"/>
      <c r="J671" s="4"/>
    </row>
    <row r="672">
      <c r="A672" s="4"/>
      <c r="I672" s="180"/>
      <c r="J672" s="4"/>
    </row>
    <row r="673">
      <c r="A673" s="4"/>
      <c r="I673" s="180"/>
      <c r="J673" s="4"/>
    </row>
    <row r="674">
      <c r="A674" s="4"/>
      <c r="I674" s="180"/>
      <c r="J674" s="4"/>
    </row>
    <row r="675">
      <c r="A675" s="4"/>
      <c r="I675" s="180"/>
      <c r="J675" s="4"/>
    </row>
    <row r="676">
      <c r="A676" s="4"/>
      <c r="I676" s="180"/>
      <c r="J676" s="4"/>
    </row>
    <row r="677">
      <c r="A677" s="4"/>
      <c r="I677" s="180"/>
      <c r="J677" s="4"/>
    </row>
    <row r="678">
      <c r="A678" s="4"/>
      <c r="I678" s="180"/>
      <c r="J678" s="4"/>
    </row>
    <row r="679">
      <c r="A679" s="4"/>
      <c r="I679" s="180"/>
      <c r="J679" s="4"/>
    </row>
    <row r="680">
      <c r="A680" s="4"/>
      <c r="I680" s="180"/>
      <c r="J680" s="4"/>
    </row>
    <row r="681">
      <c r="A681" s="4"/>
      <c r="I681" s="180"/>
      <c r="J681" s="4"/>
    </row>
    <row r="682">
      <c r="A682" s="4"/>
      <c r="I682" s="180"/>
      <c r="J682" s="4"/>
    </row>
    <row r="683">
      <c r="A683" s="4"/>
      <c r="I683" s="180"/>
      <c r="J683" s="4"/>
    </row>
    <row r="684">
      <c r="A684" s="4"/>
      <c r="I684" s="180"/>
      <c r="J684" s="4"/>
    </row>
    <row r="685">
      <c r="A685" s="4"/>
      <c r="I685" s="180"/>
      <c r="J685" s="4"/>
    </row>
    <row r="686">
      <c r="A686" s="4"/>
      <c r="I686" s="180"/>
      <c r="J686" s="4"/>
    </row>
    <row r="687">
      <c r="A687" s="4"/>
      <c r="I687" s="180"/>
      <c r="J687" s="4"/>
    </row>
    <row r="688">
      <c r="A688" s="4"/>
      <c r="I688" s="180"/>
      <c r="J688" s="4"/>
    </row>
    <row r="689">
      <c r="A689" s="4"/>
      <c r="I689" s="180"/>
      <c r="J689" s="4"/>
    </row>
    <row r="690">
      <c r="A690" s="4"/>
      <c r="I690" s="180"/>
      <c r="J690" s="4"/>
    </row>
    <row r="691">
      <c r="A691" s="4"/>
      <c r="I691" s="180"/>
      <c r="J691" s="4"/>
    </row>
    <row r="692">
      <c r="A692" s="4"/>
      <c r="I692" s="180"/>
      <c r="J692" s="4"/>
    </row>
    <row r="693">
      <c r="A693" s="4"/>
      <c r="I693" s="180"/>
      <c r="J693" s="4"/>
    </row>
    <row r="694">
      <c r="A694" s="4"/>
      <c r="I694" s="180"/>
      <c r="J694" s="4"/>
    </row>
    <row r="695">
      <c r="A695" s="4"/>
      <c r="I695" s="180"/>
      <c r="J695" s="4"/>
    </row>
    <row r="696">
      <c r="A696" s="4"/>
      <c r="I696" s="180"/>
      <c r="J696" s="4"/>
    </row>
    <row r="697">
      <c r="A697" s="4"/>
      <c r="I697" s="180"/>
      <c r="J697" s="4"/>
    </row>
    <row r="698">
      <c r="A698" s="4"/>
      <c r="I698" s="180"/>
      <c r="J698" s="4"/>
    </row>
    <row r="699">
      <c r="A699" s="4"/>
      <c r="I699" s="180"/>
      <c r="J699" s="4"/>
    </row>
    <row r="700">
      <c r="A700" s="4"/>
      <c r="I700" s="180"/>
      <c r="J700" s="4"/>
    </row>
    <row r="701">
      <c r="A701" s="4"/>
      <c r="I701" s="180"/>
      <c r="J701" s="4"/>
    </row>
    <row r="702">
      <c r="A702" s="4"/>
      <c r="I702" s="180"/>
      <c r="J702" s="4"/>
    </row>
    <row r="703">
      <c r="A703" s="4"/>
      <c r="I703" s="180"/>
      <c r="J703" s="4"/>
    </row>
    <row r="704">
      <c r="A704" s="4"/>
      <c r="I704" s="180"/>
      <c r="J704" s="4"/>
    </row>
    <row r="705">
      <c r="A705" s="4"/>
      <c r="I705" s="180"/>
      <c r="J705" s="4"/>
    </row>
    <row r="706">
      <c r="A706" s="4"/>
      <c r="I706" s="180"/>
      <c r="J706" s="4"/>
    </row>
    <row r="707">
      <c r="A707" s="4"/>
      <c r="I707" s="180"/>
      <c r="J707" s="4"/>
    </row>
    <row r="708">
      <c r="A708" s="4"/>
      <c r="I708" s="180"/>
      <c r="J708" s="4"/>
    </row>
    <row r="709">
      <c r="A709" s="4"/>
      <c r="I709" s="180"/>
      <c r="J709" s="4"/>
    </row>
    <row r="710">
      <c r="A710" s="4"/>
      <c r="I710" s="180"/>
      <c r="J710" s="4"/>
    </row>
    <row r="711">
      <c r="A711" s="4"/>
      <c r="I711" s="180"/>
      <c r="J711" s="4"/>
    </row>
    <row r="712">
      <c r="A712" s="4"/>
      <c r="I712" s="180"/>
      <c r="J712" s="4"/>
    </row>
    <row r="713">
      <c r="A713" s="4"/>
      <c r="I713" s="180"/>
      <c r="J713" s="4"/>
    </row>
    <row r="714">
      <c r="A714" s="4"/>
      <c r="I714" s="180"/>
      <c r="J714" s="4"/>
    </row>
    <row r="715">
      <c r="A715" s="4"/>
      <c r="I715" s="180"/>
      <c r="J715" s="4"/>
    </row>
    <row r="716">
      <c r="A716" s="4"/>
      <c r="I716" s="180"/>
      <c r="J716" s="4"/>
    </row>
    <row r="717">
      <c r="A717" s="4"/>
      <c r="I717" s="180"/>
      <c r="J717" s="4"/>
    </row>
    <row r="718">
      <c r="A718" s="4"/>
      <c r="I718" s="180"/>
      <c r="J718" s="4"/>
    </row>
    <row r="719">
      <c r="A719" s="4"/>
      <c r="I719" s="180"/>
      <c r="J719" s="4"/>
    </row>
    <row r="720">
      <c r="A720" s="4"/>
      <c r="I720" s="180"/>
      <c r="J720" s="4"/>
    </row>
    <row r="721">
      <c r="A721" s="4"/>
      <c r="I721" s="180"/>
      <c r="J721" s="4"/>
    </row>
    <row r="722">
      <c r="A722" s="4"/>
      <c r="I722" s="180"/>
      <c r="J722" s="4"/>
    </row>
    <row r="723">
      <c r="A723" s="4"/>
      <c r="I723" s="180"/>
      <c r="J723" s="4"/>
    </row>
    <row r="724">
      <c r="A724" s="4"/>
      <c r="I724" s="180"/>
      <c r="J724" s="4"/>
    </row>
    <row r="725">
      <c r="A725" s="4"/>
      <c r="I725" s="180"/>
      <c r="J725" s="4"/>
    </row>
    <row r="726">
      <c r="A726" s="4"/>
      <c r="I726" s="180"/>
      <c r="J726" s="4"/>
    </row>
    <row r="727">
      <c r="A727" s="4"/>
      <c r="I727" s="180"/>
      <c r="J727" s="4"/>
    </row>
    <row r="728">
      <c r="A728" s="4"/>
      <c r="I728" s="180"/>
      <c r="J728" s="4"/>
    </row>
    <row r="729">
      <c r="A729" s="4"/>
      <c r="I729" s="180"/>
      <c r="J729" s="4"/>
    </row>
    <row r="730">
      <c r="A730" s="4"/>
      <c r="I730" s="180"/>
      <c r="J730" s="4"/>
    </row>
    <row r="731">
      <c r="A731" s="4"/>
      <c r="I731" s="180"/>
      <c r="J731" s="4"/>
    </row>
    <row r="732">
      <c r="A732" s="4"/>
      <c r="I732" s="180"/>
      <c r="J732" s="4"/>
    </row>
    <row r="733">
      <c r="A733" s="4"/>
      <c r="I733" s="180"/>
      <c r="J733" s="4"/>
    </row>
    <row r="734">
      <c r="A734" s="4"/>
      <c r="I734" s="180"/>
      <c r="J734" s="4"/>
    </row>
    <row r="735">
      <c r="A735" s="4"/>
      <c r="I735" s="180"/>
      <c r="J735" s="4"/>
    </row>
    <row r="736">
      <c r="A736" s="4"/>
      <c r="I736" s="180"/>
      <c r="J736" s="4"/>
    </row>
    <row r="737">
      <c r="A737" s="4"/>
      <c r="I737" s="180"/>
      <c r="J737" s="4"/>
    </row>
    <row r="738">
      <c r="A738" s="4"/>
      <c r="I738" s="180"/>
      <c r="J738" s="4"/>
    </row>
    <row r="739">
      <c r="A739" s="4"/>
      <c r="I739" s="180"/>
      <c r="J739" s="4"/>
    </row>
    <row r="740">
      <c r="A740" s="4"/>
      <c r="I740" s="180"/>
      <c r="J740" s="4"/>
    </row>
    <row r="741">
      <c r="A741" s="4"/>
      <c r="I741" s="180"/>
      <c r="J741" s="4"/>
    </row>
    <row r="742">
      <c r="A742" s="4"/>
      <c r="I742" s="180"/>
      <c r="J742" s="4"/>
    </row>
    <row r="743">
      <c r="A743" s="4"/>
      <c r="I743" s="180"/>
      <c r="J743" s="4"/>
    </row>
    <row r="744">
      <c r="A744" s="4"/>
      <c r="I744" s="180"/>
      <c r="J744" s="4"/>
    </row>
    <row r="745">
      <c r="A745" s="4"/>
      <c r="I745" s="180"/>
      <c r="J745" s="4"/>
    </row>
    <row r="746">
      <c r="A746" s="4"/>
      <c r="I746" s="180"/>
      <c r="J746" s="4"/>
    </row>
    <row r="747">
      <c r="A747" s="4"/>
      <c r="I747" s="180"/>
      <c r="J747" s="4"/>
    </row>
    <row r="748">
      <c r="A748" s="4"/>
      <c r="I748" s="180"/>
      <c r="J748" s="4"/>
    </row>
    <row r="749">
      <c r="A749" s="4"/>
      <c r="I749" s="180"/>
      <c r="J749" s="4"/>
    </row>
    <row r="750">
      <c r="A750" s="4"/>
      <c r="I750" s="180"/>
      <c r="J750" s="4"/>
    </row>
    <row r="751">
      <c r="A751" s="4"/>
      <c r="I751" s="180"/>
      <c r="J751" s="4"/>
    </row>
    <row r="752">
      <c r="A752" s="4"/>
      <c r="I752" s="180"/>
      <c r="J752" s="4"/>
    </row>
    <row r="753">
      <c r="A753" s="4"/>
      <c r="I753" s="180"/>
      <c r="J753" s="4"/>
    </row>
    <row r="754">
      <c r="A754" s="4"/>
      <c r="I754" s="180"/>
      <c r="J754" s="4"/>
    </row>
    <row r="755">
      <c r="A755" s="4"/>
      <c r="I755" s="180"/>
      <c r="J755" s="4"/>
    </row>
    <row r="756">
      <c r="A756" s="4"/>
      <c r="I756" s="180"/>
      <c r="J756" s="4"/>
    </row>
    <row r="757">
      <c r="A757" s="4"/>
      <c r="I757" s="180"/>
      <c r="J757" s="4"/>
    </row>
    <row r="758">
      <c r="A758" s="4"/>
      <c r="I758" s="180"/>
      <c r="J758" s="4"/>
    </row>
    <row r="759">
      <c r="A759" s="4"/>
      <c r="I759" s="180"/>
      <c r="J759" s="4"/>
    </row>
    <row r="760">
      <c r="A760" s="4"/>
      <c r="I760" s="180"/>
      <c r="J760" s="4"/>
    </row>
    <row r="761">
      <c r="A761" s="4"/>
      <c r="I761" s="180"/>
      <c r="J761" s="4"/>
    </row>
    <row r="762">
      <c r="A762" s="4"/>
      <c r="I762" s="180"/>
      <c r="J762" s="4"/>
    </row>
    <row r="763">
      <c r="A763" s="4"/>
      <c r="I763" s="180"/>
      <c r="J763" s="4"/>
    </row>
    <row r="764">
      <c r="A764" s="4"/>
      <c r="I764" s="180"/>
      <c r="J764" s="4"/>
    </row>
    <row r="765">
      <c r="A765" s="4"/>
      <c r="I765" s="180"/>
      <c r="J765" s="4"/>
    </row>
    <row r="766">
      <c r="A766" s="4"/>
      <c r="I766" s="180"/>
      <c r="J766" s="4"/>
    </row>
    <row r="767">
      <c r="A767" s="4"/>
      <c r="I767" s="180"/>
      <c r="J767" s="4"/>
    </row>
    <row r="768">
      <c r="A768" s="4"/>
      <c r="I768" s="180"/>
      <c r="J768" s="4"/>
    </row>
    <row r="769">
      <c r="A769" s="4"/>
      <c r="I769" s="180"/>
      <c r="J769" s="4"/>
    </row>
    <row r="770">
      <c r="A770" s="4"/>
      <c r="I770" s="180"/>
      <c r="J770" s="4"/>
    </row>
    <row r="771">
      <c r="A771" s="4"/>
      <c r="I771" s="180"/>
      <c r="J771" s="4"/>
    </row>
    <row r="772">
      <c r="A772" s="4"/>
      <c r="I772" s="180"/>
      <c r="J772" s="4"/>
    </row>
    <row r="773">
      <c r="A773" s="4"/>
      <c r="I773" s="180"/>
      <c r="J773" s="4"/>
    </row>
    <row r="774">
      <c r="A774" s="4"/>
      <c r="I774" s="180"/>
      <c r="J774" s="4"/>
    </row>
    <row r="775">
      <c r="A775" s="4"/>
      <c r="I775" s="180"/>
      <c r="J775" s="4"/>
    </row>
    <row r="776">
      <c r="A776" s="4"/>
      <c r="I776" s="180"/>
      <c r="J776" s="4"/>
    </row>
    <row r="777">
      <c r="A777" s="4"/>
      <c r="I777" s="180"/>
      <c r="J777" s="4"/>
    </row>
    <row r="778">
      <c r="A778" s="4"/>
      <c r="I778" s="180"/>
      <c r="J778" s="4"/>
    </row>
    <row r="779">
      <c r="A779" s="4"/>
      <c r="I779" s="180"/>
      <c r="J779" s="4"/>
    </row>
    <row r="780">
      <c r="A780" s="4"/>
      <c r="I780" s="180"/>
      <c r="J780" s="4"/>
    </row>
    <row r="781">
      <c r="A781" s="4"/>
      <c r="I781" s="180"/>
      <c r="J781" s="4"/>
    </row>
    <row r="782">
      <c r="A782" s="4"/>
      <c r="I782" s="180"/>
      <c r="J782" s="4"/>
    </row>
    <row r="783">
      <c r="A783" s="4"/>
      <c r="I783" s="180"/>
      <c r="J783" s="4"/>
    </row>
    <row r="784">
      <c r="A784" s="4"/>
      <c r="I784" s="180"/>
      <c r="J784" s="4"/>
    </row>
    <row r="785">
      <c r="A785" s="4"/>
      <c r="I785" s="180"/>
      <c r="J785" s="4"/>
    </row>
    <row r="786">
      <c r="A786" s="4"/>
      <c r="I786" s="180"/>
      <c r="J786" s="4"/>
    </row>
    <row r="787">
      <c r="A787" s="4"/>
      <c r="I787" s="180"/>
      <c r="J787" s="4"/>
    </row>
    <row r="788">
      <c r="A788" s="4"/>
      <c r="I788" s="180"/>
      <c r="J788" s="4"/>
    </row>
    <row r="789">
      <c r="A789" s="4"/>
      <c r="I789" s="180"/>
      <c r="J789" s="4"/>
    </row>
    <row r="790">
      <c r="A790" s="4"/>
      <c r="I790" s="180"/>
      <c r="J790" s="4"/>
    </row>
    <row r="791">
      <c r="A791" s="4"/>
      <c r="I791" s="180"/>
      <c r="J791" s="4"/>
    </row>
    <row r="792">
      <c r="A792" s="4"/>
      <c r="I792" s="180"/>
      <c r="J792" s="4"/>
    </row>
    <row r="793">
      <c r="A793" s="4"/>
      <c r="I793" s="180"/>
      <c r="J793" s="4"/>
    </row>
    <row r="794">
      <c r="A794" s="4"/>
      <c r="I794" s="180"/>
      <c r="J794" s="4"/>
    </row>
    <row r="795">
      <c r="A795" s="4"/>
      <c r="I795" s="180"/>
      <c r="J795" s="4"/>
    </row>
    <row r="796">
      <c r="A796" s="4"/>
      <c r="I796" s="180"/>
      <c r="J796" s="4"/>
    </row>
    <row r="797">
      <c r="A797" s="4"/>
      <c r="I797" s="180"/>
      <c r="J797" s="4"/>
    </row>
    <row r="798">
      <c r="A798" s="4"/>
      <c r="I798" s="180"/>
      <c r="J798" s="4"/>
    </row>
    <row r="799">
      <c r="A799" s="4"/>
      <c r="I799" s="180"/>
      <c r="J799" s="4"/>
    </row>
    <row r="800">
      <c r="A800" s="4"/>
      <c r="I800" s="180"/>
      <c r="J800" s="4"/>
    </row>
    <row r="801">
      <c r="A801" s="4"/>
      <c r="I801" s="180"/>
      <c r="J801" s="4"/>
    </row>
    <row r="802">
      <c r="A802" s="4"/>
      <c r="I802" s="180"/>
      <c r="J802" s="4"/>
    </row>
    <row r="803">
      <c r="A803" s="4"/>
      <c r="I803" s="180"/>
      <c r="J803" s="4"/>
    </row>
    <row r="804">
      <c r="A804" s="4"/>
      <c r="I804" s="180"/>
      <c r="J804" s="4"/>
    </row>
    <row r="805">
      <c r="A805" s="4"/>
      <c r="I805" s="180"/>
      <c r="J805" s="4"/>
    </row>
    <row r="806">
      <c r="A806" s="4"/>
      <c r="I806" s="180"/>
      <c r="J806" s="4"/>
    </row>
    <row r="807">
      <c r="A807" s="4"/>
      <c r="I807" s="180"/>
      <c r="J807" s="4"/>
    </row>
    <row r="808">
      <c r="A808" s="4"/>
      <c r="I808" s="180"/>
      <c r="J808" s="4"/>
    </row>
    <row r="809">
      <c r="A809" s="4"/>
      <c r="I809" s="180"/>
      <c r="J809" s="4"/>
    </row>
    <row r="810">
      <c r="A810" s="4"/>
      <c r="I810" s="180"/>
      <c r="J810" s="4"/>
    </row>
    <row r="811">
      <c r="A811" s="4"/>
      <c r="I811" s="180"/>
      <c r="J811" s="4"/>
    </row>
    <row r="812">
      <c r="A812" s="4"/>
      <c r="I812" s="180"/>
      <c r="J812" s="4"/>
    </row>
    <row r="813">
      <c r="A813" s="4"/>
      <c r="I813" s="180"/>
      <c r="J813" s="4"/>
    </row>
    <row r="814">
      <c r="A814" s="4"/>
      <c r="I814" s="180"/>
      <c r="J814" s="4"/>
    </row>
    <row r="815">
      <c r="A815" s="4"/>
      <c r="I815" s="180"/>
      <c r="J815" s="4"/>
    </row>
    <row r="816">
      <c r="A816" s="4"/>
      <c r="I816" s="180"/>
      <c r="J816" s="4"/>
    </row>
    <row r="817">
      <c r="A817" s="4"/>
      <c r="I817" s="180"/>
      <c r="J817" s="4"/>
    </row>
    <row r="818">
      <c r="A818" s="4"/>
      <c r="I818" s="180"/>
      <c r="J818" s="4"/>
    </row>
    <row r="819">
      <c r="A819" s="4"/>
      <c r="I819" s="180"/>
      <c r="J819" s="4"/>
    </row>
    <row r="820">
      <c r="A820" s="4"/>
      <c r="I820" s="180"/>
      <c r="J820" s="4"/>
    </row>
    <row r="821">
      <c r="A821" s="4"/>
      <c r="I821" s="180"/>
      <c r="J821" s="4"/>
    </row>
    <row r="822">
      <c r="A822" s="4"/>
      <c r="I822" s="180"/>
      <c r="J822" s="4"/>
    </row>
    <row r="823">
      <c r="A823" s="4"/>
      <c r="I823" s="180"/>
      <c r="J823" s="4"/>
    </row>
    <row r="824">
      <c r="A824" s="4"/>
      <c r="I824" s="180"/>
      <c r="J824" s="4"/>
    </row>
    <row r="825">
      <c r="A825" s="4"/>
      <c r="I825" s="180"/>
      <c r="J825" s="4"/>
    </row>
    <row r="826">
      <c r="A826" s="4"/>
      <c r="I826" s="180"/>
      <c r="J826" s="4"/>
    </row>
    <row r="827">
      <c r="A827" s="4"/>
      <c r="I827" s="180"/>
      <c r="J827" s="4"/>
    </row>
    <row r="828">
      <c r="A828" s="4"/>
      <c r="I828" s="180"/>
      <c r="J828" s="4"/>
    </row>
    <row r="829">
      <c r="A829" s="4"/>
      <c r="I829" s="180"/>
      <c r="J829" s="4"/>
    </row>
    <row r="830">
      <c r="A830" s="4"/>
      <c r="I830" s="180"/>
      <c r="J830" s="4"/>
    </row>
    <row r="831">
      <c r="A831" s="4"/>
      <c r="I831" s="180"/>
      <c r="J831" s="4"/>
    </row>
    <row r="832">
      <c r="A832" s="4"/>
      <c r="I832" s="180"/>
      <c r="J832" s="4"/>
    </row>
    <row r="833">
      <c r="A833" s="4"/>
      <c r="I833" s="180"/>
      <c r="J833" s="4"/>
    </row>
    <row r="834">
      <c r="A834" s="4"/>
      <c r="I834" s="180"/>
      <c r="J834" s="4"/>
    </row>
    <row r="835">
      <c r="A835" s="4"/>
      <c r="I835" s="180"/>
      <c r="J835" s="4"/>
    </row>
    <row r="836">
      <c r="A836" s="4"/>
      <c r="I836" s="180"/>
      <c r="J836" s="4"/>
    </row>
    <row r="837">
      <c r="A837" s="4"/>
      <c r="I837" s="180"/>
      <c r="J837" s="4"/>
    </row>
    <row r="838">
      <c r="A838" s="4"/>
      <c r="I838" s="180"/>
      <c r="J838" s="4"/>
    </row>
    <row r="839">
      <c r="A839" s="4"/>
      <c r="I839" s="180"/>
      <c r="J839" s="4"/>
    </row>
    <row r="840">
      <c r="A840" s="4"/>
      <c r="I840" s="180"/>
      <c r="J840" s="4"/>
    </row>
    <row r="841">
      <c r="A841" s="4"/>
      <c r="I841" s="180"/>
      <c r="J841" s="4"/>
    </row>
    <row r="842">
      <c r="A842" s="4"/>
      <c r="I842" s="180"/>
      <c r="J842" s="4"/>
    </row>
    <row r="843">
      <c r="A843" s="4"/>
      <c r="I843" s="180"/>
      <c r="J843" s="4"/>
    </row>
    <row r="844">
      <c r="A844" s="4"/>
      <c r="I844" s="180"/>
      <c r="J844" s="4"/>
    </row>
    <row r="845">
      <c r="A845" s="4"/>
      <c r="I845" s="180"/>
      <c r="J845" s="4"/>
    </row>
    <row r="846">
      <c r="A846" s="4"/>
      <c r="I846" s="180"/>
      <c r="J846" s="4"/>
    </row>
    <row r="847">
      <c r="A847" s="4"/>
      <c r="I847" s="180"/>
      <c r="J847" s="4"/>
    </row>
    <row r="848">
      <c r="A848" s="4"/>
      <c r="I848" s="180"/>
      <c r="J848" s="4"/>
    </row>
    <row r="849">
      <c r="A849" s="4"/>
      <c r="I849" s="180"/>
      <c r="J849" s="4"/>
    </row>
    <row r="850">
      <c r="A850" s="4"/>
      <c r="I850" s="180"/>
      <c r="J850" s="4"/>
    </row>
    <row r="851">
      <c r="A851" s="4"/>
      <c r="I851" s="180"/>
      <c r="J851" s="4"/>
    </row>
    <row r="852">
      <c r="A852" s="4"/>
      <c r="I852" s="180"/>
      <c r="J852" s="4"/>
    </row>
    <row r="853">
      <c r="A853" s="4"/>
      <c r="I853" s="180"/>
      <c r="J853" s="4"/>
    </row>
    <row r="854">
      <c r="A854" s="4"/>
      <c r="I854" s="180"/>
      <c r="J854" s="4"/>
    </row>
    <row r="855">
      <c r="A855" s="4"/>
      <c r="I855" s="180"/>
      <c r="J855" s="4"/>
    </row>
    <row r="856">
      <c r="A856" s="4"/>
      <c r="I856" s="180"/>
      <c r="J856" s="4"/>
    </row>
    <row r="857">
      <c r="A857" s="4"/>
      <c r="I857" s="180"/>
      <c r="J857" s="4"/>
    </row>
    <row r="858">
      <c r="A858" s="4"/>
      <c r="I858" s="180"/>
      <c r="J858" s="4"/>
    </row>
    <row r="859">
      <c r="A859" s="4"/>
      <c r="I859" s="180"/>
      <c r="J859" s="4"/>
    </row>
    <row r="860">
      <c r="A860" s="4"/>
      <c r="I860" s="180"/>
      <c r="J860" s="4"/>
    </row>
    <row r="861">
      <c r="A861" s="4"/>
      <c r="I861" s="180"/>
      <c r="J861" s="4"/>
    </row>
    <row r="862">
      <c r="A862" s="4"/>
      <c r="I862" s="180"/>
      <c r="J862" s="4"/>
    </row>
    <row r="863">
      <c r="A863" s="4"/>
      <c r="I863" s="180"/>
      <c r="J863" s="4"/>
    </row>
    <row r="864">
      <c r="A864" s="4"/>
      <c r="I864" s="180"/>
      <c r="J864" s="4"/>
    </row>
    <row r="865">
      <c r="A865" s="4"/>
      <c r="I865" s="180"/>
      <c r="J865" s="4"/>
    </row>
    <row r="866">
      <c r="A866" s="4"/>
      <c r="I866" s="180"/>
      <c r="J866" s="4"/>
    </row>
    <row r="867">
      <c r="A867" s="4"/>
      <c r="I867" s="180"/>
      <c r="J867" s="4"/>
    </row>
    <row r="868">
      <c r="A868" s="4"/>
      <c r="I868" s="180"/>
      <c r="J868" s="4"/>
    </row>
    <row r="869">
      <c r="A869" s="4"/>
      <c r="I869" s="180"/>
      <c r="J869" s="4"/>
    </row>
    <row r="870">
      <c r="A870" s="4"/>
      <c r="I870" s="180"/>
      <c r="J870" s="4"/>
    </row>
    <row r="871">
      <c r="A871" s="4"/>
      <c r="I871" s="180"/>
      <c r="J871" s="4"/>
    </row>
    <row r="872">
      <c r="A872" s="4"/>
      <c r="I872" s="180"/>
      <c r="J872" s="4"/>
    </row>
    <row r="873">
      <c r="A873" s="4"/>
      <c r="I873" s="180"/>
      <c r="J873" s="4"/>
    </row>
    <row r="874">
      <c r="A874" s="4"/>
      <c r="I874" s="180"/>
      <c r="J874" s="4"/>
    </row>
    <row r="875">
      <c r="A875" s="4"/>
      <c r="I875" s="180"/>
      <c r="J875" s="4"/>
    </row>
    <row r="876">
      <c r="A876" s="4"/>
      <c r="I876" s="180"/>
      <c r="J876" s="4"/>
    </row>
    <row r="877">
      <c r="A877" s="4"/>
      <c r="I877" s="180"/>
      <c r="J877" s="4"/>
    </row>
    <row r="878">
      <c r="A878" s="4"/>
      <c r="I878" s="180"/>
      <c r="J878" s="4"/>
    </row>
    <row r="879">
      <c r="A879" s="4"/>
      <c r="I879" s="180"/>
      <c r="J879" s="4"/>
    </row>
    <row r="880">
      <c r="A880" s="4"/>
      <c r="I880" s="180"/>
      <c r="J880" s="4"/>
    </row>
    <row r="881">
      <c r="A881" s="4"/>
      <c r="I881" s="180"/>
      <c r="J881" s="4"/>
    </row>
    <row r="882">
      <c r="A882" s="4"/>
      <c r="I882" s="180"/>
      <c r="J882" s="4"/>
    </row>
    <row r="883">
      <c r="A883" s="4"/>
      <c r="I883" s="180"/>
      <c r="J883" s="4"/>
    </row>
    <row r="884">
      <c r="A884" s="4"/>
      <c r="I884" s="180"/>
      <c r="J884" s="4"/>
    </row>
    <row r="885">
      <c r="A885" s="4"/>
      <c r="I885" s="180"/>
      <c r="J885" s="4"/>
    </row>
    <row r="886">
      <c r="A886" s="4"/>
      <c r="I886" s="180"/>
      <c r="J886" s="4"/>
    </row>
    <row r="887">
      <c r="A887" s="4"/>
      <c r="I887" s="180"/>
      <c r="J887" s="4"/>
    </row>
    <row r="888">
      <c r="A888" s="4"/>
      <c r="I888" s="180"/>
      <c r="J888" s="4"/>
    </row>
    <row r="889">
      <c r="A889" s="4"/>
      <c r="I889" s="180"/>
      <c r="J889" s="4"/>
    </row>
    <row r="890">
      <c r="A890" s="4"/>
      <c r="I890" s="180"/>
      <c r="J890" s="4"/>
    </row>
    <row r="891">
      <c r="A891" s="4"/>
      <c r="I891" s="180"/>
      <c r="J891" s="4"/>
    </row>
    <row r="892">
      <c r="A892" s="4"/>
      <c r="I892" s="180"/>
      <c r="J892" s="4"/>
    </row>
    <row r="893">
      <c r="A893" s="4"/>
      <c r="I893" s="180"/>
      <c r="J893" s="4"/>
    </row>
    <row r="894">
      <c r="A894" s="4"/>
      <c r="I894" s="180"/>
      <c r="J894" s="4"/>
    </row>
    <row r="895">
      <c r="A895" s="4"/>
      <c r="I895" s="180"/>
      <c r="J895" s="4"/>
    </row>
    <row r="896">
      <c r="A896" s="4"/>
      <c r="I896" s="180"/>
      <c r="J896" s="4"/>
    </row>
    <row r="897">
      <c r="A897" s="4"/>
      <c r="I897" s="180"/>
      <c r="J897" s="4"/>
    </row>
    <row r="898">
      <c r="A898" s="4"/>
      <c r="I898" s="180"/>
      <c r="J898" s="4"/>
    </row>
    <row r="899">
      <c r="A899" s="4"/>
      <c r="I899" s="180"/>
      <c r="J899" s="4"/>
    </row>
    <row r="900">
      <c r="A900" s="4"/>
      <c r="I900" s="180"/>
      <c r="J900" s="4"/>
    </row>
    <row r="901">
      <c r="A901" s="4"/>
      <c r="I901" s="180"/>
      <c r="J901" s="4"/>
    </row>
    <row r="902">
      <c r="A902" s="4"/>
      <c r="I902" s="180"/>
      <c r="J902" s="4"/>
    </row>
    <row r="903">
      <c r="A903" s="4"/>
      <c r="I903" s="180"/>
      <c r="J903" s="4"/>
    </row>
    <row r="904">
      <c r="A904" s="4"/>
      <c r="I904" s="180"/>
      <c r="J904" s="4"/>
    </row>
    <row r="905">
      <c r="A905" s="4"/>
      <c r="I905" s="180"/>
      <c r="J905" s="4"/>
    </row>
    <row r="906">
      <c r="A906" s="4"/>
      <c r="I906" s="180"/>
      <c r="J906" s="4"/>
    </row>
    <row r="907">
      <c r="A907" s="4"/>
      <c r="I907" s="180"/>
      <c r="J907" s="4"/>
    </row>
    <row r="908">
      <c r="A908" s="4"/>
      <c r="I908" s="180"/>
      <c r="J908" s="4"/>
    </row>
    <row r="909">
      <c r="A909" s="4"/>
      <c r="I909" s="180"/>
      <c r="J909" s="4"/>
    </row>
    <row r="910">
      <c r="A910" s="4"/>
      <c r="I910" s="180"/>
      <c r="J910" s="4"/>
    </row>
    <row r="911">
      <c r="A911" s="4"/>
      <c r="I911" s="180"/>
      <c r="J911" s="4"/>
    </row>
    <row r="912">
      <c r="A912" s="4"/>
      <c r="I912" s="180"/>
      <c r="J912" s="4"/>
    </row>
    <row r="913">
      <c r="A913" s="4"/>
      <c r="I913" s="180"/>
      <c r="J913" s="4"/>
    </row>
    <row r="914">
      <c r="A914" s="4"/>
      <c r="I914" s="180"/>
      <c r="J914" s="4"/>
    </row>
    <row r="915">
      <c r="A915" s="4"/>
      <c r="I915" s="180"/>
      <c r="J915" s="4"/>
    </row>
    <row r="916">
      <c r="A916" s="4"/>
      <c r="I916" s="180"/>
      <c r="J916" s="4"/>
    </row>
    <row r="917">
      <c r="A917" s="4"/>
      <c r="I917" s="180"/>
      <c r="J917" s="4"/>
    </row>
    <row r="918">
      <c r="A918" s="4"/>
      <c r="I918" s="180"/>
      <c r="J918" s="4"/>
    </row>
    <row r="919">
      <c r="A919" s="4"/>
      <c r="I919" s="180"/>
      <c r="J919" s="4"/>
    </row>
    <row r="920">
      <c r="A920" s="4"/>
      <c r="I920" s="180"/>
      <c r="J920" s="4"/>
    </row>
    <row r="921">
      <c r="A921" s="4"/>
      <c r="I921" s="180"/>
      <c r="J921" s="4"/>
    </row>
    <row r="922">
      <c r="A922" s="4"/>
      <c r="I922" s="180"/>
      <c r="J922" s="4"/>
    </row>
    <row r="923">
      <c r="A923" s="4"/>
      <c r="I923" s="180"/>
      <c r="J923" s="4"/>
    </row>
    <row r="924">
      <c r="A924" s="4"/>
      <c r="I924" s="180"/>
      <c r="J924" s="4"/>
    </row>
    <row r="925">
      <c r="A925" s="4"/>
      <c r="I925" s="180"/>
      <c r="J925" s="4"/>
    </row>
    <row r="926">
      <c r="A926" s="4"/>
      <c r="I926" s="180"/>
      <c r="J926" s="4"/>
    </row>
    <row r="927">
      <c r="A927" s="4"/>
      <c r="I927" s="180"/>
      <c r="J927" s="4"/>
    </row>
    <row r="928">
      <c r="A928" s="4"/>
      <c r="I928" s="180"/>
      <c r="J928" s="4"/>
    </row>
    <row r="929">
      <c r="A929" s="4"/>
      <c r="I929" s="180"/>
      <c r="J929" s="4"/>
    </row>
    <row r="930">
      <c r="A930" s="4"/>
      <c r="I930" s="180"/>
      <c r="J930" s="4"/>
    </row>
    <row r="931">
      <c r="A931" s="4"/>
      <c r="I931" s="180"/>
      <c r="J931" s="4"/>
    </row>
    <row r="932">
      <c r="A932" s="4"/>
      <c r="I932" s="180"/>
      <c r="J932" s="4"/>
    </row>
    <row r="933">
      <c r="A933" s="4"/>
      <c r="I933" s="180"/>
      <c r="J933" s="4"/>
    </row>
    <row r="934">
      <c r="A934" s="4"/>
      <c r="I934" s="180"/>
      <c r="J934" s="4"/>
    </row>
    <row r="935">
      <c r="A935" s="4"/>
      <c r="I935" s="180"/>
      <c r="J935" s="4"/>
    </row>
    <row r="936">
      <c r="A936" s="4"/>
      <c r="I936" s="180"/>
      <c r="J936" s="4"/>
    </row>
    <row r="937">
      <c r="A937" s="4"/>
      <c r="I937" s="180"/>
      <c r="J937" s="4"/>
    </row>
    <row r="938">
      <c r="A938" s="4"/>
      <c r="I938" s="180"/>
      <c r="J938" s="4"/>
    </row>
    <row r="939">
      <c r="A939" s="4"/>
      <c r="I939" s="180"/>
      <c r="J939" s="4"/>
    </row>
    <row r="940">
      <c r="A940" s="4"/>
      <c r="I940" s="180"/>
      <c r="J940" s="4"/>
    </row>
    <row r="941">
      <c r="A941" s="4"/>
      <c r="I941" s="180"/>
      <c r="J941" s="4"/>
    </row>
    <row r="942">
      <c r="A942" s="4"/>
      <c r="I942" s="180"/>
      <c r="J942" s="4"/>
    </row>
    <row r="943">
      <c r="A943" s="4"/>
      <c r="I943" s="180"/>
      <c r="J943" s="4"/>
    </row>
    <row r="944">
      <c r="A944" s="4"/>
      <c r="I944" s="180"/>
      <c r="J944" s="4"/>
    </row>
    <row r="945">
      <c r="A945" s="4"/>
      <c r="I945" s="180"/>
      <c r="J945" s="4"/>
    </row>
    <row r="946">
      <c r="A946" s="4"/>
      <c r="I946" s="180"/>
      <c r="J946" s="4"/>
    </row>
    <row r="947">
      <c r="A947" s="4"/>
      <c r="I947" s="180"/>
      <c r="J947" s="4"/>
    </row>
    <row r="948">
      <c r="A948" s="4"/>
      <c r="I948" s="180"/>
      <c r="J948" s="4"/>
    </row>
    <row r="949">
      <c r="A949" s="4"/>
      <c r="I949" s="180"/>
      <c r="J949" s="4"/>
    </row>
    <row r="950">
      <c r="A950" s="4"/>
      <c r="I950" s="180"/>
      <c r="J950" s="4"/>
    </row>
    <row r="951">
      <c r="A951" s="4"/>
      <c r="I951" s="180"/>
      <c r="J951" s="4"/>
    </row>
    <row r="952">
      <c r="A952" s="4"/>
      <c r="I952" s="180"/>
      <c r="J952" s="4"/>
    </row>
    <row r="953">
      <c r="A953" s="4"/>
      <c r="I953" s="180"/>
      <c r="J953" s="4"/>
    </row>
    <row r="954">
      <c r="A954" s="4"/>
      <c r="I954" s="180"/>
      <c r="J954" s="4"/>
    </row>
    <row r="955">
      <c r="A955" s="4"/>
      <c r="I955" s="180"/>
      <c r="J955" s="4"/>
    </row>
    <row r="956">
      <c r="A956" s="4"/>
      <c r="I956" s="180"/>
      <c r="J956" s="4"/>
    </row>
    <row r="957">
      <c r="A957" s="4"/>
      <c r="I957" s="180"/>
      <c r="J957" s="4"/>
    </row>
    <row r="958">
      <c r="A958" s="4"/>
      <c r="I958" s="180"/>
      <c r="J958" s="4"/>
    </row>
    <row r="959">
      <c r="A959" s="4"/>
      <c r="I959" s="180"/>
      <c r="J959" s="4"/>
    </row>
    <row r="960">
      <c r="A960" s="4"/>
      <c r="I960" s="180"/>
      <c r="J960" s="4"/>
    </row>
    <row r="961">
      <c r="A961" s="4"/>
      <c r="I961" s="180"/>
      <c r="J961" s="4"/>
    </row>
    <row r="962">
      <c r="A962" s="4"/>
      <c r="I962" s="180"/>
      <c r="J962" s="4"/>
    </row>
    <row r="963">
      <c r="A963" s="4"/>
      <c r="I963" s="180"/>
      <c r="J963" s="4"/>
    </row>
    <row r="964">
      <c r="A964" s="4"/>
      <c r="I964" s="180"/>
      <c r="J964" s="4"/>
    </row>
    <row r="965">
      <c r="A965" s="4"/>
      <c r="I965" s="180"/>
      <c r="J965" s="4"/>
    </row>
    <row r="966">
      <c r="A966" s="4"/>
      <c r="I966" s="180"/>
      <c r="J966" s="4"/>
    </row>
    <row r="967">
      <c r="A967" s="4"/>
      <c r="I967" s="180"/>
      <c r="J967" s="4"/>
    </row>
    <row r="968">
      <c r="A968" s="4"/>
      <c r="I968" s="180"/>
      <c r="J968" s="4"/>
    </row>
    <row r="969">
      <c r="A969" s="4"/>
      <c r="I969" s="180"/>
      <c r="J969" s="4"/>
    </row>
    <row r="970">
      <c r="A970" s="4"/>
      <c r="I970" s="180"/>
      <c r="J970" s="4"/>
    </row>
    <row r="971">
      <c r="A971" s="4"/>
      <c r="I971" s="180"/>
      <c r="J971" s="4"/>
    </row>
    <row r="972">
      <c r="A972" s="4"/>
      <c r="I972" s="180"/>
      <c r="J972" s="4"/>
    </row>
    <row r="973">
      <c r="A973" s="4"/>
      <c r="I973" s="180"/>
      <c r="J973" s="4"/>
    </row>
    <row r="974">
      <c r="A974" s="4"/>
      <c r="I974" s="180"/>
      <c r="J974" s="4"/>
    </row>
    <row r="975">
      <c r="A975" s="4"/>
      <c r="I975" s="180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